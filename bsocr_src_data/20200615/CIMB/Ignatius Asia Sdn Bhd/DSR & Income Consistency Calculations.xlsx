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54532\Desktop\Ignatius Asia Sdn Bhd\"/>
    </mc:Choice>
  </mc:AlternateContent>
  <bookViews>
    <workbookView xWindow="0" yWindow="0" windowWidth="15345" windowHeight="4650"/>
  </bookViews>
  <sheets>
    <sheet name="DSR" sheetId="1" r:id="rId1"/>
    <sheet name="Bank Statement" sheetId="9" r:id="rId2"/>
    <sheet name="Repayment" sheetId="3" r:id="rId3"/>
    <sheet name="DIR Computation" sheetId="5" r:id="rId4"/>
    <sheet name="To-be" sheetId="8" r:id="rId5"/>
  </sheets>
  <externalReferences>
    <externalReference r:id="rId6"/>
  </externalReferences>
  <definedNames>
    <definedName name="_xlnm._FilterDatabase" localSheetId="4" hidden="1">'To-be'!$A$1:$S$1217</definedName>
    <definedName name="_xlnm.Print_Area" localSheetId="3">'DIR Computation'!$A$1:$J$85</definedName>
    <definedName name="_xlnm.Print_Titles" localSheetId="4">'To-be'!$1:$1</definedName>
    <definedName name="Sheet1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1" l="1"/>
  <c r="O8" i="1"/>
  <c r="O5" i="1"/>
  <c r="L4" i="9" l="1"/>
  <c r="J4" i="9"/>
  <c r="H4" i="9"/>
  <c r="O6" i="1"/>
  <c r="F4" i="9"/>
  <c r="D4" i="9"/>
  <c r="B4" i="9"/>
  <c r="E20" i="1" l="1"/>
  <c r="N1217" i="8" l="1"/>
  <c r="N1216" i="8"/>
  <c r="N1215" i="8"/>
  <c r="N1214" i="8"/>
  <c r="N1213" i="8"/>
  <c r="N1212" i="8"/>
  <c r="N1211" i="8"/>
  <c r="N1210" i="8"/>
  <c r="N1209" i="8"/>
  <c r="N1208" i="8"/>
  <c r="N1207" i="8"/>
  <c r="N1206" i="8"/>
  <c r="N1205" i="8"/>
  <c r="N1204" i="8"/>
  <c r="N1203" i="8"/>
  <c r="N1202" i="8"/>
  <c r="N1201" i="8"/>
  <c r="N1200" i="8"/>
  <c r="N1199" i="8"/>
  <c r="N1198" i="8"/>
  <c r="N1197" i="8"/>
  <c r="N1196" i="8"/>
  <c r="N1195" i="8"/>
  <c r="N1194" i="8"/>
  <c r="N1193" i="8"/>
  <c r="N1192" i="8"/>
  <c r="N1191" i="8"/>
  <c r="N1190" i="8"/>
  <c r="N1189" i="8"/>
  <c r="N1188" i="8"/>
  <c r="N1187" i="8"/>
  <c r="N1186" i="8"/>
  <c r="N1185" i="8"/>
  <c r="N1184" i="8"/>
  <c r="N1183" i="8"/>
  <c r="N1182" i="8"/>
  <c r="N1181" i="8"/>
  <c r="N1180" i="8"/>
  <c r="N1179" i="8"/>
  <c r="N1178" i="8"/>
  <c r="N1177" i="8"/>
  <c r="N1176" i="8"/>
  <c r="N1175" i="8"/>
  <c r="N1174" i="8"/>
  <c r="N1173" i="8"/>
  <c r="N1172" i="8"/>
  <c r="N1171" i="8"/>
  <c r="N1170" i="8"/>
  <c r="N1169" i="8"/>
  <c r="N1168" i="8"/>
  <c r="N1167" i="8"/>
  <c r="N1166" i="8"/>
  <c r="N1165" i="8"/>
  <c r="N1164" i="8"/>
  <c r="N1163" i="8"/>
  <c r="N1162" i="8"/>
  <c r="N1161" i="8"/>
  <c r="N1160" i="8"/>
  <c r="N1159" i="8"/>
  <c r="N1158" i="8"/>
  <c r="N1157" i="8"/>
  <c r="N1156" i="8"/>
  <c r="N1155" i="8"/>
  <c r="N1154" i="8"/>
  <c r="N1153" i="8"/>
  <c r="N1152" i="8"/>
  <c r="N1151" i="8"/>
  <c r="N1150" i="8"/>
  <c r="N1149" i="8"/>
  <c r="N1148" i="8"/>
  <c r="N1147" i="8"/>
  <c r="N1146" i="8"/>
  <c r="N1145" i="8"/>
  <c r="N1144" i="8"/>
  <c r="N1143" i="8"/>
  <c r="N1142" i="8"/>
  <c r="N1141" i="8"/>
  <c r="N1140" i="8"/>
  <c r="N1139" i="8"/>
  <c r="N1138" i="8"/>
  <c r="N1137" i="8"/>
  <c r="N1136" i="8"/>
  <c r="N1135" i="8"/>
  <c r="N1134" i="8"/>
  <c r="N1133" i="8"/>
  <c r="N1132" i="8"/>
  <c r="N1131" i="8"/>
  <c r="N1130" i="8"/>
  <c r="N1129" i="8"/>
  <c r="N1128" i="8"/>
  <c r="N1127" i="8"/>
  <c r="N1126" i="8"/>
  <c r="N1125" i="8"/>
  <c r="N1124" i="8"/>
  <c r="N1123" i="8"/>
  <c r="N1122" i="8"/>
  <c r="N1121" i="8"/>
  <c r="N1120" i="8"/>
  <c r="N1119" i="8"/>
  <c r="N1118" i="8"/>
  <c r="N1117" i="8"/>
  <c r="N1116" i="8"/>
  <c r="N1115" i="8"/>
  <c r="N1114" i="8"/>
  <c r="N1113" i="8"/>
  <c r="N1112" i="8"/>
  <c r="N1111" i="8"/>
  <c r="N1110" i="8"/>
  <c r="N1109" i="8"/>
  <c r="N1108" i="8"/>
  <c r="S1107" i="8"/>
  <c r="N1107" i="8"/>
  <c r="N1106" i="8"/>
  <c r="N1105" i="8"/>
  <c r="N1104" i="8"/>
  <c r="N1103" i="8"/>
  <c r="N1102" i="8"/>
  <c r="N1101" i="8"/>
  <c r="N1100" i="8"/>
  <c r="N1099" i="8"/>
  <c r="N1098" i="8"/>
  <c r="N1097" i="8"/>
  <c r="N1096" i="8"/>
  <c r="N1095" i="8"/>
  <c r="N1094" i="8"/>
  <c r="N1093" i="8"/>
  <c r="N1092" i="8"/>
  <c r="N1091" i="8"/>
  <c r="N1090" i="8"/>
  <c r="N1089" i="8"/>
  <c r="N1088" i="8"/>
  <c r="N1087" i="8"/>
  <c r="N1086" i="8"/>
  <c r="N1085" i="8"/>
  <c r="N1084" i="8"/>
  <c r="N1083" i="8"/>
  <c r="N1082" i="8"/>
  <c r="N1081" i="8"/>
  <c r="N1080" i="8"/>
  <c r="N1079" i="8"/>
  <c r="N1078" i="8"/>
  <c r="N1077" i="8"/>
  <c r="N1076" i="8"/>
  <c r="N1075" i="8"/>
  <c r="N1074" i="8"/>
  <c r="N1073" i="8"/>
  <c r="N1072" i="8"/>
  <c r="N1071" i="8"/>
  <c r="N1070" i="8"/>
  <c r="N1069" i="8"/>
  <c r="N1068" i="8"/>
  <c r="N1067" i="8"/>
  <c r="N1066" i="8"/>
  <c r="N1065" i="8"/>
  <c r="N1064" i="8"/>
  <c r="N1063" i="8"/>
  <c r="N1062" i="8"/>
  <c r="N1061" i="8"/>
  <c r="N1060" i="8"/>
  <c r="N1059" i="8"/>
  <c r="N1058" i="8"/>
  <c r="N1057" i="8"/>
  <c r="N1056" i="8"/>
  <c r="N1055" i="8"/>
  <c r="N1054" i="8"/>
  <c r="N1053" i="8"/>
  <c r="N1052" i="8"/>
  <c r="N1051" i="8"/>
  <c r="N1050" i="8"/>
  <c r="N1049" i="8"/>
  <c r="N1048" i="8"/>
  <c r="N1047" i="8"/>
  <c r="N1046" i="8"/>
  <c r="N1045" i="8"/>
  <c r="N1044" i="8"/>
  <c r="N1043" i="8"/>
  <c r="N1042" i="8"/>
  <c r="N1041" i="8"/>
  <c r="N1040" i="8"/>
  <c r="N1039" i="8"/>
  <c r="N1038" i="8"/>
  <c r="N1037" i="8"/>
  <c r="N1036" i="8"/>
  <c r="N1035" i="8"/>
  <c r="N1034" i="8"/>
  <c r="N1033" i="8"/>
  <c r="N1032" i="8"/>
  <c r="N1031" i="8"/>
  <c r="N1030" i="8"/>
  <c r="N1029" i="8"/>
  <c r="N1028" i="8"/>
  <c r="N1027" i="8"/>
  <c r="N1026" i="8"/>
  <c r="N1025" i="8"/>
  <c r="N1024" i="8"/>
  <c r="N1023" i="8"/>
  <c r="N1022" i="8"/>
  <c r="N1021" i="8"/>
  <c r="N1020" i="8"/>
  <c r="N1019" i="8"/>
  <c r="N1018" i="8"/>
  <c r="N1017" i="8"/>
  <c r="N1016" i="8"/>
  <c r="N1015" i="8"/>
  <c r="N1014" i="8"/>
  <c r="N1013" i="8"/>
  <c r="N1012" i="8"/>
  <c r="N1011" i="8"/>
  <c r="N1010" i="8"/>
  <c r="N1009" i="8"/>
  <c r="N1008" i="8"/>
  <c r="N1007" i="8"/>
  <c r="N1006" i="8"/>
  <c r="N1005" i="8"/>
  <c r="N1004" i="8"/>
  <c r="N1003" i="8"/>
  <c r="N1002" i="8"/>
  <c r="N1001" i="8"/>
  <c r="N1000" i="8"/>
  <c r="N999" i="8"/>
  <c r="N998" i="8"/>
  <c r="N997" i="8"/>
  <c r="N996" i="8"/>
  <c r="N995" i="8"/>
  <c r="N994" i="8"/>
  <c r="N993" i="8"/>
  <c r="N992" i="8"/>
  <c r="N991" i="8"/>
  <c r="N990" i="8"/>
  <c r="N989" i="8"/>
  <c r="N988" i="8"/>
  <c r="N987" i="8"/>
  <c r="N986" i="8"/>
  <c r="N985" i="8"/>
  <c r="N984" i="8"/>
  <c r="N983" i="8"/>
  <c r="N982" i="8"/>
  <c r="N981" i="8"/>
  <c r="N980" i="8"/>
  <c r="N979" i="8"/>
  <c r="N978" i="8"/>
  <c r="N977" i="8"/>
  <c r="N976" i="8"/>
  <c r="N975" i="8"/>
  <c r="N974" i="8"/>
  <c r="N973" i="8"/>
  <c r="N972" i="8"/>
  <c r="N971" i="8"/>
  <c r="N970" i="8"/>
  <c r="N969" i="8"/>
  <c r="N968" i="8"/>
  <c r="N967" i="8"/>
  <c r="N966" i="8"/>
  <c r="N965" i="8"/>
  <c r="N964" i="8"/>
  <c r="N963" i="8"/>
  <c r="N962" i="8"/>
  <c r="N961" i="8"/>
  <c r="N960" i="8"/>
  <c r="N959" i="8"/>
  <c r="N958" i="8"/>
  <c r="N957" i="8"/>
  <c r="N956" i="8"/>
  <c r="N955" i="8"/>
  <c r="N954" i="8"/>
  <c r="N953" i="8"/>
  <c r="N952" i="8"/>
  <c r="N951" i="8"/>
  <c r="N950" i="8"/>
  <c r="N949" i="8"/>
  <c r="N948" i="8"/>
  <c r="N947" i="8"/>
  <c r="N946" i="8"/>
  <c r="N945" i="8"/>
  <c r="N944" i="8"/>
  <c r="N943" i="8"/>
  <c r="N942" i="8"/>
  <c r="N941" i="8"/>
  <c r="N940" i="8"/>
  <c r="N939" i="8"/>
  <c r="N938" i="8"/>
  <c r="N937" i="8"/>
  <c r="N936" i="8"/>
  <c r="N935" i="8"/>
  <c r="N934" i="8"/>
  <c r="N933" i="8"/>
  <c r="N932" i="8"/>
  <c r="N931" i="8"/>
  <c r="N930" i="8"/>
  <c r="N929" i="8"/>
  <c r="N928" i="8"/>
  <c r="N927" i="8"/>
  <c r="N926" i="8"/>
  <c r="N925" i="8"/>
  <c r="N924" i="8"/>
  <c r="N923" i="8"/>
  <c r="N922" i="8"/>
  <c r="N921" i="8"/>
  <c r="N920" i="8"/>
  <c r="N919" i="8"/>
  <c r="N918" i="8"/>
  <c r="N917" i="8"/>
  <c r="N916" i="8"/>
  <c r="N915" i="8"/>
  <c r="N914" i="8"/>
  <c r="N913" i="8"/>
  <c r="N912" i="8"/>
  <c r="N911" i="8"/>
  <c r="N910" i="8"/>
  <c r="N909" i="8"/>
  <c r="N908" i="8"/>
  <c r="N907" i="8"/>
  <c r="N906" i="8"/>
  <c r="N905" i="8"/>
  <c r="N904" i="8"/>
  <c r="N903" i="8"/>
  <c r="N902" i="8"/>
  <c r="N901" i="8"/>
  <c r="N900" i="8"/>
  <c r="N899" i="8"/>
  <c r="N898" i="8"/>
  <c r="N897" i="8"/>
  <c r="N896" i="8"/>
  <c r="N895" i="8"/>
  <c r="N894" i="8"/>
  <c r="N893" i="8"/>
  <c r="N892" i="8"/>
  <c r="N891" i="8"/>
  <c r="N890" i="8"/>
  <c r="N889" i="8"/>
  <c r="N888" i="8"/>
  <c r="N887" i="8"/>
  <c r="N886" i="8"/>
  <c r="N885" i="8"/>
  <c r="N884" i="8"/>
  <c r="N883" i="8"/>
  <c r="N882" i="8"/>
  <c r="N881" i="8"/>
  <c r="N880" i="8"/>
  <c r="N879" i="8"/>
  <c r="N878" i="8"/>
  <c r="N877" i="8"/>
  <c r="N876" i="8"/>
  <c r="N875" i="8"/>
  <c r="N874" i="8"/>
  <c r="N873" i="8"/>
  <c r="N872" i="8"/>
  <c r="N871" i="8"/>
  <c r="N870" i="8"/>
  <c r="N869" i="8"/>
  <c r="N868" i="8"/>
  <c r="N867" i="8"/>
  <c r="N866" i="8"/>
  <c r="N865" i="8"/>
  <c r="N864" i="8"/>
  <c r="N863" i="8"/>
  <c r="N862" i="8"/>
  <c r="N861" i="8"/>
  <c r="N860" i="8"/>
  <c r="N859" i="8"/>
  <c r="N858" i="8"/>
  <c r="N857" i="8"/>
  <c r="N856" i="8"/>
  <c r="N855" i="8"/>
  <c r="N854" i="8"/>
  <c r="N853" i="8"/>
  <c r="N852" i="8"/>
  <c r="N851" i="8"/>
  <c r="N850" i="8"/>
  <c r="N849" i="8"/>
  <c r="N848" i="8"/>
  <c r="N847" i="8"/>
  <c r="N846" i="8"/>
  <c r="N845" i="8"/>
  <c r="N844" i="8"/>
  <c r="N843" i="8"/>
  <c r="N842" i="8"/>
  <c r="N841" i="8"/>
  <c r="N840" i="8"/>
  <c r="N839" i="8"/>
  <c r="N838" i="8"/>
  <c r="N837" i="8"/>
  <c r="N836" i="8"/>
  <c r="N835" i="8"/>
  <c r="N834" i="8"/>
  <c r="N833" i="8"/>
  <c r="N832" i="8"/>
  <c r="N831" i="8"/>
  <c r="N830" i="8"/>
  <c r="N829" i="8"/>
  <c r="N828" i="8"/>
  <c r="N827" i="8"/>
  <c r="N826" i="8"/>
  <c r="N825" i="8"/>
  <c r="N824" i="8"/>
  <c r="N823" i="8"/>
  <c r="N822" i="8"/>
  <c r="N821" i="8"/>
  <c r="N820" i="8"/>
  <c r="N819" i="8"/>
  <c r="N818" i="8"/>
  <c r="N817" i="8"/>
  <c r="N816" i="8"/>
  <c r="N815" i="8"/>
  <c r="N814" i="8"/>
  <c r="N813" i="8"/>
  <c r="N812" i="8"/>
  <c r="N811" i="8"/>
  <c r="N810" i="8"/>
  <c r="N809" i="8"/>
  <c r="N808" i="8"/>
  <c r="N807" i="8"/>
  <c r="N806" i="8"/>
  <c r="N805" i="8"/>
  <c r="N804" i="8"/>
  <c r="N803" i="8"/>
  <c r="N802" i="8"/>
  <c r="N801" i="8"/>
  <c r="N800" i="8"/>
  <c r="N799" i="8"/>
  <c r="N798" i="8"/>
  <c r="N797" i="8"/>
  <c r="N796" i="8"/>
  <c r="N795" i="8"/>
  <c r="N794" i="8"/>
  <c r="N793" i="8"/>
  <c r="N792" i="8"/>
  <c r="N791" i="8"/>
  <c r="N790" i="8"/>
  <c r="N789" i="8"/>
  <c r="N788" i="8"/>
  <c r="N787" i="8"/>
  <c r="N786" i="8"/>
  <c r="N785" i="8"/>
  <c r="N784" i="8"/>
  <c r="N783" i="8"/>
  <c r="N782" i="8"/>
  <c r="N781" i="8"/>
  <c r="N780" i="8"/>
  <c r="N779" i="8"/>
  <c r="N778" i="8"/>
  <c r="N777" i="8"/>
  <c r="N776" i="8"/>
  <c r="N775" i="8"/>
  <c r="N774" i="8"/>
  <c r="N773" i="8"/>
  <c r="N772" i="8"/>
  <c r="N771" i="8"/>
  <c r="N770" i="8"/>
  <c r="N769" i="8"/>
  <c r="N768" i="8"/>
  <c r="N767" i="8"/>
  <c r="N766" i="8"/>
  <c r="N765" i="8"/>
  <c r="N764" i="8"/>
  <c r="N763" i="8"/>
  <c r="N762" i="8"/>
  <c r="N761" i="8"/>
  <c r="N760" i="8"/>
  <c r="N759" i="8"/>
  <c r="N758" i="8"/>
  <c r="N757" i="8"/>
  <c r="N756" i="8"/>
  <c r="N755" i="8"/>
  <c r="N754" i="8"/>
  <c r="N753" i="8"/>
  <c r="N752" i="8"/>
  <c r="N751" i="8"/>
  <c r="N750" i="8"/>
  <c r="N749" i="8"/>
  <c r="N748" i="8"/>
  <c r="N747" i="8"/>
  <c r="N746" i="8"/>
  <c r="N745" i="8"/>
  <c r="N744" i="8"/>
  <c r="N743" i="8"/>
  <c r="N742" i="8"/>
  <c r="N741" i="8"/>
  <c r="N740" i="8"/>
  <c r="N739" i="8"/>
  <c r="N738" i="8"/>
  <c r="N737" i="8"/>
  <c r="N736" i="8"/>
  <c r="N735" i="8"/>
  <c r="N734" i="8"/>
  <c r="N733" i="8"/>
  <c r="N732" i="8"/>
  <c r="N731" i="8"/>
  <c r="N730" i="8"/>
  <c r="N729" i="8"/>
  <c r="N728" i="8"/>
  <c r="N727" i="8"/>
  <c r="N726" i="8"/>
  <c r="N725" i="8"/>
  <c r="N724" i="8"/>
  <c r="N723" i="8"/>
  <c r="N722" i="8"/>
  <c r="N721" i="8"/>
  <c r="N720" i="8"/>
  <c r="N719" i="8"/>
  <c r="N718" i="8"/>
  <c r="N717" i="8"/>
  <c r="N716" i="8"/>
  <c r="N715" i="8"/>
  <c r="N714" i="8"/>
  <c r="N713" i="8"/>
  <c r="N712" i="8"/>
  <c r="N711" i="8"/>
  <c r="N710" i="8"/>
  <c r="N709" i="8"/>
  <c r="N708" i="8"/>
  <c r="N707" i="8"/>
  <c r="N706" i="8"/>
  <c r="N705" i="8"/>
  <c r="N704" i="8"/>
  <c r="N703" i="8"/>
  <c r="N702" i="8"/>
  <c r="N701" i="8"/>
  <c r="N700" i="8"/>
  <c r="N699" i="8"/>
  <c r="N698" i="8"/>
  <c r="N697" i="8"/>
  <c r="N696" i="8"/>
  <c r="N695" i="8"/>
  <c r="N694" i="8"/>
  <c r="N693" i="8"/>
  <c r="N692" i="8"/>
  <c r="N691" i="8"/>
  <c r="N690" i="8"/>
  <c r="N689" i="8"/>
  <c r="N688" i="8"/>
  <c r="N687" i="8"/>
  <c r="N686" i="8"/>
  <c r="N685" i="8"/>
  <c r="N684" i="8"/>
  <c r="N683" i="8"/>
  <c r="N682" i="8"/>
  <c r="N681" i="8"/>
  <c r="N680" i="8"/>
  <c r="N679" i="8"/>
  <c r="N678" i="8"/>
  <c r="N677" i="8"/>
  <c r="N676" i="8"/>
  <c r="N675" i="8"/>
  <c r="N674" i="8"/>
  <c r="N673" i="8"/>
  <c r="N672" i="8"/>
  <c r="N671" i="8"/>
  <c r="N670" i="8"/>
  <c r="N669" i="8"/>
  <c r="N668" i="8"/>
  <c r="N667" i="8"/>
  <c r="N666" i="8"/>
  <c r="N665" i="8"/>
  <c r="N664" i="8"/>
  <c r="N663" i="8"/>
  <c r="N662" i="8"/>
  <c r="N661" i="8"/>
  <c r="N660" i="8"/>
  <c r="N659" i="8"/>
  <c r="N658" i="8"/>
  <c r="N657" i="8"/>
  <c r="N656" i="8"/>
  <c r="N655" i="8"/>
  <c r="N654" i="8"/>
  <c r="N653" i="8"/>
  <c r="N652" i="8"/>
  <c r="N651" i="8"/>
  <c r="N650" i="8"/>
  <c r="N649" i="8"/>
  <c r="N648" i="8"/>
  <c r="N647" i="8"/>
  <c r="N646" i="8"/>
  <c r="N645" i="8"/>
  <c r="N644" i="8"/>
  <c r="N643" i="8"/>
  <c r="N642" i="8"/>
  <c r="N641" i="8"/>
  <c r="N640" i="8"/>
  <c r="N639" i="8"/>
  <c r="N638" i="8"/>
  <c r="N637" i="8"/>
  <c r="N636" i="8"/>
  <c r="N635" i="8"/>
  <c r="N634" i="8"/>
  <c r="N633" i="8"/>
  <c r="N632" i="8"/>
  <c r="N631" i="8"/>
  <c r="N630" i="8"/>
  <c r="N629" i="8"/>
  <c r="N628" i="8"/>
  <c r="N627" i="8"/>
  <c r="N626" i="8"/>
  <c r="N625" i="8"/>
  <c r="N624" i="8"/>
  <c r="N623" i="8"/>
  <c r="N622" i="8"/>
  <c r="N621" i="8"/>
  <c r="N620" i="8"/>
  <c r="N619" i="8"/>
  <c r="N618" i="8"/>
  <c r="N617" i="8"/>
  <c r="N616" i="8"/>
  <c r="N615" i="8"/>
  <c r="N614" i="8"/>
  <c r="N613" i="8"/>
  <c r="N612" i="8"/>
  <c r="N611" i="8"/>
  <c r="N610" i="8"/>
  <c r="N609" i="8"/>
  <c r="N608" i="8"/>
  <c r="N607" i="8"/>
  <c r="N606" i="8"/>
  <c r="N605" i="8"/>
  <c r="N604" i="8"/>
  <c r="N603" i="8"/>
  <c r="N602" i="8"/>
  <c r="N601" i="8"/>
  <c r="N600" i="8"/>
  <c r="N599" i="8"/>
  <c r="N598" i="8"/>
  <c r="N597" i="8"/>
  <c r="N596" i="8"/>
  <c r="N595" i="8"/>
  <c r="N594" i="8"/>
  <c r="N593" i="8"/>
  <c r="N592" i="8"/>
  <c r="N591" i="8"/>
  <c r="N590" i="8"/>
  <c r="N589" i="8"/>
  <c r="N588" i="8"/>
  <c r="N587" i="8"/>
  <c r="N586" i="8"/>
  <c r="N585" i="8"/>
  <c r="N584" i="8"/>
  <c r="N583" i="8"/>
  <c r="N582" i="8"/>
  <c r="N581" i="8"/>
  <c r="N580" i="8"/>
  <c r="N579" i="8"/>
  <c r="N578" i="8"/>
  <c r="N577" i="8"/>
  <c r="N576" i="8"/>
  <c r="N575" i="8"/>
  <c r="N574" i="8"/>
  <c r="N573" i="8"/>
  <c r="N572" i="8"/>
  <c r="N571" i="8"/>
  <c r="N570" i="8"/>
  <c r="N569" i="8"/>
  <c r="N568" i="8"/>
  <c r="N567" i="8"/>
  <c r="N566" i="8"/>
  <c r="N565" i="8"/>
  <c r="N564" i="8"/>
  <c r="N563" i="8"/>
  <c r="N562" i="8"/>
  <c r="N561" i="8"/>
  <c r="N560" i="8"/>
  <c r="N559" i="8"/>
  <c r="N558" i="8"/>
  <c r="N557" i="8"/>
  <c r="N556" i="8"/>
  <c r="N555" i="8"/>
  <c r="N554" i="8"/>
  <c r="N553" i="8"/>
  <c r="N552" i="8"/>
  <c r="N551" i="8"/>
  <c r="N550" i="8"/>
  <c r="N549" i="8"/>
  <c r="N548" i="8"/>
  <c r="N547" i="8"/>
  <c r="N546" i="8"/>
  <c r="N545" i="8"/>
  <c r="N544" i="8"/>
  <c r="N543" i="8"/>
  <c r="N542" i="8"/>
  <c r="N541" i="8"/>
  <c r="N540" i="8"/>
  <c r="N539" i="8"/>
  <c r="N538" i="8"/>
  <c r="N537" i="8"/>
  <c r="N536" i="8"/>
  <c r="N535" i="8"/>
  <c r="N534" i="8"/>
  <c r="N533" i="8"/>
  <c r="N532" i="8"/>
  <c r="N531" i="8"/>
  <c r="N530" i="8"/>
  <c r="N529" i="8"/>
  <c r="N528" i="8"/>
  <c r="N527" i="8"/>
  <c r="N526" i="8"/>
  <c r="N525" i="8"/>
  <c r="N524" i="8"/>
  <c r="N523" i="8"/>
  <c r="N522" i="8"/>
  <c r="N521" i="8"/>
  <c r="N520" i="8"/>
  <c r="N519" i="8"/>
  <c r="N518" i="8"/>
  <c r="N517" i="8"/>
  <c r="N516" i="8"/>
  <c r="N515" i="8"/>
  <c r="N514" i="8"/>
  <c r="N513" i="8"/>
  <c r="N512" i="8"/>
  <c r="N511" i="8"/>
  <c r="N510" i="8"/>
  <c r="N509" i="8"/>
  <c r="N508" i="8"/>
  <c r="N507" i="8"/>
  <c r="N506" i="8"/>
  <c r="N505" i="8"/>
  <c r="N504" i="8"/>
  <c r="N503" i="8"/>
  <c r="N502" i="8"/>
  <c r="N501" i="8"/>
  <c r="N500" i="8"/>
  <c r="N499" i="8"/>
  <c r="N498" i="8"/>
  <c r="N497" i="8"/>
  <c r="N496" i="8"/>
  <c r="N495" i="8"/>
  <c r="N494" i="8"/>
  <c r="N493" i="8"/>
  <c r="N492" i="8"/>
  <c r="N491" i="8"/>
  <c r="N490" i="8"/>
  <c r="N489" i="8"/>
  <c r="N488" i="8"/>
  <c r="N487" i="8"/>
  <c r="N486" i="8"/>
  <c r="N485" i="8"/>
  <c r="N484" i="8"/>
  <c r="N483" i="8"/>
  <c r="N482" i="8"/>
  <c r="N481" i="8"/>
  <c r="N480" i="8"/>
  <c r="N479" i="8"/>
  <c r="N478" i="8"/>
  <c r="N477" i="8"/>
  <c r="N476" i="8"/>
  <c r="N475" i="8"/>
  <c r="N474" i="8"/>
  <c r="N473" i="8"/>
  <c r="N472" i="8"/>
  <c r="N471" i="8"/>
  <c r="N470" i="8"/>
  <c r="N469" i="8"/>
  <c r="N468" i="8"/>
  <c r="N467" i="8"/>
  <c r="N466" i="8"/>
  <c r="N465" i="8"/>
  <c r="N464" i="8"/>
  <c r="N463" i="8"/>
  <c r="N462" i="8"/>
  <c r="N461" i="8"/>
  <c r="N460" i="8"/>
  <c r="N459" i="8"/>
  <c r="N458" i="8"/>
  <c r="N457" i="8"/>
  <c r="N456" i="8"/>
  <c r="N455" i="8"/>
  <c r="N454" i="8"/>
  <c r="N453" i="8"/>
  <c r="N452" i="8"/>
  <c r="N451" i="8"/>
  <c r="N450" i="8"/>
  <c r="N449" i="8"/>
  <c r="N448" i="8"/>
  <c r="N447" i="8"/>
  <c r="N446" i="8"/>
  <c r="N445" i="8"/>
  <c r="N444" i="8"/>
  <c r="N443" i="8"/>
  <c r="N442" i="8"/>
  <c r="N441" i="8"/>
  <c r="N440" i="8"/>
  <c r="N439" i="8"/>
  <c r="N438" i="8"/>
  <c r="N437" i="8"/>
  <c r="N436" i="8"/>
  <c r="N435" i="8"/>
  <c r="N434" i="8"/>
  <c r="N433" i="8"/>
  <c r="N432" i="8"/>
  <c r="N431" i="8"/>
  <c r="N430" i="8"/>
  <c r="N429" i="8"/>
  <c r="N428" i="8"/>
  <c r="N427" i="8"/>
  <c r="N426" i="8"/>
  <c r="N425" i="8"/>
  <c r="N424" i="8"/>
  <c r="N423" i="8"/>
  <c r="N422" i="8"/>
  <c r="N421" i="8"/>
  <c r="N420" i="8"/>
  <c r="N419" i="8"/>
  <c r="N418" i="8"/>
  <c r="N417" i="8"/>
  <c r="N416" i="8"/>
  <c r="N415" i="8"/>
  <c r="N414" i="8"/>
  <c r="N413" i="8"/>
  <c r="N412" i="8"/>
  <c r="N411" i="8"/>
  <c r="N410" i="8"/>
  <c r="N409" i="8"/>
  <c r="N408" i="8"/>
  <c r="N407" i="8"/>
  <c r="N406" i="8"/>
  <c r="N405" i="8"/>
  <c r="N404" i="8"/>
  <c r="N403" i="8"/>
  <c r="N402" i="8"/>
  <c r="N401" i="8"/>
  <c r="N400" i="8"/>
  <c r="N399" i="8"/>
  <c r="N398" i="8"/>
  <c r="N397" i="8"/>
  <c r="N396" i="8"/>
  <c r="N395" i="8"/>
  <c r="N394" i="8"/>
  <c r="N393" i="8"/>
  <c r="N392" i="8"/>
  <c r="N391" i="8"/>
  <c r="N390" i="8"/>
  <c r="N389" i="8"/>
  <c r="N388" i="8"/>
  <c r="N387" i="8"/>
  <c r="N386" i="8"/>
  <c r="N385" i="8"/>
  <c r="N384" i="8"/>
  <c r="N383" i="8"/>
  <c r="N382" i="8"/>
  <c r="N381" i="8"/>
  <c r="N380" i="8"/>
  <c r="N379" i="8"/>
  <c r="N378" i="8"/>
  <c r="N377" i="8"/>
  <c r="N376" i="8"/>
  <c r="N375" i="8"/>
  <c r="N374" i="8"/>
  <c r="N373" i="8"/>
  <c r="N372" i="8"/>
  <c r="N371" i="8"/>
  <c r="N370" i="8"/>
  <c r="N369" i="8"/>
  <c r="N368" i="8"/>
  <c r="N367" i="8"/>
  <c r="N366" i="8"/>
  <c r="N365" i="8"/>
  <c r="N364" i="8"/>
  <c r="N363" i="8"/>
  <c r="N362" i="8"/>
  <c r="N361" i="8"/>
  <c r="N360" i="8"/>
  <c r="N359" i="8"/>
  <c r="N358" i="8"/>
  <c r="N357" i="8"/>
  <c r="N356" i="8"/>
  <c r="N355" i="8"/>
  <c r="N354" i="8"/>
  <c r="N353" i="8"/>
  <c r="N352" i="8"/>
  <c r="N351" i="8"/>
  <c r="N350" i="8"/>
  <c r="N349" i="8"/>
  <c r="N348" i="8"/>
  <c r="N347" i="8"/>
  <c r="N346" i="8"/>
  <c r="N345" i="8"/>
  <c r="N344" i="8"/>
  <c r="N343" i="8"/>
  <c r="N342" i="8"/>
  <c r="N341" i="8"/>
  <c r="N340" i="8"/>
  <c r="N339" i="8"/>
  <c r="N338" i="8"/>
  <c r="N337" i="8"/>
  <c r="N336" i="8"/>
  <c r="N335" i="8"/>
  <c r="N334" i="8"/>
  <c r="N333" i="8"/>
  <c r="N332" i="8"/>
  <c r="N331" i="8"/>
  <c r="N330" i="8"/>
  <c r="N329" i="8"/>
  <c r="N328" i="8"/>
  <c r="N327" i="8"/>
  <c r="N326" i="8"/>
  <c r="N325" i="8"/>
  <c r="N324" i="8"/>
  <c r="N323" i="8"/>
  <c r="N322" i="8"/>
  <c r="N321" i="8"/>
  <c r="N320" i="8"/>
  <c r="N319" i="8"/>
  <c r="N318" i="8"/>
  <c r="N317" i="8"/>
  <c r="N316" i="8"/>
  <c r="N315" i="8"/>
  <c r="N314" i="8"/>
  <c r="N313" i="8"/>
  <c r="N312" i="8"/>
  <c r="N311" i="8"/>
  <c r="N310" i="8"/>
  <c r="N309" i="8"/>
  <c r="N308" i="8"/>
  <c r="N307" i="8"/>
  <c r="N306" i="8"/>
  <c r="N305" i="8"/>
  <c r="N304" i="8"/>
  <c r="N303" i="8"/>
  <c r="N302" i="8"/>
  <c r="N301" i="8"/>
  <c r="N300" i="8"/>
  <c r="N299" i="8"/>
  <c r="N298" i="8"/>
  <c r="N297" i="8"/>
  <c r="N296" i="8"/>
  <c r="N295" i="8"/>
  <c r="N294" i="8"/>
  <c r="N293" i="8"/>
  <c r="N292" i="8"/>
  <c r="N291" i="8"/>
  <c r="N290" i="8"/>
  <c r="N289" i="8"/>
  <c r="N288" i="8"/>
  <c r="N287" i="8"/>
  <c r="N286" i="8"/>
  <c r="N285" i="8"/>
  <c r="N284" i="8"/>
  <c r="N283" i="8"/>
  <c r="N282" i="8"/>
  <c r="N281" i="8"/>
  <c r="N280" i="8"/>
  <c r="N279" i="8"/>
  <c r="N278" i="8"/>
  <c r="N277" i="8"/>
  <c r="N276" i="8"/>
  <c r="N275" i="8"/>
  <c r="N274" i="8"/>
  <c r="N273" i="8"/>
  <c r="N272" i="8"/>
  <c r="N271" i="8"/>
  <c r="N270" i="8"/>
  <c r="N269" i="8"/>
  <c r="N268" i="8"/>
  <c r="N267" i="8"/>
  <c r="N266" i="8"/>
  <c r="N265" i="8"/>
  <c r="N264" i="8"/>
  <c r="N263" i="8"/>
  <c r="N262" i="8"/>
  <c r="N261" i="8"/>
  <c r="N260" i="8"/>
  <c r="N259" i="8"/>
  <c r="N258" i="8"/>
  <c r="N257" i="8"/>
  <c r="N256" i="8"/>
  <c r="N255" i="8"/>
  <c r="N254" i="8"/>
  <c r="N253" i="8"/>
  <c r="N252" i="8"/>
  <c r="N251" i="8"/>
  <c r="N250" i="8"/>
  <c r="N249" i="8"/>
  <c r="N248" i="8"/>
  <c r="N247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E17" i="1" l="1"/>
  <c r="E18" i="1"/>
  <c r="E19" i="1"/>
  <c r="E24" i="1" l="1"/>
  <c r="E25" i="1"/>
  <c r="E26" i="1"/>
  <c r="E23" i="1"/>
  <c r="C27" i="1" l="1"/>
  <c r="D27" i="1" l="1"/>
  <c r="C21" i="1"/>
  <c r="D21" i="1"/>
  <c r="C33" i="1"/>
  <c r="G3" i="1"/>
  <c r="F3" i="1"/>
  <c r="G9" i="1"/>
  <c r="G8" i="1"/>
  <c r="G7" i="1"/>
  <c r="G6" i="1"/>
  <c r="G5" i="1"/>
  <c r="G4" i="1"/>
  <c r="F9" i="1"/>
  <c r="F8" i="1"/>
  <c r="F7" i="1"/>
  <c r="F6" i="1"/>
  <c r="F5" i="1"/>
  <c r="F4" i="1"/>
  <c r="H4" i="1" l="1"/>
  <c r="C34" i="1"/>
  <c r="H6" i="1"/>
  <c r="H8" i="1"/>
  <c r="H7" i="1"/>
  <c r="H5" i="1"/>
  <c r="H9" i="1"/>
  <c r="H10" i="1" l="1"/>
  <c r="H11" i="1" l="1"/>
  <c r="H12" i="1" s="1"/>
  <c r="I8" i="1" s="1"/>
  <c r="K8" i="1" s="1"/>
  <c r="C3" i="1"/>
  <c r="C9" i="1" s="1"/>
  <c r="E16" i="1"/>
  <c r="E21" i="1" l="1"/>
  <c r="I4" i="1"/>
  <c r="K4" i="1" s="1"/>
  <c r="I7" i="1"/>
  <c r="K7" i="1" s="1"/>
  <c r="I6" i="1"/>
  <c r="K6" i="1" s="1"/>
  <c r="I5" i="1"/>
  <c r="K5" i="1" s="1"/>
  <c r="I9" i="1"/>
  <c r="K9" i="1" s="1"/>
  <c r="L71" i="5"/>
  <c r="K71" i="5"/>
  <c r="G71" i="5" s="1"/>
  <c r="L70" i="5"/>
  <c r="K70" i="5"/>
  <c r="G70" i="5" s="1"/>
  <c r="L69" i="5"/>
  <c r="K69" i="5"/>
  <c r="G69" i="5"/>
  <c r="L68" i="5"/>
  <c r="K68" i="5"/>
  <c r="G68" i="5"/>
  <c r="L67" i="5"/>
  <c r="K67" i="5"/>
  <c r="G67" i="5" s="1"/>
  <c r="L66" i="5"/>
  <c r="K66" i="5"/>
  <c r="G66" i="5" s="1"/>
  <c r="L65" i="5"/>
  <c r="K65" i="5"/>
  <c r="G65" i="5"/>
  <c r="L64" i="5"/>
  <c r="K64" i="5"/>
  <c r="G64" i="5"/>
  <c r="L63" i="5"/>
  <c r="K63" i="5"/>
  <c r="G63" i="5" s="1"/>
  <c r="L62" i="5"/>
  <c r="K62" i="5"/>
  <c r="G62" i="5" s="1"/>
  <c r="L59" i="5"/>
  <c r="K59" i="5"/>
  <c r="G59" i="5" s="1"/>
  <c r="L58" i="5"/>
  <c r="K58" i="5"/>
  <c r="G58" i="5"/>
  <c r="L57" i="5"/>
  <c r="K57" i="5"/>
  <c r="G57" i="5"/>
  <c r="L56" i="5"/>
  <c r="G56" i="5" s="1"/>
  <c r="K56" i="5"/>
  <c r="L55" i="5"/>
  <c r="K55" i="5"/>
  <c r="G55" i="5" s="1"/>
  <c r="L54" i="5"/>
  <c r="K54" i="5"/>
  <c r="G54" i="5"/>
  <c r="L53" i="5"/>
  <c r="K53" i="5"/>
  <c r="G53" i="5"/>
  <c r="L52" i="5"/>
  <c r="G52" i="5" s="1"/>
  <c r="K52" i="5"/>
  <c r="L51" i="5"/>
  <c r="K51" i="5"/>
  <c r="G51" i="5" s="1"/>
  <c r="L50" i="5"/>
  <c r="K50" i="5"/>
  <c r="G50" i="5"/>
  <c r="H48" i="5"/>
  <c r="I47" i="5"/>
  <c r="G47" i="5"/>
  <c r="I46" i="5"/>
  <c r="G46" i="5"/>
  <c r="I45" i="5"/>
  <c r="G45" i="5"/>
  <c r="I44" i="5"/>
  <c r="G44" i="5"/>
  <c r="I43" i="5"/>
  <c r="G43" i="5"/>
  <c r="I42" i="5"/>
  <c r="G42" i="5"/>
  <c r="I41" i="5"/>
  <c r="G41" i="5"/>
  <c r="I40" i="5"/>
  <c r="G40" i="5"/>
  <c r="I39" i="5"/>
  <c r="G39" i="5"/>
  <c r="I38" i="5"/>
  <c r="I48" i="5" s="1"/>
  <c r="G38" i="5"/>
  <c r="G48" i="5" s="1"/>
  <c r="C77" i="5" s="1"/>
  <c r="H36" i="5"/>
  <c r="I35" i="5"/>
  <c r="G35" i="5"/>
  <c r="I34" i="5"/>
  <c r="G34" i="5"/>
  <c r="I33" i="5"/>
  <c r="G33" i="5"/>
  <c r="I32" i="5"/>
  <c r="G32" i="5"/>
  <c r="I31" i="5"/>
  <c r="G31" i="5"/>
  <c r="I30" i="5"/>
  <c r="G30" i="5"/>
  <c r="I29" i="5"/>
  <c r="G29" i="5"/>
  <c r="I28" i="5"/>
  <c r="G28" i="5"/>
  <c r="I27" i="5"/>
  <c r="G27" i="5"/>
  <c r="I26" i="5"/>
  <c r="I36" i="5" s="1"/>
  <c r="G26" i="5"/>
  <c r="I23" i="5"/>
  <c r="G23" i="5"/>
  <c r="I22" i="5"/>
  <c r="G22" i="5"/>
  <c r="I21" i="5"/>
  <c r="G21" i="5"/>
  <c r="I20" i="5"/>
  <c r="G20" i="5"/>
  <c r="I19" i="5"/>
  <c r="G19" i="5"/>
  <c r="I18" i="5"/>
  <c r="G18" i="5"/>
  <c r="I17" i="5"/>
  <c r="G17" i="5"/>
  <c r="I16" i="5"/>
  <c r="G16" i="5"/>
  <c r="I15" i="5"/>
  <c r="G15" i="5"/>
  <c r="I14" i="5"/>
  <c r="I24" i="5" s="1"/>
  <c r="G14" i="5"/>
  <c r="G36" i="5" l="1"/>
  <c r="C76" i="5" s="1"/>
  <c r="K10" i="1"/>
  <c r="J4" i="1" s="1"/>
  <c r="G24" i="5"/>
  <c r="C75" i="5" s="1"/>
  <c r="G60" i="5"/>
  <c r="C78" i="5" s="1"/>
  <c r="G72" i="5"/>
  <c r="C79" i="5" s="1"/>
  <c r="K24" i="5"/>
  <c r="K36" i="5"/>
  <c r="K48" i="5"/>
  <c r="D30" i="1" l="1"/>
  <c r="D31" i="1"/>
  <c r="D32" i="1"/>
  <c r="D29" i="1"/>
  <c r="D33" i="1" l="1"/>
  <c r="D34" i="1" s="1"/>
  <c r="D17" i="3" l="1"/>
  <c r="D19" i="3" s="1"/>
  <c r="D20" i="3" s="1"/>
  <c r="D21" i="3" s="1"/>
  <c r="P13" i="3"/>
  <c r="O13" i="3"/>
  <c r="N13" i="3"/>
  <c r="M13" i="3"/>
  <c r="L13" i="3"/>
  <c r="P12" i="3"/>
  <c r="O12" i="3"/>
  <c r="N12" i="3"/>
  <c r="M12" i="3"/>
  <c r="L12" i="3"/>
  <c r="P11" i="3"/>
  <c r="O11" i="3"/>
  <c r="N11" i="3"/>
  <c r="M11" i="3"/>
  <c r="L11" i="3"/>
  <c r="P10" i="3"/>
  <c r="O10" i="3"/>
  <c r="N10" i="3"/>
  <c r="M10" i="3"/>
  <c r="L10" i="3"/>
  <c r="P9" i="3"/>
  <c r="O9" i="3"/>
  <c r="N9" i="3"/>
  <c r="M9" i="3"/>
  <c r="L9" i="3"/>
  <c r="P8" i="3"/>
  <c r="O8" i="3"/>
  <c r="N8" i="3"/>
  <c r="M8" i="3"/>
  <c r="L8" i="3"/>
  <c r="P7" i="3"/>
  <c r="O7" i="3"/>
  <c r="N7" i="3"/>
  <c r="M7" i="3"/>
  <c r="L7" i="3"/>
  <c r="P6" i="3"/>
  <c r="O6" i="3"/>
  <c r="N6" i="3"/>
  <c r="M6" i="3"/>
  <c r="L6" i="3"/>
  <c r="P5" i="3"/>
  <c r="O5" i="3"/>
  <c r="N5" i="3"/>
  <c r="M5" i="3"/>
  <c r="L5" i="3"/>
  <c r="E5" i="3"/>
  <c r="G5" i="3" s="1"/>
  <c r="E32" i="1" l="1"/>
  <c r="E31" i="1"/>
  <c r="E30" i="1"/>
  <c r="E29" i="1"/>
  <c r="E27" i="1"/>
  <c r="E33" i="1" l="1"/>
  <c r="E34" i="1"/>
  <c r="C4" i="1"/>
  <c r="C8" i="1" l="1"/>
</calcChain>
</file>

<file path=xl/sharedStrings.xml><?xml version="1.0" encoding="utf-8"?>
<sst xmlns="http://schemas.openxmlformats.org/spreadsheetml/2006/main" count="18546" uniqueCount="3053">
  <si>
    <t>Month</t>
  </si>
  <si>
    <t>TOTAL</t>
  </si>
  <si>
    <t>IIF</t>
  </si>
  <si>
    <t>Annual Turnover</t>
  </si>
  <si>
    <t>EBITDA</t>
  </si>
  <si>
    <t>Loan Information</t>
  </si>
  <si>
    <t>BORROWER</t>
  </si>
  <si>
    <t>Limit</t>
  </si>
  <si>
    <t>Installment Amount</t>
  </si>
  <si>
    <t>Annual Repayment</t>
  </si>
  <si>
    <t>Grand TOTAL</t>
  </si>
  <si>
    <t>DSR</t>
  </si>
  <si>
    <t>Flat Rate Calculator</t>
  </si>
  <si>
    <t>Repayment Table</t>
  </si>
  <si>
    <t>Principal Amt
(RM)</t>
  </si>
  <si>
    <t>All Interest Rate
(BLR + %)</t>
  </si>
  <si>
    <t>Tenor
(Month)</t>
  </si>
  <si>
    <t>Monthly Installment
(Reducing Balance)</t>
  </si>
  <si>
    <t>Monthly Installment
(Flat)</t>
  </si>
  <si>
    <t>Flat Rate Equivalent</t>
  </si>
  <si>
    <t>Tenor/
Loan Amount</t>
  </si>
  <si>
    <t>* Current BLR is at 6.85%</t>
  </si>
  <si>
    <t>Instruction:-</t>
  </si>
  <si>
    <t>Only key-in the shaded blue fields</t>
  </si>
  <si>
    <t>The repayment table will follow the interest rate keyed-in above</t>
  </si>
  <si>
    <t>Other Income</t>
  </si>
  <si>
    <t>DIR Computation Template</t>
  </si>
  <si>
    <t>Borrower Name:</t>
  </si>
  <si>
    <t>AA No.:</t>
  </si>
  <si>
    <t>Submission Type:</t>
  </si>
  <si>
    <t>SME Financing</t>
  </si>
  <si>
    <t xml:space="preserve">Annual Personal Debt Repayment </t>
  </si>
  <si>
    <t>Director Name:</t>
  </si>
  <si>
    <t>Facility Type</t>
  </si>
  <si>
    <t>O/S Amount</t>
  </si>
  <si>
    <t>Approved Limit</t>
  </si>
  <si>
    <t>Interest Rate</t>
  </si>
  <si>
    <t>Tenure (Months)</t>
  </si>
  <si>
    <t>Annual Debt Repayment</t>
  </si>
  <si>
    <t>Actual Monthly Instalment</t>
  </si>
  <si>
    <t>Actual Annual Instalment</t>
  </si>
  <si>
    <t>Mortgage 1</t>
  </si>
  <si>
    <t>Mortgage 2</t>
  </si>
  <si>
    <t>Mortgage 3</t>
  </si>
  <si>
    <t>Mortgage 4</t>
  </si>
  <si>
    <t>Mortgage 5</t>
  </si>
  <si>
    <t>Mortgage 6</t>
  </si>
  <si>
    <t>Mortgage 7</t>
  </si>
  <si>
    <t>Mortgage 8</t>
  </si>
  <si>
    <t>Mortgage 9</t>
  </si>
  <si>
    <t>Mortgage 10</t>
  </si>
  <si>
    <t>Total</t>
  </si>
  <si>
    <t>Other Term Loan 1</t>
  </si>
  <si>
    <t>Other Term Loan 2</t>
  </si>
  <si>
    <t>Other Term Loan 3</t>
  </si>
  <si>
    <t>Other Term Loan 4</t>
  </si>
  <si>
    <t>Other Term Loan 5</t>
  </si>
  <si>
    <t>Other Term Loan 6</t>
  </si>
  <si>
    <t>Other Term Loan 7</t>
  </si>
  <si>
    <t>Other Term Loan 8</t>
  </si>
  <si>
    <t>Other Term Loan 9</t>
  </si>
  <si>
    <t>Other Term Loan 10</t>
  </si>
  <si>
    <t>Hire Purchase Leasing 1</t>
  </si>
  <si>
    <t>Hire Purchase Leasing 2</t>
  </si>
  <si>
    <t>Hire Purchase Leasing 3</t>
  </si>
  <si>
    <t>Hire Purchase Leasing 4</t>
  </si>
  <si>
    <t>Hire Purchase Leasing 5</t>
  </si>
  <si>
    <t>Hire Purchase Leasing 6</t>
  </si>
  <si>
    <t>Hire Purchase Leasing 7</t>
  </si>
  <si>
    <t>Hire Purchase Leasing 8</t>
  </si>
  <si>
    <t>Hire Purchase Leasing 9</t>
  </si>
  <si>
    <t>Hire Purchase Leasing 10</t>
  </si>
  <si>
    <t>Overdraft 1</t>
  </si>
  <si>
    <t>n/a</t>
  </si>
  <si>
    <t>Overdraft 2</t>
  </si>
  <si>
    <t>Overdraft 3</t>
  </si>
  <si>
    <t>Overdraft 4</t>
  </si>
  <si>
    <t>Overdraft 5</t>
  </si>
  <si>
    <t>Overdraft 6</t>
  </si>
  <si>
    <t>Overdraft 7</t>
  </si>
  <si>
    <t>Overdraft 8</t>
  </si>
  <si>
    <t>Overdraft 9</t>
  </si>
  <si>
    <t>Overdraft 10</t>
  </si>
  <si>
    <t>Directors Others 1</t>
  </si>
  <si>
    <t>Directors Others 2</t>
  </si>
  <si>
    <t>Directors Others 3</t>
  </si>
  <si>
    <t>Directors Others 4</t>
  </si>
  <si>
    <t>Directors Others 5</t>
  </si>
  <si>
    <t>Directors Others 6</t>
  </si>
  <si>
    <t>Directors Others 7</t>
  </si>
  <si>
    <t>Directors Others 8</t>
  </si>
  <si>
    <t>Directors Others 9</t>
  </si>
  <si>
    <t>Directors Others 10</t>
  </si>
  <si>
    <t>To be uploaded in LOADS</t>
  </si>
  <si>
    <t>Mortgage Full Inst. Amount</t>
  </si>
  <si>
    <t>Other Term Loan</t>
  </si>
  <si>
    <t>Hire Purchase Leasing</t>
  </si>
  <si>
    <t>OD Limit</t>
  </si>
  <si>
    <t>Director Others</t>
  </si>
  <si>
    <t>ARM Name:</t>
  </si>
  <si>
    <t>Date:</t>
  </si>
  <si>
    <t>Credit Turnover</t>
  </si>
  <si>
    <t>Total Turnover
(A+B)</t>
  </si>
  <si>
    <t xml:space="preserve">Pass / Fail </t>
  </si>
  <si>
    <t>Final Result</t>
  </si>
  <si>
    <t>Total 6 mths</t>
  </si>
  <si>
    <t xml:space="preserve">Min 4/6 mth </t>
  </si>
  <si>
    <t xml:space="preserve">Avg Monthly </t>
  </si>
  <si>
    <t>Min 70%/ month</t>
  </si>
  <si>
    <t>Adjusted CTO A</t>
  </si>
  <si>
    <t>Adjusted CTO B</t>
  </si>
  <si>
    <t>Rental Income</t>
  </si>
  <si>
    <t>Employment Income</t>
  </si>
  <si>
    <t>SICCODEPK</t>
  </si>
  <si>
    <t>DESCRIPTION</t>
  </si>
  <si>
    <t>SICCODETYPE (previous)</t>
  </si>
  <si>
    <t>SICCODETYPE (Effective 10th April 2020)</t>
  </si>
  <si>
    <t>BNMSECTORCODEFK</t>
  </si>
  <si>
    <t>ISLDESCRIPTION</t>
  </si>
  <si>
    <t>SHARIAHFLAG</t>
  </si>
  <si>
    <t>IHCFLAG</t>
  </si>
  <si>
    <t>SECTGROUP</t>
  </si>
  <si>
    <t>PRIORITYSECTOR</t>
  </si>
  <si>
    <t>CCRISSECTCODE</t>
  </si>
  <si>
    <t>IIFCODE% (Previous)</t>
  </si>
  <si>
    <t>IIFCODE %(Effective 10th April 2020)</t>
  </si>
  <si>
    <t>Var Chg (%IIF)</t>
  </si>
  <si>
    <t>SICCODETYPEUNSECURED (Previous)</t>
  </si>
  <si>
    <t>SICCODETYPEUNSECURED (Effective 5th April 2020)</t>
  </si>
  <si>
    <t>IFFCODEUNSECURED(previous)</t>
  </si>
  <si>
    <t>IFFCODEUNSECURED (Effectve 10th April 2020)</t>
  </si>
  <si>
    <t xml:space="preserve">Industry grouping </t>
  </si>
  <si>
    <t>0112</t>
  </si>
  <si>
    <t>Rice</t>
  </si>
  <si>
    <t>T</t>
  </si>
  <si>
    <t>01120</t>
  </si>
  <si>
    <t>Growing of paddy</t>
  </si>
  <si>
    <t>Y</t>
  </si>
  <si>
    <t>AG</t>
  </si>
  <si>
    <t>10</t>
  </si>
  <si>
    <t>Crops &amp; animal productions, hunting &amp; related service activities</t>
  </si>
  <si>
    <t>0161</t>
  </si>
  <si>
    <t>Vegetables and Melons</t>
  </si>
  <si>
    <t>0113X</t>
  </si>
  <si>
    <t>Growing of vegetables and melons, roots and tubers</t>
  </si>
  <si>
    <t>0181</t>
  </si>
  <si>
    <t>Ornamental Floriculture Nursery Products</t>
  </si>
  <si>
    <t>01299</t>
  </si>
  <si>
    <t>Growing of other perennial crops n.e.c.</t>
  </si>
  <si>
    <t>0175</t>
  </si>
  <si>
    <t>Deciduous Tree Fruits</t>
  </si>
  <si>
    <t>0172</t>
  </si>
  <si>
    <t>Grapes</t>
  </si>
  <si>
    <t>0174</t>
  </si>
  <si>
    <t>Citrus Fruits</t>
  </si>
  <si>
    <t>0173</t>
  </si>
  <si>
    <t>Tree Nuts</t>
  </si>
  <si>
    <t>0782</t>
  </si>
  <si>
    <t>Lawn and Garden Services</t>
  </si>
  <si>
    <t>N</t>
  </si>
  <si>
    <t>0</t>
  </si>
  <si>
    <t>0783</t>
  </si>
  <si>
    <t>Ornamental Shrub and Tree Services</t>
  </si>
  <si>
    <t>0171</t>
  </si>
  <si>
    <t>Berry Crops</t>
  </si>
  <si>
    <t>Pepper</t>
  </si>
  <si>
    <t>0133</t>
  </si>
  <si>
    <t>Sugarcane and Sugar Beets</t>
  </si>
  <si>
    <t>01140</t>
  </si>
  <si>
    <t>Growing of sugar cane</t>
  </si>
  <si>
    <t>01261</t>
  </si>
  <si>
    <t>Oil palm (estate)</t>
  </si>
  <si>
    <t>Growing of oil palm (estate)</t>
  </si>
  <si>
    <t>01262</t>
  </si>
  <si>
    <t>Oil palm (smallholdings)</t>
  </si>
  <si>
    <t>01263</t>
  </si>
  <si>
    <t>Coconut (estate &amp; smallholdings)</t>
  </si>
  <si>
    <t>Growing of coconut (estate and smallholdings)</t>
  </si>
  <si>
    <t>01269</t>
  </si>
  <si>
    <t>Other oleaginous fruits n.e.c.</t>
  </si>
  <si>
    <t>01273</t>
  </si>
  <si>
    <t>Cocoa</t>
  </si>
  <si>
    <t>Growing of cocoa</t>
  </si>
  <si>
    <t>01279</t>
  </si>
  <si>
    <t>Other beverage crops n.e.c.</t>
  </si>
  <si>
    <t>01291</t>
  </si>
  <si>
    <t>Rubber trees</t>
  </si>
  <si>
    <t>Growing  of rubber trees</t>
  </si>
  <si>
    <t>0116</t>
  </si>
  <si>
    <t>Soybeans</t>
  </si>
  <si>
    <t>0134</t>
  </si>
  <si>
    <t>Irish Potatoes</t>
  </si>
  <si>
    <t>0131</t>
  </si>
  <si>
    <t>Cotton</t>
  </si>
  <si>
    <t>0115</t>
  </si>
  <si>
    <t>Corn</t>
  </si>
  <si>
    <t>0179</t>
  </si>
  <si>
    <t>Fruits and Tree Nuts, N.E.C.</t>
  </si>
  <si>
    <t>0182</t>
  </si>
  <si>
    <t>Food Crops Grown Under Cover</t>
  </si>
  <si>
    <t>0119</t>
  </si>
  <si>
    <t>Cash Grains, N.E.C</t>
  </si>
  <si>
    <t>0132</t>
  </si>
  <si>
    <t>Tobacco</t>
  </si>
  <si>
    <t>0139</t>
  </si>
  <si>
    <t>Field Crops, Except Cash Grains, N.E.C</t>
  </si>
  <si>
    <t>0191</t>
  </si>
  <si>
    <t>General Farms, Primarily Crop</t>
  </si>
  <si>
    <t>0119X</t>
  </si>
  <si>
    <t>Growing of other  non-perennial crops</t>
  </si>
  <si>
    <t>Growing of other non-perennial crops</t>
  </si>
  <si>
    <t>0111</t>
  </si>
  <si>
    <t>Wheat</t>
  </si>
  <si>
    <t>0130X</t>
  </si>
  <si>
    <t>Plant propagation</t>
  </si>
  <si>
    <t>0212</t>
  </si>
  <si>
    <t>Beef Cattle, Except Feedlots</t>
  </si>
  <si>
    <t>0141X</t>
  </si>
  <si>
    <t>Raising of cattle and buffaloes</t>
  </si>
  <si>
    <t>0214</t>
  </si>
  <si>
    <t>Sheep and Goats</t>
  </si>
  <si>
    <t>0144X</t>
  </si>
  <si>
    <t>Raising of sheep and goats</t>
  </si>
  <si>
    <t>0213</t>
  </si>
  <si>
    <t>Hogs</t>
  </si>
  <si>
    <t>0145X</t>
  </si>
  <si>
    <t>Raising of swine/pigs</t>
  </si>
  <si>
    <t>0259</t>
  </si>
  <si>
    <t>Poultry and Eggs, N.E.C.</t>
  </si>
  <si>
    <t>0146X</t>
  </si>
  <si>
    <t>Raising of poultry</t>
  </si>
  <si>
    <t>0254</t>
  </si>
  <si>
    <t>Poultry Hatcheries</t>
  </si>
  <si>
    <t>0149X</t>
  </si>
  <si>
    <t>Raising of other animal</t>
  </si>
  <si>
    <t>0291</t>
  </si>
  <si>
    <t>General Farms, Primarily Livestock and Animal Specialties</t>
  </si>
  <si>
    <t>0253</t>
  </si>
  <si>
    <t>Turkeys and Turkey Eggs</t>
  </si>
  <si>
    <t>0272</t>
  </si>
  <si>
    <t>Horses and Other Equines</t>
  </si>
  <si>
    <t>0211</t>
  </si>
  <si>
    <t>Beef Cattle Feedlots (Custom)</t>
  </si>
  <si>
    <t>0252</t>
  </si>
  <si>
    <t>Chicken Eggs</t>
  </si>
  <si>
    <t>0251</t>
  </si>
  <si>
    <t>Broiler, Fryer, and Roaster Chickens</t>
  </si>
  <si>
    <t>0219</t>
  </si>
  <si>
    <t>General Livestock, Except Dairy and Poultry</t>
  </si>
  <si>
    <t>0241</t>
  </si>
  <si>
    <t>Dairy Farms</t>
  </si>
  <si>
    <t>0271</t>
  </si>
  <si>
    <t>Fur-Bearing Animals and Rabbits</t>
  </si>
  <si>
    <t>01500</t>
  </si>
  <si>
    <t>Agricltural and animal husbandry service activites except veterinary activities</t>
  </si>
  <si>
    <t>Mixed farming</t>
  </si>
  <si>
    <t>01501</t>
  </si>
  <si>
    <t>Growing of crops combined with farming of livestock</t>
  </si>
  <si>
    <t>0741</t>
  </si>
  <si>
    <t>Veterinary Services for Livestock</t>
  </si>
  <si>
    <t>0724</t>
  </si>
  <si>
    <t>Cotton Ginning</t>
  </si>
  <si>
    <t>0279</t>
  </si>
  <si>
    <t>Animal Specialties, N.E.C</t>
  </si>
  <si>
    <t>0711</t>
  </si>
  <si>
    <t>Soil Preparation Services</t>
  </si>
  <si>
    <t>0781</t>
  </si>
  <si>
    <t>Landscape Counseling and Planning</t>
  </si>
  <si>
    <t>0723</t>
  </si>
  <si>
    <t>Crop Preparation Service for Market, Except Cotton Ginning</t>
  </si>
  <si>
    <t>0761</t>
  </si>
  <si>
    <t>Farm Labor Contractors and Crew Leaders</t>
  </si>
  <si>
    <t>0722</t>
  </si>
  <si>
    <t>Crop Harvesting, Primarily by Machine</t>
  </si>
  <si>
    <t>0762</t>
  </si>
  <si>
    <t>Farm Management Services</t>
  </si>
  <si>
    <t>0721</t>
  </si>
  <si>
    <t>Crop Planting, Cultivating, and Protecting</t>
  </si>
  <si>
    <t>016XX</t>
  </si>
  <si>
    <t>Support activities to agriculture and post-harvest crops activities</t>
  </si>
  <si>
    <t>0751</t>
  </si>
  <si>
    <t>Livestock Services, Except Veterinary</t>
  </si>
  <si>
    <t>0971</t>
  </si>
  <si>
    <t>Hunting and Trapping, and Game Propagation</t>
  </si>
  <si>
    <t>0170X</t>
  </si>
  <si>
    <t>Hunting, trapping and related service activities</t>
  </si>
  <si>
    <t>0831</t>
  </si>
  <si>
    <t>Forest Nurseries and Gathering of Forest Products</t>
  </si>
  <si>
    <t>0210X</t>
  </si>
  <si>
    <t>Silviculture and other forestry activities</t>
  </si>
  <si>
    <t>Forestry/ Logging</t>
  </si>
  <si>
    <t>0851</t>
  </si>
  <si>
    <t>Forestry Services</t>
  </si>
  <si>
    <t>0811</t>
  </si>
  <si>
    <t>Timber Tracts</t>
  </si>
  <si>
    <t>Other related activities n.e.c</t>
  </si>
  <si>
    <t>2411</t>
  </si>
  <si>
    <t>Logging</t>
  </si>
  <si>
    <t>0220X</t>
  </si>
  <si>
    <t>0230X</t>
  </si>
  <si>
    <t>Gathering non-wood forest products</t>
  </si>
  <si>
    <t>0240X</t>
  </si>
  <si>
    <t>Support service to forestry</t>
  </si>
  <si>
    <t>031XX</t>
  </si>
  <si>
    <t>Fish-Ocean, Coastal</t>
  </si>
  <si>
    <t>Fishing</t>
  </si>
  <si>
    <t>Fishing &amp; Aquaculture</t>
  </si>
  <si>
    <t>0921</t>
  </si>
  <si>
    <t>Fish Hatcheries and Preserves</t>
  </si>
  <si>
    <t>0912</t>
  </si>
  <si>
    <t>Finfish</t>
  </si>
  <si>
    <t>0919</t>
  </si>
  <si>
    <t>Miscellaneous Marine Products</t>
  </si>
  <si>
    <t>0913</t>
  </si>
  <si>
    <t>Shellfish</t>
  </si>
  <si>
    <t>Other service activities incidential to fishing</t>
  </si>
  <si>
    <t>0273</t>
  </si>
  <si>
    <t>Animal Aquaculture</t>
  </si>
  <si>
    <t>032XX</t>
  </si>
  <si>
    <t>Aquaculture</t>
  </si>
  <si>
    <t>05XXX</t>
  </si>
  <si>
    <t>Mining of coal and lignite; extraction of peat</t>
  </si>
  <si>
    <t>Mining of coal and lignite</t>
  </si>
  <si>
    <t>MQ</t>
  </si>
  <si>
    <t>Mining &amp; Quarrying</t>
  </si>
  <si>
    <t>1311</t>
  </si>
  <si>
    <t>Crude petroleum and natural gas</t>
  </si>
  <si>
    <t>0610X</t>
  </si>
  <si>
    <t>Extraction of crude petroleum</t>
  </si>
  <si>
    <t>1321</t>
  </si>
  <si>
    <t>Natural gas liquids</t>
  </si>
  <si>
    <t>0620X</t>
  </si>
  <si>
    <t>Extraction of natural gas</t>
  </si>
  <si>
    <t>1099</t>
  </si>
  <si>
    <t>Metal ores</t>
  </si>
  <si>
    <t>0710X</t>
  </si>
  <si>
    <t>Mining of iron ores</t>
  </si>
  <si>
    <t>1081</t>
  </si>
  <si>
    <t>Metal mining services</t>
  </si>
  <si>
    <t>1011</t>
  </si>
  <si>
    <t>Iron ores</t>
  </si>
  <si>
    <t>1094</t>
  </si>
  <si>
    <t>Uranium-radium-vanadium ores</t>
  </si>
  <si>
    <t>07210</t>
  </si>
  <si>
    <t>Mining of uranium and thorium ores</t>
  </si>
  <si>
    <t>07291</t>
  </si>
  <si>
    <t>Tin Mining</t>
  </si>
  <si>
    <t>Mining of tin ores</t>
  </si>
  <si>
    <t>1021</t>
  </si>
  <si>
    <t>Copper ores</t>
  </si>
  <si>
    <t>07299</t>
  </si>
  <si>
    <t>Mining of other non-ferrous metal ores n.e.c.</t>
  </si>
  <si>
    <t>1222</t>
  </si>
  <si>
    <t>Bituminous coal - underground</t>
  </si>
  <si>
    <t>1041</t>
  </si>
  <si>
    <t>Gold ores</t>
  </si>
  <si>
    <t>1221</t>
  </si>
  <si>
    <t>Bituminous coal and lignite - surface</t>
  </si>
  <si>
    <t>1231</t>
  </si>
  <si>
    <t>Anthracite mining</t>
  </si>
  <si>
    <t>1241</t>
  </si>
  <si>
    <t>Coal mining services</t>
  </si>
  <si>
    <t>1031</t>
  </si>
  <si>
    <t>Lead and zinc ores</t>
  </si>
  <si>
    <t>1061</t>
  </si>
  <si>
    <t>Ferroalloy ores, except vanadium</t>
  </si>
  <si>
    <t>1044</t>
  </si>
  <si>
    <t>Silver ores</t>
  </si>
  <si>
    <t>1459</t>
  </si>
  <si>
    <t>Clay and related minerals</t>
  </si>
  <si>
    <t>08100</t>
  </si>
  <si>
    <t>Stonequarrying, clay &amp; sand pits</t>
  </si>
  <si>
    <t>08XXX</t>
  </si>
  <si>
    <t>1446</t>
  </si>
  <si>
    <t>Industrial sand</t>
  </si>
  <si>
    <t>1423</t>
  </si>
  <si>
    <t>Crushed and broken granite</t>
  </si>
  <si>
    <t>1429</t>
  </si>
  <si>
    <t>Crushed and broken stone</t>
  </si>
  <si>
    <t>1455</t>
  </si>
  <si>
    <t>Kaolin and ball clay</t>
  </si>
  <si>
    <t>1442</t>
  </si>
  <si>
    <t>Construction sand and gravel</t>
  </si>
  <si>
    <t>1479</t>
  </si>
  <si>
    <t>Chemical and fertilizer mining</t>
  </si>
  <si>
    <t>08200</t>
  </si>
  <si>
    <t>Chemical &amp; fertiliser mining</t>
  </si>
  <si>
    <t>1481</t>
  </si>
  <si>
    <t>Nonmetallic minerals services</t>
  </si>
  <si>
    <t>Salt Mining</t>
  </si>
  <si>
    <t>08300</t>
  </si>
  <si>
    <t>1475</t>
  </si>
  <si>
    <t>Phosphate rock</t>
  </si>
  <si>
    <t>Other mining and quarrying</t>
  </si>
  <si>
    <t>1474</t>
  </si>
  <si>
    <t>Potash, soda, and borate minerals</t>
  </si>
  <si>
    <t>1411</t>
  </si>
  <si>
    <t>Dimension stone</t>
  </si>
  <si>
    <t>1422</t>
  </si>
  <si>
    <t>Crushed and broken limestone</t>
  </si>
  <si>
    <t>1499</t>
  </si>
  <si>
    <t>Miscellaneous nonmetallic minerals</t>
  </si>
  <si>
    <t>1381</t>
  </si>
  <si>
    <t>Drilling oil and gas wells</t>
  </si>
  <si>
    <t>0910X</t>
  </si>
  <si>
    <t>Support Activities for Petroleum and Natural Gas Extraction</t>
  </si>
  <si>
    <t>1389</t>
  </si>
  <si>
    <t>Oil and gas field services</t>
  </si>
  <si>
    <t>1382</t>
  </si>
  <si>
    <t>Oil and gas exploration services</t>
  </si>
  <si>
    <t>09900</t>
  </si>
  <si>
    <t>Support activities for other mining and quarrying</t>
  </si>
  <si>
    <t>2013</t>
  </si>
  <si>
    <t>Sausages and Other Prepared Meat Products</t>
  </si>
  <si>
    <t>1010X</t>
  </si>
  <si>
    <t>Processing and preserving of meat</t>
  </si>
  <si>
    <t>MA</t>
  </si>
  <si>
    <t>12</t>
  </si>
  <si>
    <t>Manufacture of F&amp;B products</t>
  </si>
  <si>
    <t>2015</t>
  </si>
  <si>
    <t>Poultry Slaughtering and Processing</t>
  </si>
  <si>
    <t>2011</t>
  </si>
  <si>
    <t>Meat Packing Plants</t>
  </si>
  <si>
    <t>2038</t>
  </si>
  <si>
    <t>Frozen Specialties, N.E.C.</t>
  </si>
  <si>
    <t>2092</t>
  </si>
  <si>
    <t>Prepared Fresh or Frozen Fish and Seafoods</t>
  </si>
  <si>
    <t>1020X</t>
  </si>
  <si>
    <t>Processing and preserving of fish, crustaceans and molluscs</t>
  </si>
  <si>
    <t>2091</t>
  </si>
  <si>
    <t>Canned and Cured Fish and Seafoods</t>
  </si>
  <si>
    <t>2033</t>
  </si>
  <si>
    <t>Canned Fruits, Vegetables, Preserves, Jams, and Jellies</t>
  </si>
  <si>
    <t>1030X</t>
  </si>
  <si>
    <t>Processing and preserving of fruits and vegetables</t>
  </si>
  <si>
    <t>2035</t>
  </si>
  <si>
    <t>Pickled Fruits and Vegetables, Vegetable Sauces and Seasonings, and Salad Dressings</t>
  </si>
  <si>
    <t>2037</t>
  </si>
  <si>
    <t>Frozen Fruits, Fruit Juices, and Vegetables</t>
  </si>
  <si>
    <t>2034</t>
  </si>
  <si>
    <t>Dried and Dehydrated Fruits, Vegetables, and Soup Mixes</t>
  </si>
  <si>
    <t>10401</t>
  </si>
  <si>
    <t>Processing - Palm Oil - Edible</t>
  </si>
  <si>
    <t>Manufacture of crude palm oil</t>
  </si>
  <si>
    <t>10403</t>
  </si>
  <si>
    <t>Processing - Palm Oil - Non-Edible</t>
  </si>
  <si>
    <t>10402</t>
  </si>
  <si>
    <t>Manufacture of refined palm oil</t>
  </si>
  <si>
    <t>Manufacture of chemicals related/ Coke &amp; refined petroleum products</t>
  </si>
  <si>
    <t>2079</t>
  </si>
  <si>
    <t>Shortening, Table Oils, Margarine, and Other Edible Fats and Oils, N.E.C.</t>
  </si>
  <si>
    <t>10499</t>
  </si>
  <si>
    <t>Other manufacture of vegetable and animal oils and fats</t>
  </si>
  <si>
    <t>2076</t>
  </si>
  <si>
    <t>Vegetable Oil Mills, Except Corn, Cottonseed, and Soybean</t>
  </si>
  <si>
    <t>2075</t>
  </si>
  <si>
    <t>Soybean Oil Mills</t>
  </si>
  <si>
    <t>2077</t>
  </si>
  <si>
    <t>Animal and Marine Fats and Oils</t>
  </si>
  <si>
    <t>2074</t>
  </si>
  <si>
    <t>Cottonseed Oil Mills</t>
  </si>
  <si>
    <t>2023</t>
  </si>
  <si>
    <t>Dry, Condensed, and Evaporated Dairy Products</t>
  </si>
  <si>
    <t>1050X</t>
  </si>
  <si>
    <t>Manufacture of dairy products</t>
  </si>
  <si>
    <t>2044</t>
  </si>
  <si>
    <t>Rice Milling</t>
  </si>
  <si>
    <t>106XX</t>
  </si>
  <si>
    <t>Manufacture of grain mill products, starches and starch products</t>
  </si>
  <si>
    <t>2046</t>
  </si>
  <si>
    <t>Wet Corn Milling</t>
  </si>
  <si>
    <t>2041</t>
  </si>
  <si>
    <t>Flour and Other Grain Mill Products</t>
  </si>
  <si>
    <t>2045</t>
  </si>
  <si>
    <t>Prepared Flour Mixes and Doughs</t>
  </si>
  <si>
    <t>2052</t>
  </si>
  <si>
    <t>Cookies and Crackers</t>
  </si>
  <si>
    <t>107XX</t>
  </si>
  <si>
    <t>Manufacture of other food products</t>
  </si>
  <si>
    <t>2051</t>
  </si>
  <si>
    <t>Bread and Other Bakery Products, Except Cookies and Crackers</t>
  </si>
  <si>
    <t>2062</t>
  </si>
  <si>
    <t>Cane Sugar Refining</t>
  </si>
  <si>
    <t>2061</t>
  </si>
  <si>
    <t>Cane Sugar, Except Refining</t>
  </si>
  <si>
    <t>2063</t>
  </si>
  <si>
    <t>Beet Sugar</t>
  </si>
  <si>
    <t>2064</t>
  </si>
  <si>
    <t>Candy and Other Confectionery Products</t>
  </si>
  <si>
    <t>2066</t>
  </si>
  <si>
    <t>Chocolate and Cocoa Products</t>
  </si>
  <si>
    <t>2099</t>
  </si>
  <si>
    <t>Food Preparations, N.E.C.</t>
  </si>
  <si>
    <t>2098</t>
  </si>
  <si>
    <t>Macaroni, Spaghetti, Vermicelli, and Noodles</t>
  </si>
  <si>
    <t>2053</t>
  </si>
  <si>
    <t>Frozen Bakery Products, Except Bread</t>
  </si>
  <si>
    <t>2097</t>
  </si>
  <si>
    <t>Manufactured Ice</t>
  </si>
  <si>
    <t>2095</t>
  </si>
  <si>
    <t>Roasted Coffee</t>
  </si>
  <si>
    <t>2096</t>
  </si>
  <si>
    <t>Potato Chips, Corn Chips, and Similar Snacks</t>
  </si>
  <si>
    <t>2067</t>
  </si>
  <si>
    <t>Chewing Gum</t>
  </si>
  <si>
    <t>2068</t>
  </si>
  <si>
    <t>Salted and Roasted Nuts and Seeds</t>
  </si>
  <si>
    <t>2043</t>
  </si>
  <si>
    <t>Cereal Breakfast Foods</t>
  </si>
  <si>
    <t>2047</t>
  </si>
  <si>
    <t>Dog and Cat Food</t>
  </si>
  <si>
    <t>10800</t>
  </si>
  <si>
    <t>Manufacture of prepared animal feeds</t>
  </si>
  <si>
    <t>2048</t>
  </si>
  <si>
    <t>Prepared Feeds and Feed Ingredients for Animals and Fowls, Except Dogs and Cats</t>
  </si>
  <si>
    <t>2085</t>
  </si>
  <si>
    <t>Distilled and Blended Liquors</t>
  </si>
  <si>
    <t>11010</t>
  </si>
  <si>
    <t>Distilling, rectifying and blending of spirits</t>
  </si>
  <si>
    <t>110XX</t>
  </si>
  <si>
    <t>2084</t>
  </si>
  <si>
    <t>Wines, Brandy, and Brandy Spirits</t>
  </si>
  <si>
    <t>Wine industries</t>
  </si>
  <si>
    <t>11020</t>
  </si>
  <si>
    <t>Manufacture of wines</t>
  </si>
  <si>
    <t>2083</t>
  </si>
  <si>
    <t>Malt</t>
  </si>
  <si>
    <t>11030</t>
  </si>
  <si>
    <t>Manufacture of malt liquors and malt</t>
  </si>
  <si>
    <t>2082</t>
  </si>
  <si>
    <t>Malt Beverages</t>
  </si>
  <si>
    <t>2086</t>
  </si>
  <si>
    <t>Bottled and Canned Soft Drinks and Carbonated Waters</t>
  </si>
  <si>
    <t>11041</t>
  </si>
  <si>
    <t>Manufacture of soft drinks</t>
  </si>
  <si>
    <t>2087</t>
  </si>
  <si>
    <t>Flavoring Extracts and Flavoring Syrups, N.E.C.</t>
  </si>
  <si>
    <t>11043</t>
  </si>
  <si>
    <t>Manufacture of other beverages n.e.c.</t>
  </si>
  <si>
    <t>2141</t>
  </si>
  <si>
    <t>Tobacco Stemming and Redrying</t>
  </si>
  <si>
    <t>12000</t>
  </si>
  <si>
    <t>Manufacture of tobacco products</t>
  </si>
  <si>
    <t>8</t>
  </si>
  <si>
    <t>2121</t>
  </si>
  <si>
    <t>Cigars</t>
  </si>
  <si>
    <t>2111</t>
  </si>
  <si>
    <t>Cigarettes</t>
  </si>
  <si>
    <t>2131</t>
  </si>
  <si>
    <t>Chewing and Smoking Tobacco and Snuff</t>
  </si>
  <si>
    <t>2284</t>
  </si>
  <si>
    <t>Thread Mills</t>
  </si>
  <si>
    <t>13XXX</t>
  </si>
  <si>
    <t>Manufacture of textiles</t>
  </si>
  <si>
    <t>9</t>
  </si>
  <si>
    <t>Manufacture of textiles &amp; wearables</t>
  </si>
  <si>
    <t>2221</t>
  </si>
  <si>
    <t>Broadwoven Fabric Mills, Manmade Fiber and Silk</t>
  </si>
  <si>
    <t>2241</t>
  </si>
  <si>
    <t>Narrow Fabric and Other Smallwares Mills: Cotton, Wool, Silk and Manmade Fiber</t>
  </si>
  <si>
    <t>2211</t>
  </si>
  <si>
    <t>Broadwoven Fabric Mills, Cotton</t>
  </si>
  <si>
    <t>2281</t>
  </si>
  <si>
    <t>Yarn Spinning Mills</t>
  </si>
  <si>
    <t>2231</t>
  </si>
  <si>
    <t>Broadwoven Fabric Mills, Wool (Including Dyeing and Finishing)</t>
  </si>
  <si>
    <t>2395</t>
  </si>
  <si>
    <t>Pleating, Decorative and Novelty Stitching, and Tucking for the Trade</t>
  </si>
  <si>
    <t>2254</t>
  </si>
  <si>
    <t>Knit Underwear and Nightwear Mills</t>
  </si>
  <si>
    <t>2259</t>
  </si>
  <si>
    <t>Knitting Mills, N.E.C.</t>
  </si>
  <si>
    <t>2282</t>
  </si>
  <si>
    <t>Yarn Texturizing, Throwing, Twisting, and Winding Mills</t>
  </si>
  <si>
    <t>2257</t>
  </si>
  <si>
    <t>Weft Knit Fabric Mills</t>
  </si>
  <si>
    <t>2258</t>
  </si>
  <si>
    <t>Lace and Warp Knit Fabric Mills</t>
  </si>
  <si>
    <t>2253</t>
  </si>
  <si>
    <t>Knit Outerwear Mills</t>
  </si>
  <si>
    <t>2397</t>
  </si>
  <si>
    <t>Schiffli Machine Embroideries</t>
  </si>
  <si>
    <t>knitted and crocheted fabrics and articles</t>
  </si>
  <si>
    <t>2392</t>
  </si>
  <si>
    <t>Housefurnishings, Except Curtains and Draperies</t>
  </si>
  <si>
    <t>2299</t>
  </si>
  <si>
    <t>Textile Goods, N.E.C.</t>
  </si>
  <si>
    <t>2262</t>
  </si>
  <si>
    <t>Finishers of Broadwoven Fabrics of Manmade Fiber and Silk</t>
  </si>
  <si>
    <t>2261</t>
  </si>
  <si>
    <t>Finishers of Broadwoven Fabrics of Cotton</t>
  </si>
  <si>
    <t>2269</t>
  </si>
  <si>
    <t>Finishers of Textiles, N.E.C.</t>
  </si>
  <si>
    <t>2393</t>
  </si>
  <si>
    <t>Textile Bags</t>
  </si>
  <si>
    <t>2385</t>
  </si>
  <si>
    <t>Waterproof Outerwear</t>
  </si>
  <si>
    <t>2399</t>
  </si>
  <si>
    <t>Fabricated Textile Products, N.E.C.</t>
  </si>
  <si>
    <t>2391</t>
  </si>
  <si>
    <t>Curtains and Draperies</t>
  </si>
  <si>
    <t>2273</t>
  </si>
  <si>
    <t>Carpets and Rugs</t>
  </si>
  <si>
    <t>2298</t>
  </si>
  <si>
    <t>Cordage and Twine</t>
  </si>
  <si>
    <t>2297</t>
  </si>
  <si>
    <t>Nonwoven Fabrics</t>
  </si>
  <si>
    <t>2296</t>
  </si>
  <si>
    <t>Tire Cord and Fabrics</t>
  </si>
  <si>
    <t>2396</t>
  </si>
  <si>
    <t>Automotive Trimmings, Apparel Findings, and Related Products</t>
  </si>
  <si>
    <t>2295</t>
  </si>
  <si>
    <t>Coated Fabrics, Not Rubberized</t>
  </si>
  <si>
    <t>2386</t>
  </si>
  <si>
    <t>Leather and Sheep-Lined Clothing</t>
  </si>
  <si>
    <t>2394</t>
  </si>
  <si>
    <t>Canvas and Related Products</t>
  </si>
  <si>
    <t>2335</t>
  </si>
  <si>
    <t>Women's, Misses', and Juniors' Dresses</t>
  </si>
  <si>
    <t>14XXX</t>
  </si>
  <si>
    <t>Manufacture of wearing apparel</t>
  </si>
  <si>
    <t>2321</t>
  </si>
  <si>
    <t>Men's and Boys' Shirts, Except Work Shirts</t>
  </si>
  <si>
    <t>2311</t>
  </si>
  <si>
    <t>Men's and Boys' Suits, Coats and Overcoats</t>
  </si>
  <si>
    <t>2369</t>
  </si>
  <si>
    <t>Girls', Children's, and Infants' Outerwear, N.E.C.</t>
  </si>
  <si>
    <t>2252</t>
  </si>
  <si>
    <t>Hosiery, N.E.C.</t>
  </si>
  <si>
    <t>2251</t>
  </si>
  <si>
    <t>Women's Full-Length and Knee-Length Hosiery, Except Socks</t>
  </si>
  <si>
    <t>2326</t>
  </si>
  <si>
    <t>Men's and Boys' Work Clothing</t>
  </si>
  <si>
    <t>2322</t>
  </si>
  <si>
    <t>Men's and Boys' Underwear and Nightwear</t>
  </si>
  <si>
    <t>2323</t>
  </si>
  <si>
    <t>Men's and Boys' Neckwear</t>
  </si>
  <si>
    <t>2329</t>
  </si>
  <si>
    <t>Men's and Boys' Clothing, N.E.C.</t>
  </si>
  <si>
    <t>2337</t>
  </si>
  <si>
    <t>Women's, Misses', and Juniors' Suits, Skirts, and Coats</t>
  </si>
  <si>
    <t>2361</t>
  </si>
  <si>
    <t>Girls', Children's, and Infants' Dresses, Blouses, and Shirts</t>
  </si>
  <si>
    <t>2381</t>
  </si>
  <si>
    <t>Dress and Work Gloves, Except Knit and All-Leather</t>
  </si>
  <si>
    <t>2384</t>
  </si>
  <si>
    <t>Robes and Dressing Gowns</t>
  </si>
  <si>
    <t>2341</t>
  </si>
  <si>
    <t>Women's, Misses', Children's, and Infants' Underwear and Nightwear</t>
  </si>
  <si>
    <t>2339</t>
  </si>
  <si>
    <t>Women's, Misses', and Juniors' Outerwear, N.E.C.</t>
  </si>
  <si>
    <t>2342</t>
  </si>
  <si>
    <t>Brassieres, Girdles, and Allied Garments</t>
  </si>
  <si>
    <t>2325</t>
  </si>
  <si>
    <t>Men's and Boys' Separate Trousers and Slacks</t>
  </si>
  <si>
    <t>2353</t>
  </si>
  <si>
    <t>Hats, Caps, and Millinery</t>
  </si>
  <si>
    <t>2331</t>
  </si>
  <si>
    <t>Women's, Misses', and Juniors' Blouses and Shirts</t>
  </si>
  <si>
    <t>2371</t>
  </si>
  <si>
    <t>Fur Goods</t>
  </si>
  <si>
    <t>3111</t>
  </si>
  <si>
    <t>Leather Tanning and Finishing</t>
  </si>
  <si>
    <t>151XX</t>
  </si>
  <si>
    <t>Tanning and dressing of leather; manufacture of luggage, handbags, saddlery and harness; dressing and dyeing of fur</t>
  </si>
  <si>
    <t>3151</t>
  </si>
  <si>
    <t>Leather Gloves and Mittens</t>
  </si>
  <si>
    <t>3172</t>
  </si>
  <si>
    <t>Personal Leather Goods, Except Women's Handbags and Purses</t>
  </si>
  <si>
    <t>3199</t>
  </si>
  <si>
    <t>Leather Goods, N.E.C.</t>
  </si>
  <si>
    <t>3161</t>
  </si>
  <si>
    <t>Luggage</t>
  </si>
  <si>
    <t>3171</t>
  </si>
  <si>
    <t>Women's Handbags and Purses</t>
  </si>
  <si>
    <t>2387</t>
  </si>
  <si>
    <t>Apparel Belts</t>
  </si>
  <si>
    <t>2389</t>
  </si>
  <si>
    <t>Apparel and Accessories, N.E.C.</t>
  </si>
  <si>
    <t>3142</t>
  </si>
  <si>
    <t>House Slippers</t>
  </si>
  <si>
    <t>1520X</t>
  </si>
  <si>
    <t>Manufacture of footwear</t>
  </si>
  <si>
    <t>3144</t>
  </si>
  <si>
    <t>Women's Footwear, Except Athletic</t>
  </si>
  <si>
    <t>3131</t>
  </si>
  <si>
    <t>Boot and Shoe Cut Stock and Findings</t>
  </si>
  <si>
    <t>3149</t>
  </si>
  <si>
    <t>Footwear, Except Rubber, N.E.C.</t>
  </si>
  <si>
    <t>3143</t>
  </si>
  <si>
    <t>Men's Footwear, Except Athletic</t>
  </si>
  <si>
    <t>2421</t>
  </si>
  <si>
    <t>Sawmills and Planing Mills, General</t>
  </si>
  <si>
    <t>16XXX</t>
  </si>
  <si>
    <t>Manufacture of wood and products of wood and cork, except furniture; manufacture of articles of straw and plaiting materials</t>
  </si>
  <si>
    <t>Manufacture of wood / paper &amp; paper related products</t>
  </si>
  <si>
    <t>2429</t>
  </si>
  <si>
    <t>Special Product Sawmills, N.E.C.</t>
  </si>
  <si>
    <t>2426</t>
  </si>
  <si>
    <t>Hardwood Dimension and Flooring Mills</t>
  </si>
  <si>
    <t>2431</t>
  </si>
  <si>
    <t>Millwork</t>
  </si>
  <si>
    <t>2435</t>
  </si>
  <si>
    <t>Hardwood Veneer and Plywood</t>
  </si>
  <si>
    <t>2434</t>
  </si>
  <si>
    <t>Wood Kitchen Cabinets</t>
  </si>
  <si>
    <t>2436</t>
  </si>
  <si>
    <t>Softwood Veneer and Plywood</t>
  </si>
  <si>
    <t>2452</t>
  </si>
  <si>
    <t>Prefabricated Wood Buildings and Components</t>
  </si>
  <si>
    <t>2449</t>
  </si>
  <si>
    <t>Wood Containers, N.E.C.</t>
  </si>
  <si>
    <t>2451</t>
  </si>
  <si>
    <t>Mobile Homes</t>
  </si>
  <si>
    <t>2448</t>
  </si>
  <si>
    <t>Wood Pallets and Skids</t>
  </si>
  <si>
    <t>2493</t>
  </si>
  <si>
    <t>Reconstituted Wood Products</t>
  </si>
  <si>
    <t>2491</t>
  </si>
  <si>
    <t>Wood Preserving</t>
  </si>
  <si>
    <t>2439</t>
  </si>
  <si>
    <t>Structural Wood Members, N.E.C.</t>
  </si>
  <si>
    <t>2499</t>
  </si>
  <si>
    <t>Wood Products, N.E.C.</t>
  </si>
  <si>
    <t>2441</t>
  </si>
  <si>
    <t>Nailed and Lock Corner Wood Boxes</t>
  </si>
  <si>
    <t>2611</t>
  </si>
  <si>
    <t>Pulp Mills</t>
  </si>
  <si>
    <t>1701X</t>
  </si>
  <si>
    <t>Manufacture of paper and paper products</t>
  </si>
  <si>
    <t>2631</t>
  </si>
  <si>
    <t>Paperboard Mills</t>
  </si>
  <si>
    <t>2621</t>
  </si>
  <si>
    <t>Paper Mills</t>
  </si>
  <si>
    <t>2656</t>
  </si>
  <si>
    <t>Sanitary Food Containers, Except Folding</t>
  </si>
  <si>
    <t>2652</t>
  </si>
  <si>
    <t>Setup Paperboard Boxes</t>
  </si>
  <si>
    <t>2653</t>
  </si>
  <si>
    <t>Corrugated and Solid Fiber Boxes</t>
  </si>
  <si>
    <t>2675</t>
  </si>
  <si>
    <t>Die-Cut Paper and Paperboard and Cardboard</t>
  </si>
  <si>
    <t>2657</t>
  </si>
  <si>
    <t>Folding Paperboard Boxes, Including Sanitary</t>
  </si>
  <si>
    <t>2679</t>
  </si>
  <si>
    <t>Converted Paper and Paperboard Products, N.E.C.</t>
  </si>
  <si>
    <t>2674</t>
  </si>
  <si>
    <t>Uncoated Paper and Multiwall Bags</t>
  </si>
  <si>
    <t>2791</t>
  </si>
  <si>
    <t>Typesetting</t>
  </si>
  <si>
    <t>181XX</t>
  </si>
  <si>
    <t>Printing and service activities related to printing</t>
  </si>
  <si>
    <t>Printing &amp; reproduction  of recorded media/ Publishing Activities</t>
  </si>
  <si>
    <t>2796</t>
  </si>
  <si>
    <t>Platemaking and Related Services</t>
  </si>
  <si>
    <t>3652</t>
  </si>
  <si>
    <t>Phonograph Records and Prerecorded Audio Tapes and Disks</t>
  </si>
  <si>
    <t>18200</t>
  </si>
  <si>
    <t>Reproduction of recorded media</t>
  </si>
  <si>
    <t>3695</t>
  </si>
  <si>
    <t>Magnetic and Optical Recording Media</t>
  </si>
  <si>
    <t>19XXX</t>
  </si>
  <si>
    <t>coke oven products</t>
  </si>
  <si>
    <t>19100</t>
  </si>
  <si>
    <t>Manufacture of coke oven products</t>
  </si>
  <si>
    <t>2911</t>
  </si>
  <si>
    <t>Petroleum Refining</t>
  </si>
  <si>
    <t>192XX</t>
  </si>
  <si>
    <t>Manufacture of refined petroleum products</t>
  </si>
  <si>
    <t>2951</t>
  </si>
  <si>
    <t>Asphalt Paving Mixtures and Blocks</t>
  </si>
  <si>
    <t>2952</t>
  </si>
  <si>
    <t>Asphalt Felts and Coatings</t>
  </si>
  <si>
    <t>2992</t>
  </si>
  <si>
    <t>Lubricating Oils and Greases</t>
  </si>
  <si>
    <t>2999</t>
  </si>
  <si>
    <t>Products of Petroleum and Coal, N.E.C.</t>
  </si>
  <si>
    <t>2812</t>
  </si>
  <si>
    <t>Alkalies and Chlorine</t>
  </si>
  <si>
    <t>20XXX</t>
  </si>
  <si>
    <t>Manufacture of chemicals and chemical products</t>
  </si>
  <si>
    <t>2813</t>
  </si>
  <si>
    <t>Industrial Gases</t>
  </si>
  <si>
    <t>2823</t>
  </si>
  <si>
    <t>Cellulosic Manmade Fibers</t>
  </si>
  <si>
    <t>20030</t>
  </si>
  <si>
    <t>2824</t>
  </si>
  <si>
    <t>Manmade Organic Fibers, Except Cellulosic</t>
  </si>
  <si>
    <t>2833</t>
  </si>
  <si>
    <t>Medicinal Chemicals and Botanical Products</t>
  </si>
  <si>
    <t>20010</t>
  </si>
  <si>
    <t>Manufacture of fertiliser pesticides</t>
  </si>
  <si>
    <t>2875</t>
  </si>
  <si>
    <t>Fertilizers, Mixing Only</t>
  </si>
  <si>
    <t>2879</t>
  </si>
  <si>
    <t>Pesticides and Agricultural Chemicals, N.E.C.</t>
  </si>
  <si>
    <t>2873</t>
  </si>
  <si>
    <t>Nitrogenous Fertilizers</t>
  </si>
  <si>
    <t>2874</t>
  </si>
  <si>
    <t>Phosphatic Fertilizers</t>
  </si>
  <si>
    <t>2841</t>
  </si>
  <si>
    <t>Soap and Other Detergents, Except Specialty Cleaners</t>
  </si>
  <si>
    <t>20020</t>
  </si>
  <si>
    <t>Manufacture of soap, cosmetics &amp; toilet preparations</t>
  </si>
  <si>
    <t>2842</t>
  </si>
  <si>
    <t>Specialty Cleaning, Polishing, and Sanitation Preparations</t>
  </si>
  <si>
    <t>2844</t>
  </si>
  <si>
    <t>Perfumes, Cosmetics, and Other Toilet Preparations</t>
  </si>
  <si>
    <t>2843</t>
  </si>
  <si>
    <t>Surface Active Agents, Finishing Agents, Sulfonated Oils, and Assistants</t>
  </si>
  <si>
    <t>2851</t>
  </si>
  <si>
    <t>Paints, Varnishes, Lacquers, Enamels, and Allied Products</t>
  </si>
  <si>
    <t>20221</t>
  </si>
  <si>
    <t>Manufacture of paints, varnish &amp; lacquers</t>
  </si>
  <si>
    <t>2899</t>
  </si>
  <si>
    <t>Chemicals and Chemical Preparations, N.E.C.</t>
  </si>
  <si>
    <t>2869</t>
  </si>
  <si>
    <t>Industrial Organic Chemicals, N.E.C.</t>
  </si>
  <si>
    <t>2861</t>
  </si>
  <si>
    <t>Gum and Wood Chemicals</t>
  </si>
  <si>
    <t>2865</t>
  </si>
  <si>
    <t>Cyclic Organic Crudes and Intermediates, and Organic Dyes and Pigments</t>
  </si>
  <si>
    <t>2891</t>
  </si>
  <si>
    <t>Adhesives and Sealants</t>
  </si>
  <si>
    <t>2892</t>
  </si>
  <si>
    <t>Explosives</t>
  </si>
  <si>
    <t>2895</t>
  </si>
  <si>
    <t>Carbon Black</t>
  </si>
  <si>
    <t>2816</t>
  </si>
  <si>
    <t>Inorganic Pigments</t>
  </si>
  <si>
    <t>2893</t>
  </si>
  <si>
    <t>Printing Ink</t>
  </si>
  <si>
    <t>2819</t>
  </si>
  <si>
    <t>Industrial Inorganic Chemicals, N.E.C.</t>
  </si>
  <si>
    <t>Processing of nuclear fuel</t>
  </si>
  <si>
    <t>20100</t>
  </si>
  <si>
    <t>Manufacture and processing of nuclear fuel</t>
  </si>
  <si>
    <t>2834</t>
  </si>
  <si>
    <t>Pharmaceutical Preparations</t>
  </si>
  <si>
    <t>21XXX</t>
  </si>
  <si>
    <t>Manufacture of basic pharmaceutical product and pharmaceutical preparations</t>
  </si>
  <si>
    <t>Manufacture of medical related products</t>
  </si>
  <si>
    <t>2835</t>
  </si>
  <si>
    <t>In Vitro and In Vivo Diagnostic Substances</t>
  </si>
  <si>
    <t>2836</t>
  </si>
  <si>
    <t>Biological Products, Except Diagnostic Substances</t>
  </si>
  <si>
    <t>2822</t>
  </si>
  <si>
    <t>Synthetic Rubber (Vulcanizable Elastomers)</t>
  </si>
  <si>
    <t>22191</t>
  </si>
  <si>
    <t>Manufacture of other products of natural or synthetic rubber, unvulvanized, vulcanized and hardened</t>
  </si>
  <si>
    <t>22XXX</t>
  </si>
  <si>
    <t>Manufacture of rubber/ plastic/ other-metallic products</t>
  </si>
  <si>
    <t>3011</t>
  </si>
  <si>
    <t>Tires and Inner Tubes</t>
  </si>
  <si>
    <t>22192</t>
  </si>
  <si>
    <t>Manufacture of rubber tyres and tubes; retreading and rebuilding of rubber tyres</t>
  </si>
  <si>
    <t>3053</t>
  </si>
  <si>
    <t>Gaskets, Packing, and Sealing Devices</t>
  </si>
  <si>
    <t>2821</t>
  </si>
  <si>
    <t>Plastics Materials, Synthetic Resins, and Nonvulcanizable Elastomers</t>
  </si>
  <si>
    <t>H</t>
  </si>
  <si>
    <t>3069</t>
  </si>
  <si>
    <t>Fabricated Rubber Products, N.E.C.</t>
  </si>
  <si>
    <t>3061</t>
  </si>
  <si>
    <t>Molded, Extruded, and Lathe-Cut Mechanical Rubber Goods</t>
  </si>
  <si>
    <t>3052</t>
  </si>
  <si>
    <t>Rubber and Plastics Hose and Belting</t>
  </si>
  <si>
    <t>3021</t>
  </si>
  <si>
    <t>Rubber and Plastics Footwear</t>
  </si>
  <si>
    <t>3083</t>
  </si>
  <si>
    <t>Laminated Plastics Plate, Sheet, and Profile Shapes</t>
  </si>
  <si>
    <t>22193</t>
  </si>
  <si>
    <t>Manufacture of plastic products</t>
  </si>
  <si>
    <t>3081</t>
  </si>
  <si>
    <t>Unsupported Plastics Film and Sheet</t>
  </si>
  <si>
    <t>3082</t>
  </si>
  <si>
    <t>Unsupported Plastics Profile Shapes</t>
  </si>
  <si>
    <t>3084</t>
  </si>
  <si>
    <t>Plastics Pipe</t>
  </si>
  <si>
    <t>3086</t>
  </si>
  <si>
    <t>Plastics Foam Products</t>
  </si>
  <si>
    <t>3087</t>
  </si>
  <si>
    <t>Custom Compounding of Purchased Plastics Resins</t>
  </si>
  <si>
    <t>3088</t>
  </si>
  <si>
    <t>Plastics Plumbing Fixtures</t>
  </si>
  <si>
    <t>3085</t>
  </si>
  <si>
    <t>Plastics Bottles</t>
  </si>
  <si>
    <t>3089</t>
  </si>
  <si>
    <t>Plastics Products, N.E.C.</t>
  </si>
  <si>
    <t>3211</t>
  </si>
  <si>
    <t>Flat Glass</t>
  </si>
  <si>
    <t>23100</t>
  </si>
  <si>
    <t>Manufacture of glass and glass products</t>
  </si>
  <si>
    <t>23XXX</t>
  </si>
  <si>
    <t>3229</t>
  </si>
  <si>
    <t>Pressed and Blown Glass and Glassware, N.E.C.</t>
  </si>
  <si>
    <t>3221</t>
  </si>
  <si>
    <t>Glass Containers</t>
  </si>
  <si>
    <t>3231</t>
  </si>
  <si>
    <t>Glass Products, Made of Purchased Glass</t>
  </si>
  <si>
    <t>3274</t>
  </si>
  <si>
    <t>Lime</t>
  </si>
  <si>
    <t>23200</t>
  </si>
  <si>
    <t>Manufacture of cement lime plasters</t>
  </si>
  <si>
    <t>3241</t>
  </si>
  <si>
    <t>Cement, Hydraulic</t>
  </si>
  <si>
    <t>3251</t>
  </si>
  <si>
    <t>Brick and Structural Clay Tile</t>
  </si>
  <si>
    <t>3253</t>
  </si>
  <si>
    <t>Ceramic Wall and Floor Tile</t>
  </si>
  <si>
    <t>3275</t>
  </si>
  <si>
    <t>Gypsum Products</t>
  </si>
  <si>
    <t>23300</t>
  </si>
  <si>
    <t>Manufacture of other building materials</t>
  </si>
  <si>
    <t>3281</t>
  </si>
  <si>
    <t>Cut Stone and Stone Products</t>
  </si>
  <si>
    <t>3273</t>
  </si>
  <si>
    <t>Ready Mixed Concrete</t>
  </si>
  <si>
    <t>3271</t>
  </si>
  <si>
    <t>Concrete Block and Brick</t>
  </si>
  <si>
    <t>3272</t>
  </si>
  <si>
    <t>Concrete Products, Except Block and Brick</t>
  </si>
  <si>
    <t>3255</t>
  </si>
  <si>
    <t>Clay Refractories</t>
  </si>
  <si>
    <t>3261</t>
  </si>
  <si>
    <t>Vitreous China Plumbing Fixtures and China and Earthenware Fittings and Bathroom Accessories</t>
  </si>
  <si>
    <t>Manufacture of other non-metallic mineral products</t>
  </si>
  <si>
    <t>3263</t>
  </si>
  <si>
    <t>Fine Earthenware (Whiteware) Table and Kitchen Articles</t>
  </si>
  <si>
    <t>3269</t>
  </si>
  <si>
    <t>Pottery Products, N.E.C.</t>
  </si>
  <si>
    <t>3262</t>
  </si>
  <si>
    <t>Vitreous China Table and Kitchen Articles</t>
  </si>
  <si>
    <t>3259</t>
  </si>
  <si>
    <t>Structural Clay Products, N.E.C.</t>
  </si>
  <si>
    <t>3299</t>
  </si>
  <si>
    <t>Nonmetallic Mineral Products, N.E.C.</t>
  </si>
  <si>
    <t>3291</t>
  </si>
  <si>
    <t>Abrasive Products</t>
  </si>
  <si>
    <t>3292</t>
  </si>
  <si>
    <t>Asbestos Products</t>
  </si>
  <si>
    <t>3295</t>
  </si>
  <si>
    <t>Minerals and Earths, Ground or Otherwise Treated</t>
  </si>
  <si>
    <t>3296</t>
  </si>
  <si>
    <t>Mineral Wool</t>
  </si>
  <si>
    <t>3297</t>
  </si>
  <si>
    <t>Nonclay Refractories</t>
  </si>
  <si>
    <t>3264</t>
  </si>
  <si>
    <t>Porcelain Electrical Supplies</t>
  </si>
  <si>
    <t>3317</t>
  </si>
  <si>
    <t>Steel Pipe and Tubes</t>
  </si>
  <si>
    <t>2410X</t>
  </si>
  <si>
    <t>Manufacture of basic iron and steel</t>
  </si>
  <si>
    <t>Manufacture of basic metals</t>
  </si>
  <si>
    <t>3325</t>
  </si>
  <si>
    <t>Steel Foundries, N.E.C.</t>
  </si>
  <si>
    <t>3324</t>
  </si>
  <si>
    <t>Steel Investment Foundries</t>
  </si>
  <si>
    <t>3312</t>
  </si>
  <si>
    <t>Steel Works, Blast Furnaces (Including Coke Ovens), and Rolling Mills</t>
  </si>
  <si>
    <t>3316</t>
  </si>
  <si>
    <t>Cold-Rolled Steel Sheet, Strip, and Bars</t>
  </si>
  <si>
    <t>3321</t>
  </si>
  <si>
    <t>Gray and Ductile Iron Foundries</t>
  </si>
  <si>
    <t>3322</t>
  </si>
  <si>
    <t>Malleable Iron Foundries</t>
  </si>
  <si>
    <t>24201</t>
  </si>
  <si>
    <t>Tin Smelting</t>
  </si>
  <si>
    <t>Tin smelting</t>
  </si>
  <si>
    <t>24202</t>
  </si>
  <si>
    <t>Production of aluminium from alumina</t>
  </si>
  <si>
    <t>3331</t>
  </si>
  <si>
    <t>Primary Smelting and Refining of Copper</t>
  </si>
  <si>
    <t>24209</t>
  </si>
  <si>
    <t>Manufacture of other basic precious and other non-ferrous metals n.e.c.</t>
  </si>
  <si>
    <t>3351</t>
  </si>
  <si>
    <t>Rolling, Drawing, and Extruding of Copper</t>
  </si>
  <si>
    <t>3334</t>
  </si>
  <si>
    <t>Primary Production of Aluminum</t>
  </si>
  <si>
    <t>3341</t>
  </si>
  <si>
    <t>Secondary Smelting and Refining of Nonferrous Metals</t>
  </si>
  <si>
    <t>3339</t>
  </si>
  <si>
    <t>Primary Smelting and Refining of Nonferrous Metals, Except Copper and Aluminum</t>
  </si>
  <si>
    <t>3315</t>
  </si>
  <si>
    <t>Steel Wiredrawing and Steel Nails and Spikes</t>
  </si>
  <si>
    <t>2431X</t>
  </si>
  <si>
    <t>Casting of iron and steel</t>
  </si>
  <si>
    <t>3364</t>
  </si>
  <si>
    <t>Nonferrous Die-Castings, Except Aluminum</t>
  </si>
  <si>
    <t>24320</t>
  </si>
  <si>
    <t>Casting of non-ferrous metals</t>
  </si>
  <si>
    <t>3357</t>
  </si>
  <si>
    <t>Drawing and Insulating of Nonferrous Wire</t>
  </si>
  <si>
    <t>3356</t>
  </si>
  <si>
    <t>Rolling, Drawing, and Extruding of Nonferrous Metals, Except Copper and Aluminum</t>
  </si>
  <si>
    <t>3363</t>
  </si>
  <si>
    <t>Aluminum Die-Castings</t>
  </si>
  <si>
    <t>3365</t>
  </si>
  <si>
    <t>Aluminum Foundries</t>
  </si>
  <si>
    <t>3369</t>
  </si>
  <si>
    <t>Nonferrous Foundries, Except Aluminum and Copper</t>
  </si>
  <si>
    <t>2655</t>
  </si>
  <si>
    <t>Fiber Cans, Tubes, Drums, and Similar Products</t>
  </si>
  <si>
    <t>3366</t>
  </si>
  <si>
    <t>Copper Foundries</t>
  </si>
  <si>
    <t>3449</t>
  </si>
  <si>
    <t>Miscellaneous Structural Metal Work</t>
  </si>
  <si>
    <t>251XX</t>
  </si>
  <si>
    <t>Manufacture of structural metal products, tanks, reservoirs and steam generators</t>
  </si>
  <si>
    <t>Manufacture of fabricated metal products, except machinery and equipment</t>
  </si>
  <si>
    <t>3441</t>
  </si>
  <si>
    <t>Fabricated Structural Metal</t>
  </si>
  <si>
    <t>3448</t>
  </si>
  <si>
    <t>Prefabricated Metal Buildings and Components</t>
  </si>
  <si>
    <t>3511</t>
  </si>
  <si>
    <t>Steam, Gas, and Hydraulic Turbines, and Turbine Generator Set Units</t>
  </si>
  <si>
    <t>3519</t>
  </si>
  <si>
    <t>Internal Combustion Engines, N.E.C.</t>
  </si>
  <si>
    <t>3482</t>
  </si>
  <si>
    <t>Small Arms Ammunition</t>
  </si>
  <si>
    <t>A</t>
  </si>
  <si>
    <t>25200</t>
  </si>
  <si>
    <t>Manufacture of weapons and ammunition</t>
  </si>
  <si>
    <t>Offensive &amp; Warfare Products</t>
  </si>
  <si>
    <t>3483</t>
  </si>
  <si>
    <t>Ammunition, Except for Small Arms</t>
  </si>
  <si>
    <t>3484</t>
  </si>
  <si>
    <t>Small Arms</t>
  </si>
  <si>
    <t>3463</t>
  </si>
  <si>
    <t>Nonferrous Forgings</t>
  </si>
  <si>
    <t>25910</t>
  </si>
  <si>
    <t>Forging, pressing, stamping and roll-forming of metal; powder metallurgy</t>
  </si>
  <si>
    <t>3462</t>
  </si>
  <si>
    <t>Iron and Steel Forgings</t>
  </si>
  <si>
    <t>3398</t>
  </si>
  <si>
    <t>Metal Heat Treating</t>
  </si>
  <si>
    <t>25920</t>
  </si>
  <si>
    <t>Treatment and coating of metals; machining</t>
  </si>
  <si>
    <t>3399</t>
  </si>
  <si>
    <t>Primary Metal Products, N.E.C.</t>
  </si>
  <si>
    <t>3471</t>
  </si>
  <si>
    <t>Electroplating, Plating, Polishing, Anodizing, and Coloring</t>
  </si>
  <si>
    <t>3479</t>
  </si>
  <si>
    <t>Coating, Engraving, and Allied Services, N.E.C.</t>
  </si>
  <si>
    <t>3421</t>
  </si>
  <si>
    <t>Cutlery</t>
  </si>
  <si>
    <t>25930</t>
  </si>
  <si>
    <t>Manufacture of cutlery, hand tools and general hardware</t>
  </si>
  <si>
    <t>3423</t>
  </si>
  <si>
    <t>Hand and Edge Tools, Except Machine Tools and Handsaws</t>
  </si>
  <si>
    <t>3425</t>
  </si>
  <si>
    <t>Saw Blades and Handsaws</t>
  </si>
  <si>
    <t>3429</t>
  </si>
  <si>
    <t>Hardware, N.E.C.</t>
  </si>
  <si>
    <t>3493</t>
  </si>
  <si>
    <t>Steel Springs, Except Wire</t>
  </si>
  <si>
    <t>2599X</t>
  </si>
  <si>
    <t>Manufacture of other fabricated metal products n.e.c.</t>
  </si>
  <si>
    <t>3355</t>
  </si>
  <si>
    <t>Aluminum Rolling and Drawing, N.E.C.</t>
  </si>
  <si>
    <t>3443</t>
  </si>
  <si>
    <t>Fabricated Plate Work (Boiler Shops)</t>
  </si>
  <si>
    <t>3465</t>
  </si>
  <si>
    <t>Automotive Stampings</t>
  </si>
  <si>
    <t>3354</t>
  </si>
  <si>
    <t>Aluminum Extruded Products</t>
  </si>
  <si>
    <t>3411</t>
  </si>
  <si>
    <t>Metal Cans</t>
  </si>
  <si>
    <t>3412</t>
  </si>
  <si>
    <t>Metal Shipping Barrels, Drums, Kegs, and Pails</t>
  </si>
  <si>
    <t>3496</t>
  </si>
  <si>
    <t>Miscellaneous Fabricated Wire Products</t>
  </si>
  <si>
    <t>3444</t>
  </si>
  <si>
    <t>Sheet Metal Work</t>
  </si>
  <si>
    <t>3446</t>
  </si>
  <si>
    <t>Architectural and Ornamental Metal Work</t>
  </si>
  <si>
    <t>3469</t>
  </si>
  <si>
    <t>Metal Stampings, N.E.C.</t>
  </si>
  <si>
    <t>3466</t>
  </si>
  <si>
    <t>Crowns and Closures</t>
  </si>
  <si>
    <t>3492</t>
  </si>
  <si>
    <t>Fluid Power Valves and Hose Fittings</t>
  </si>
  <si>
    <t>3494</t>
  </si>
  <si>
    <t>Valves and Pipe Fittings, N.E.C.</t>
  </si>
  <si>
    <t>3495</t>
  </si>
  <si>
    <t>Wire Springs</t>
  </si>
  <si>
    <t>3499</t>
  </si>
  <si>
    <t>Fabricated Metal Products, N.E.C.</t>
  </si>
  <si>
    <t>3491</t>
  </si>
  <si>
    <t>Industrial Valves</t>
  </si>
  <si>
    <t>3313</t>
  </si>
  <si>
    <t>Electrometallurgical Products, Except Steel</t>
  </si>
  <si>
    <t>3489</t>
  </si>
  <si>
    <t>Ordnance and Accessories, N.E.C.</t>
  </si>
  <si>
    <t>3497</t>
  </si>
  <si>
    <t>Metal Foil and Leaf</t>
  </si>
  <si>
    <t>3498</t>
  </si>
  <si>
    <t>Fabricated Pipe and Pipe Fittings</t>
  </si>
  <si>
    <t>3353</t>
  </si>
  <si>
    <t>Aluminum Sheet, Plate, and Foil</t>
  </si>
  <si>
    <t>3672</t>
  </si>
  <si>
    <t>Printed Circuit Boards</t>
  </si>
  <si>
    <t>26310</t>
  </si>
  <si>
    <t>Manufacture of computer chips and semi-conductors</t>
  </si>
  <si>
    <t>26300</t>
  </si>
  <si>
    <t>Manufacture of electronic/ optical/ electrical equipment products</t>
  </si>
  <si>
    <t>3674</t>
  </si>
  <si>
    <t>Semiconductors and Related Devices</t>
  </si>
  <si>
    <t>3675</t>
  </si>
  <si>
    <t>Electronic Capacitors</t>
  </si>
  <si>
    <t>26109</t>
  </si>
  <si>
    <t>Manufacture of other components for electronic applications</t>
  </si>
  <si>
    <t>3692</t>
  </si>
  <si>
    <t>Primary Batteries, Dry and Wet</t>
  </si>
  <si>
    <t>3671</t>
  </si>
  <si>
    <t>Electron Tubes</t>
  </si>
  <si>
    <t>3676</t>
  </si>
  <si>
    <t>Electronic Resistors</t>
  </si>
  <si>
    <t>3677</t>
  </si>
  <si>
    <t>Electronic Coils, Transformers, and Other Inductors</t>
  </si>
  <si>
    <t>3678</t>
  </si>
  <si>
    <t>Electronic Connectors</t>
  </si>
  <si>
    <t>3679</t>
  </si>
  <si>
    <t>Electronic Components, N.E.C.</t>
  </si>
  <si>
    <t>3691</t>
  </si>
  <si>
    <t>Storage Batteries</t>
  </si>
  <si>
    <t>3661</t>
  </si>
  <si>
    <t>Telephone and Telegraph Apparatus</t>
  </si>
  <si>
    <t>26320</t>
  </si>
  <si>
    <t>Manufacture- Television radio transmitter apparatus telephony</t>
  </si>
  <si>
    <t>TV radio communication equipment</t>
  </si>
  <si>
    <t>Manufacture of communication equipment</t>
  </si>
  <si>
    <t>3663</t>
  </si>
  <si>
    <t>Radio and Television Broadcasting and Communications Equipment</t>
  </si>
  <si>
    <t>26330</t>
  </si>
  <si>
    <t>Manufacture- Television radio receivers sound/ video recording</t>
  </si>
  <si>
    <t>3669</t>
  </si>
  <si>
    <t>Communications Equipment, N.E.C.</t>
  </si>
  <si>
    <t>3823</t>
  </si>
  <si>
    <t>Industrial Instruments for Measurement, Display, and Control of Process Variables; and Related Products</t>
  </si>
  <si>
    <t>26530</t>
  </si>
  <si>
    <t>Manufacture of measuring, testing, navigating and control equipment</t>
  </si>
  <si>
    <t>265XX</t>
  </si>
  <si>
    <t>3821</t>
  </si>
  <si>
    <t>Laboratory Apparatus and Furniture</t>
  </si>
  <si>
    <t>3873</t>
  </si>
  <si>
    <t>Watches, Clocks, Clockwork Operated Devices, and Parts</t>
  </si>
  <si>
    <t>26520</t>
  </si>
  <si>
    <t>Manufacture of watches and clocks and parts</t>
  </si>
  <si>
    <t>3825</t>
  </si>
  <si>
    <t>Instruments for Measuring and Testing of Electricity and Electrical Signals</t>
  </si>
  <si>
    <t>32500</t>
  </si>
  <si>
    <t>Manufacture of medical and dental instruments and supplies</t>
  </si>
  <si>
    <t>3822</t>
  </si>
  <si>
    <t>Automatic Controls for Regulating Residential and Commercial Environments and Appliances</t>
  </si>
  <si>
    <t>3824</t>
  </si>
  <si>
    <t>Totalizing Fluid Meters and Counting Devices</t>
  </si>
  <si>
    <t>3829</t>
  </si>
  <si>
    <t>Measuring and Controlling Devices, N.E.C.</t>
  </si>
  <si>
    <t>3827</t>
  </si>
  <si>
    <t>Optical Instruments and Lenses</t>
  </si>
  <si>
    <t>2670X</t>
  </si>
  <si>
    <t>Manufacture of optical instruments and photographic equipment</t>
  </si>
  <si>
    <t>3861</t>
  </si>
  <si>
    <t>Photographic Equipment and Supplies</t>
  </si>
  <si>
    <t>26999</t>
  </si>
  <si>
    <t>Other manufacture of computer, electronic and optical products</t>
  </si>
  <si>
    <t>3632</t>
  </si>
  <si>
    <t>Household Refrigerators and Home and Farm Freezers</t>
  </si>
  <si>
    <t>27500</t>
  </si>
  <si>
    <t>Manufacture of domestic appliances</t>
  </si>
  <si>
    <t>3639</t>
  </si>
  <si>
    <t>Household Appliances, N.E.C.</t>
  </si>
  <si>
    <t>3431</t>
  </si>
  <si>
    <t>Enameled Iron and Metal Sanitary Ware</t>
  </si>
  <si>
    <t>3432</t>
  </si>
  <si>
    <t>Plumbing Fixture Fittings and Trim</t>
  </si>
  <si>
    <t>3433</t>
  </si>
  <si>
    <t>Heating Equipment, Except Electric and Warm Air Furnaces</t>
  </si>
  <si>
    <t>3442</t>
  </si>
  <si>
    <t>Metal Doors, Sash, Frames, Molding, and Trim</t>
  </si>
  <si>
    <t>3635</t>
  </si>
  <si>
    <t>Household Vacuum Cleaners</t>
  </si>
  <si>
    <t>3634</t>
  </si>
  <si>
    <t>Electric Housewares and Fans</t>
  </si>
  <si>
    <t>3633</t>
  </si>
  <si>
    <t>Household Laundry Equipment</t>
  </si>
  <si>
    <t>3631</t>
  </si>
  <si>
    <t>Household Cooking Equipment</t>
  </si>
  <si>
    <t>3596</t>
  </si>
  <si>
    <t>Scales and Balances, Except Laboratory</t>
  </si>
  <si>
    <t>3612</t>
  </si>
  <si>
    <t>Power, Distribution, and Specialty Transformers</t>
  </si>
  <si>
    <t>27999</t>
  </si>
  <si>
    <t>Other manufacture of electrical equipment</t>
  </si>
  <si>
    <t>3613</t>
  </si>
  <si>
    <t>Switchgear and Switchboard Apparatus</t>
  </si>
  <si>
    <t>insulated wire and cable</t>
  </si>
  <si>
    <t>28000</t>
  </si>
  <si>
    <t>acumulators, primary cells and primary batteries</t>
  </si>
  <si>
    <t>28001</t>
  </si>
  <si>
    <t>electric lamps and lighting equipment</t>
  </si>
  <si>
    <t>3578</t>
  </si>
  <si>
    <t>Calculating and Accounting Machines, Except Electronic Computers</t>
  </si>
  <si>
    <t>3624</t>
  </si>
  <si>
    <t>Carbon and Graphite Products</t>
  </si>
  <si>
    <t>3621</t>
  </si>
  <si>
    <t>Motors and Generators</t>
  </si>
  <si>
    <t>3645</t>
  </si>
  <si>
    <t>Residential Electric Lighting Fixtures</t>
  </si>
  <si>
    <t>3699</t>
  </si>
  <si>
    <t>Electrical Machinery, Equipment, and Supplies, N.E.C.</t>
  </si>
  <si>
    <t>3643</t>
  </si>
  <si>
    <t>Current-Carrying Wiring Devices</t>
  </si>
  <si>
    <t>3641</t>
  </si>
  <si>
    <t>Electric Lamp Bulbs and Tubes</t>
  </si>
  <si>
    <t>3548</t>
  </si>
  <si>
    <t>Electric and Gas Welding and Soldering Equipment</t>
  </si>
  <si>
    <t>3625</t>
  </si>
  <si>
    <t>Relays and Industrial Controls</t>
  </si>
  <si>
    <t>3571</t>
  </si>
  <si>
    <t>Electronic Computers</t>
  </si>
  <si>
    <t>3572</t>
  </si>
  <si>
    <t>Computer Storage Devices</t>
  </si>
  <si>
    <t>3575</t>
  </si>
  <si>
    <t>Computer Terminals</t>
  </si>
  <si>
    <t>3577</t>
  </si>
  <si>
    <t>Computer Peripheral Equipment, N.E.C.</t>
  </si>
  <si>
    <t>3579</t>
  </si>
  <si>
    <t>Office Machines, N.E.C.</t>
  </si>
  <si>
    <t>3581</t>
  </si>
  <si>
    <t>Automatic Vending Machines</t>
  </si>
  <si>
    <t>3585</t>
  </si>
  <si>
    <t>Air-Conditioning and Warm Air Heating Equipment and Commercial and Industrial Refrigeration Equipment</t>
  </si>
  <si>
    <t>3582</t>
  </si>
  <si>
    <t>Commercial Laundry, Drycleaning, and Pressing Machines</t>
  </si>
  <si>
    <t>3586</t>
  </si>
  <si>
    <t>Measuring and Dispensing Pumps</t>
  </si>
  <si>
    <t>3629</t>
  </si>
  <si>
    <t>Electrical Industrial Apparatus, N.E.C.</t>
  </si>
  <si>
    <t>3644</t>
  </si>
  <si>
    <t>Noncurrent-Carrying Wiring Devices</t>
  </si>
  <si>
    <t>3646</t>
  </si>
  <si>
    <t>Commercial, Industrial, and Institutional Electric Lighting Fixtures</t>
  </si>
  <si>
    <t>3647</t>
  </si>
  <si>
    <t>Vehicular Lighting Equipment</t>
  </si>
  <si>
    <t>3648</t>
  </si>
  <si>
    <t>Lighting Equipment, N.E.C.</t>
  </si>
  <si>
    <t>3651</t>
  </si>
  <si>
    <t>Household Audio and Video Equipment</t>
  </si>
  <si>
    <t>3694</t>
  </si>
  <si>
    <t>Electrical Equipment for Internal Combustion Engines</t>
  </si>
  <si>
    <t>28170</t>
  </si>
  <si>
    <t>office, accounting &amp; computing machinery</t>
  </si>
  <si>
    <t>Manufacture of office machinery and equipment (except computers and peripheral equipment)</t>
  </si>
  <si>
    <t>Manufacture of machinery/ motor vehicles/ other transport equipment</t>
  </si>
  <si>
    <t>2819X</t>
  </si>
  <si>
    <t>Engines &amp; Turbines</t>
  </si>
  <si>
    <t>Manufacture of other general-purpose machinery</t>
  </si>
  <si>
    <t>2819Y</t>
  </si>
  <si>
    <t>Machinery equipment exclude electrical</t>
  </si>
  <si>
    <t>3563</t>
  </si>
  <si>
    <t>Air and Gas Compressors</t>
  </si>
  <si>
    <t>3561</t>
  </si>
  <si>
    <t>Pumps and Pumping Equipment</t>
  </si>
  <si>
    <t>3452</t>
  </si>
  <si>
    <t>Bolts, Nuts, Screws, Rivets, and Washers</t>
  </si>
  <si>
    <t>3547</t>
  </si>
  <si>
    <t>Rolling Mill Machinery and Equipment</t>
  </si>
  <si>
    <t>3546</t>
  </si>
  <si>
    <t>Power-Driven Handtools</t>
  </si>
  <si>
    <t>3562</t>
  </si>
  <si>
    <t>Ball and Roller Bearings</t>
  </si>
  <si>
    <t>3564</t>
  </si>
  <si>
    <t>Industrial and Commercial Fans and Blowers and Air Purification Equipment</t>
  </si>
  <si>
    <t>3569</t>
  </si>
  <si>
    <t>General Industrial Machinery and Equipment, N.E.C.</t>
  </si>
  <si>
    <t>3524</t>
  </si>
  <si>
    <t>Lawn and Garden Tractors and Home Lawn and Garden Equipment</t>
  </si>
  <si>
    <t>28220</t>
  </si>
  <si>
    <t>Manufacture of metal-forming machinery and machine tools</t>
  </si>
  <si>
    <t>3523</t>
  </si>
  <si>
    <t>Farm Machinery and Equipment</t>
  </si>
  <si>
    <t>28299</t>
  </si>
  <si>
    <t>Other manufacture of special-purpose machinery</t>
  </si>
  <si>
    <t>3532</t>
  </si>
  <si>
    <t>Mining Machinery and Equipment, Except Oil and Gas Field Machinery and Equipment</t>
  </si>
  <si>
    <t>3555</t>
  </si>
  <si>
    <t>Printing Trades Machinery and Equipment</t>
  </si>
  <si>
    <t>3559</t>
  </si>
  <si>
    <t>Special Industry Machinery, N.E.C.</t>
  </si>
  <si>
    <t>3549</t>
  </si>
  <si>
    <t>Metalworking Machinery, N.E.C.</t>
  </si>
  <si>
    <t>3533</t>
  </si>
  <si>
    <t>Oil and Gas Field Machinery and Equipment</t>
  </si>
  <si>
    <t>3552</t>
  </si>
  <si>
    <t>Textile Machinery</t>
  </si>
  <si>
    <t>3553</t>
  </si>
  <si>
    <t>Woodworking Machinery</t>
  </si>
  <si>
    <t>3554</t>
  </si>
  <si>
    <t>Paper Industries Machinery</t>
  </si>
  <si>
    <t>3565</t>
  </si>
  <si>
    <t>Packaging Machinery</t>
  </si>
  <si>
    <t>3566</t>
  </si>
  <si>
    <t>Speed Changers, Industrial High-Speed Drives, and Gears</t>
  </si>
  <si>
    <t>3568</t>
  </si>
  <si>
    <t>Mechanical Power Transmission Equipment, N.E.C.</t>
  </si>
  <si>
    <t>3531</t>
  </si>
  <si>
    <t>Construction Machinery and Equipment</t>
  </si>
  <si>
    <t>3599</t>
  </si>
  <si>
    <t>Industrial and Commercial Machinery and Equipment, N.E.C.</t>
  </si>
  <si>
    <t>3556</t>
  </si>
  <si>
    <t>Food Products Machinery</t>
  </si>
  <si>
    <t>3567</t>
  </si>
  <si>
    <t>Industrial Process Furnaces and Ovens</t>
  </si>
  <si>
    <t>Electrical industrial machinery</t>
  </si>
  <si>
    <t>3535</t>
  </si>
  <si>
    <t>Conveyors and Conveying Equipment</t>
  </si>
  <si>
    <t>3451</t>
  </si>
  <si>
    <t>Screw Machine Products</t>
  </si>
  <si>
    <t>3544</t>
  </si>
  <si>
    <t>Special Dies and Tools, Die Sets, Jigs and Fixtures, and Industrial Molds</t>
  </si>
  <si>
    <t>3534</t>
  </si>
  <si>
    <t>Elevators and Moving Stairways</t>
  </si>
  <si>
    <t>3545</t>
  </si>
  <si>
    <t>Cutting Tools, Machine Tool Accessories, and Machinists' Precision Measuring Devices</t>
  </si>
  <si>
    <t>3541</t>
  </si>
  <si>
    <t>Machine Tools, Metal Cutting Types</t>
  </si>
  <si>
    <t>3543</t>
  </si>
  <si>
    <t>Industrial Patterns</t>
  </si>
  <si>
    <t>3542</t>
  </si>
  <si>
    <t>Machine Tools, Metal Forming Types</t>
  </si>
  <si>
    <t>3589</t>
  </si>
  <si>
    <t>Service Industry Machinery, N.E.C.</t>
  </si>
  <si>
    <t>3711</t>
  </si>
  <si>
    <t>Motor Vehicles and Passenger Car Bodies</t>
  </si>
  <si>
    <t>29300</t>
  </si>
  <si>
    <t>Manufacture of motor vehicles</t>
  </si>
  <si>
    <t>29XXX</t>
  </si>
  <si>
    <t>3715</t>
  </si>
  <si>
    <t>Truck Trailers</t>
  </si>
  <si>
    <t>3716</t>
  </si>
  <si>
    <t>Motor Homes</t>
  </si>
  <si>
    <t>3713</t>
  </si>
  <si>
    <t>Truck and Bus Bodies</t>
  </si>
  <si>
    <t>29200</t>
  </si>
  <si>
    <t>Manufacture of bodies (coachwork) for motor vehicles; manufacture of trailers &amp; semi-trailers</t>
  </si>
  <si>
    <t>3792</t>
  </si>
  <si>
    <t>Travel Trailers and Campers</t>
  </si>
  <si>
    <t>3714</t>
  </si>
  <si>
    <t>Motor Vehicle Parts and Accessories</t>
  </si>
  <si>
    <t>29400</t>
  </si>
  <si>
    <t>Manufacture of parts and accessories for motor vehicles and their engines</t>
  </si>
  <si>
    <t>3731</t>
  </si>
  <si>
    <t>Shipbuilding and Repair of Nuclear Propelled Ships:</t>
  </si>
  <si>
    <t>301XX</t>
  </si>
  <si>
    <t>Building of ships and boats</t>
  </si>
  <si>
    <t>3732</t>
  </si>
  <si>
    <t>Boat Building and Repairing</t>
  </si>
  <si>
    <t>3743</t>
  </si>
  <si>
    <t>Railroad Equipment</t>
  </si>
  <si>
    <t>30200</t>
  </si>
  <si>
    <t>Manufacture of railway locomotives and rolling stock</t>
  </si>
  <si>
    <t>4011</t>
  </si>
  <si>
    <t>Railroads, Line-Haul Operating</t>
  </si>
  <si>
    <t>3721</t>
  </si>
  <si>
    <t>Aircraft</t>
  </si>
  <si>
    <t>30300</t>
  </si>
  <si>
    <t>Manufacture of air and spacecraft and related machinery</t>
  </si>
  <si>
    <t>30999</t>
  </si>
  <si>
    <t>3761</t>
  </si>
  <si>
    <t>Guided Missiles and Space Vehicles</t>
  </si>
  <si>
    <t>3764</t>
  </si>
  <si>
    <t>Guided Missile and Space Vehicle Propulsion Units and Propulsion Unit Parts</t>
  </si>
  <si>
    <t>3769</t>
  </si>
  <si>
    <t>Guided Missile and Space Vehicle Parts and Auxiliary Equipment, N.E.C</t>
  </si>
  <si>
    <t>3795</t>
  </si>
  <si>
    <t>Tanks and Tank Components</t>
  </si>
  <si>
    <t>3812</t>
  </si>
  <si>
    <t>Search, Detection, Navigation, Guidance, Aeronautical, and Nautical Systems and Instruments</t>
  </si>
  <si>
    <t>3751</t>
  </si>
  <si>
    <t>Motorcycles, Bicycles, and Parts</t>
  </si>
  <si>
    <t>Other manufacture of other transport equipment</t>
  </si>
  <si>
    <t>3728</t>
  </si>
  <si>
    <t>Aircraft Parts and Auxiliary Equipment, N.E.C.</t>
  </si>
  <si>
    <t>3724</t>
  </si>
  <si>
    <t>Aircraft Engines and Engine Parts</t>
  </si>
  <si>
    <t>3799</t>
  </si>
  <si>
    <t>Transportation Equipment, N.E.C.</t>
  </si>
  <si>
    <t>3536</t>
  </si>
  <si>
    <t>Overhead Traveling Cranes, Hoists, and Monorail Systems</t>
  </si>
  <si>
    <t>3537</t>
  </si>
  <si>
    <t>Industrial Trucks, Tractors, Trailers, and Stackers</t>
  </si>
  <si>
    <t>3594</t>
  </si>
  <si>
    <t>Fluid Power Pumps and Motors</t>
  </si>
  <si>
    <t>3593</t>
  </si>
  <si>
    <t>Fluid Power Cylinders and Actuators</t>
  </si>
  <si>
    <t>3592</t>
  </si>
  <si>
    <t>Carburetors, Pistons, Piston Rings, and Valves</t>
  </si>
  <si>
    <t>2515</t>
  </si>
  <si>
    <t>Mattresses, Foundations, and Convertible Beds</t>
  </si>
  <si>
    <t>3100X</t>
  </si>
  <si>
    <t>Manufacture of furniture</t>
  </si>
  <si>
    <t>2511</t>
  </si>
  <si>
    <t>Wood Household Furniture, Except Upholstered</t>
  </si>
  <si>
    <t>2542</t>
  </si>
  <si>
    <t>Office and Store Fixtures, Partitions, Shelving, and Lockers, Except Wood</t>
  </si>
  <si>
    <t>2541</t>
  </si>
  <si>
    <t>Wood Office and Store Fixtures, Partitions, Shelving, and Lockers</t>
  </si>
  <si>
    <t>2512</t>
  </si>
  <si>
    <t>Wood Household Furniture, Upholstered</t>
  </si>
  <si>
    <t>2521</t>
  </si>
  <si>
    <t>Wood Office Furniture</t>
  </si>
  <si>
    <t>2514</t>
  </si>
  <si>
    <t>Metal Household Furniture</t>
  </si>
  <si>
    <t>2519</t>
  </si>
  <si>
    <t>Household Furniture, N.E.C.</t>
  </si>
  <si>
    <t>2517</t>
  </si>
  <si>
    <t>Wood Television, Radio, Phonograph, and Sewing Machine Cabinets</t>
  </si>
  <si>
    <t>2522</t>
  </si>
  <si>
    <t>Office Furniture, Except Wood</t>
  </si>
  <si>
    <t>2531</t>
  </si>
  <si>
    <t>Public Building and Related Furniture</t>
  </si>
  <si>
    <t>2591</t>
  </si>
  <si>
    <t>Drapery Hardware and Window Blinds and Shades .</t>
  </si>
  <si>
    <t>2599</t>
  </si>
  <si>
    <t>Furniture and Fixtures, N.E.C.</t>
  </si>
  <si>
    <t>3851</t>
  </si>
  <si>
    <t>Ophthalmic Goods</t>
  </si>
  <si>
    <t>3841</t>
  </si>
  <si>
    <t>Surgical and Medical Instruments and Apparatus</t>
  </si>
  <si>
    <t>3843</t>
  </si>
  <si>
    <t>Dental Equipment and Supplies</t>
  </si>
  <si>
    <t>3844</t>
  </si>
  <si>
    <t>X-Ray Apparatus and Tubes and Related Irradiation Apparatus</t>
  </si>
  <si>
    <t>3845</t>
  </si>
  <si>
    <t>Electromedical and Electrotherapeutic Apparatus</t>
  </si>
  <si>
    <t>3842</t>
  </si>
  <si>
    <t>Orthopedic, Prosthetic, and Surgical Appliances and Supplies</t>
  </si>
  <si>
    <t>3826</t>
  </si>
  <si>
    <t>Laboratory Analytical Instruments</t>
  </si>
  <si>
    <t>3911</t>
  </si>
  <si>
    <t>Jewelry, Precious Metal</t>
  </si>
  <si>
    <t>321XX</t>
  </si>
  <si>
    <t>Manufacture of jewellery, bijouterie and related articles</t>
  </si>
  <si>
    <t>3290X</t>
  </si>
  <si>
    <t>3915</t>
  </si>
  <si>
    <t>Jewelers' Findings and Materials, and Lapidary Work</t>
  </si>
  <si>
    <t>3961</t>
  </si>
  <si>
    <t>Costume Jewelry and Costume Novelties, Except Precious Metal</t>
  </si>
  <si>
    <t>3931</t>
  </si>
  <si>
    <t>Musical Instruments</t>
  </si>
  <si>
    <t>32200</t>
  </si>
  <si>
    <t>Manufacture of musical instruments</t>
  </si>
  <si>
    <t>3949</t>
  </si>
  <si>
    <t>Sporting and Athletic Goods, N.E.C.</t>
  </si>
  <si>
    <t>32300</t>
  </si>
  <si>
    <t>Manufacture of sports goods</t>
  </si>
  <si>
    <t>2673</t>
  </si>
  <si>
    <t>Plastics, Foil, and Coated Paper Bags</t>
  </si>
  <si>
    <t>Other manufacturing n.e.c.</t>
  </si>
  <si>
    <t>3942</t>
  </si>
  <si>
    <t>Dolls and Stuffed Toys</t>
  </si>
  <si>
    <t>2676</t>
  </si>
  <si>
    <t>Sanitary Paper Products</t>
  </si>
  <si>
    <t>3955</t>
  </si>
  <si>
    <t>Carbon Paper and Inked Ribbons</t>
  </si>
  <si>
    <t>2677</t>
  </si>
  <si>
    <t>Envelopes</t>
  </si>
  <si>
    <t>2678</t>
  </si>
  <si>
    <t>Stationery, Tablets, and Related Products</t>
  </si>
  <si>
    <t>3914</t>
  </si>
  <si>
    <t>Silverware, Plated Ware, and Stainless Steel Ware</t>
  </si>
  <si>
    <t>3944</t>
  </si>
  <si>
    <t>Games, Toys, and Children's Vehicles, Except Dolls and Bicycles</t>
  </si>
  <si>
    <t>3951</t>
  </si>
  <si>
    <t>Pens, Mechanical Pencils, and Parts</t>
  </si>
  <si>
    <t>3952</t>
  </si>
  <si>
    <t>Lead Pencils, Crayons, and Artists' Materials</t>
  </si>
  <si>
    <t>3965</t>
  </si>
  <si>
    <t>Fasteners, Buttons, Needles, and Pins</t>
  </si>
  <si>
    <t>3991</t>
  </si>
  <si>
    <t>Brooms and Brushes</t>
  </si>
  <si>
    <t>3993</t>
  </si>
  <si>
    <t>Signs and Advertising Specialties</t>
  </si>
  <si>
    <t>3995</t>
  </si>
  <si>
    <t>Burial Caskets</t>
  </si>
  <si>
    <t>3996</t>
  </si>
  <si>
    <t>Linoleum, Asphalted-Felt-Base, and Other Hard Surface Floor Coverings, N.E.C.</t>
  </si>
  <si>
    <t>3999</t>
  </si>
  <si>
    <t>Manufacturing Industries, N.E.C.</t>
  </si>
  <si>
    <t>3953</t>
  </si>
  <si>
    <t>Marking Devices</t>
  </si>
  <si>
    <t>2671</t>
  </si>
  <si>
    <t>Packaging Paper and Plastics Film, Coated and Laminated</t>
  </si>
  <si>
    <t>33XXX</t>
  </si>
  <si>
    <t>Repair and installation of machinery and equipment</t>
  </si>
  <si>
    <t>4911</t>
  </si>
  <si>
    <t>Electric Services</t>
  </si>
  <si>
    <t>3510X</t>
  </si>
  <si>
    <t>Electric power generation, transmission and distribution (including renewable energy)</t>
  </si>
  <si>
    <t>EL</t>
  </si>
  <si>
    <t>Utilities &amp; Waste Management</t>
  </si>
  <si>
    <t>4939</t>
  </si>
  <si>
    <t>Combination Utilities, N.E.C.</t>
  </si>
  <si>
    <t>4931</t>
  </si>
  <si>
    <t>Electric and Other Services Combined</t>
  </si>
  <si>
    <t>Other independent power producer</t>
  </si>
  <si>
    <t>4922</t>
  </si>
  <si>
    <t>Natural Gas Transmission</t>
  </si>
  <si>
    <t>3520X</t>
  </si>
  <si>
    <t>Manufacture of gas; distribution of gaseous fuels through mains</t>
  </si>
  <si>
    <t>4923</t>
  </si>
  <si>
    <t>Gas Transmission and Distribution</t>
  </si>
  <si>
    <t>4924</t>
  </si>
  <si>
    <t>Natural Gas Distribution</t>
  </si>
  <si>
    <t>4925</t>
  </si>
  <si>
    <t>Mixed, Manufactured, or Liquefied Petroleum Gas Production and/or Distribution</t>
  </si>
  <si>
    <t>4932</t>
  </si>
  <si>
    <t>Gas and Other Services Combined</t>
  </si>
  <si>
    <t>3530X</t>
  </si>
  <si>
    <t>Steam and air conditioning supply</t>
  </si>
  <si>
    <t>4941</t>
  </si>
  <si>
    <t>Water Supply</t>
  </si>
  <si>
    <t>360XX</t>
  </si>
  <si>
    <t>Water collection, treatment and supply</t>
  </si>
  <si>
    <t>4961</t>
  </si>
  <si>
    <t>Steam and Air-Conditioning Supply</t>
  </si>
  <si>
    <t>9511</t>
  </si>
  <si>
    <t>Air, water, &amp;  solid waste management</t>
  </si>
  <si>
    <t>3700X</t>
  </si>
  <si>
    <t>Sewerage</t>
  </si>
  <si>
    <t>ED</t>
  </si>
  <si>
    <t>38112</t>
  </si>
  <si>
    <t>Collection of recyclable materials</t>
  </si>
  <si>
    <t>38199</t>
  </si>
  <si>
    <t>Other waste collection</t>
  </si>
  <si>
    <t>382XX</t>
  </si>
  <si>
    <t>Waste treatment and disposal</t>
  </si>
  <si>
    <t>39520</t>
  </si>
  <si>
    <t>Recycling of tin (MRS)</t>
  </si>
  <si>
    <t>38301</t>
  </si>
  <si>
    <t>Recycling of tin and other metal waste and scrap</t>
  </si>
  <si>
    <t>3830X</t>
  </si>
  <si>
    <t>39530</t>
  </si>
  <si>
    <t>Recycling of other metal waste and scrap (MRS)</t>
  </si>
  <si>
    <t>39550</t>
  </si>
  <si>
    <t>Recycling of textile fiber(MRS)</t>
  </si>
  <si>
    <t>38302</t>
  </si>
  <si>
    <t>Recycling of other materials n.e.c.</t>
  </si>
  <si>
    <t>39560</t>
  </si>
  <si>
    <t>Recycling of rubber (MRS)</t>
  </si>
  <si>
    <t>39570</t>
  </si>
  <si>
    <t>Recycling of other non-metal waste and scrap (MRS)</t>
  </si>
  <si>
    <t>39000</t>
  </si>
  <si>
    <t>Remediation activities and other waste management services</t>
  </si>
  <si>
    <t>1521</t>
  </si>
  <si>
    <t>General Contractors -- Single-Family Houses</t>
  </si>
  <si>
    <t>41100</t>
  </si>
  <si>
    <t>Construction of residential houses (landed property)</t>
  </si>
  <si>
    <t>CO</t>
  </si>
  <si>
    <t>41001</t>
  </si>
  <si>
    <t>Construction</t>
  </si>
  <si>
    <t>1522</t>
  </si>
  <si>
    <t>General Contractors -- Residential Buildings, Other Than Single-Family</t>
  </si>
  <si>
    <t>50062</t>
  </si>
  <si>
    <t>Construction of apartments</t>
  </si>
  <si>
    <t>41300</t>
  </si>
  <si>
    <t>Construction of condominiums/apartments</t>
  </si>
  <si>
    <t>50063</t>
  </si>
  <si>
    <t>Consturction of condo</t>
  </si>
  <si>
    <t>50064</t>
  </si>
  <si>
    <t>Construction - others residential</t>
  </si>
  <si>
    <t>Construction of other residentials</t>
  </si>
  <si>
    <t>50065</t>
  </si>
  <si>
    <t>Real Estate - Residential</t>
  </si>
  <si>
    <t>50066</t>
  </si>
  <si>
    <t>Real Estate - Apartments</t>
  </si>
  <si>
    <t>50067</t>
  </si>
  <si>
    <t>Real Estate - Condominiums</t>
  </si>
  <si>
    <t>50068</t>
  </si>
  <si>
    <t>Real Estate - others residential</t>
  </si>
  <si>
    <t>1541</t>
  </si>
  <si>
    <t>General Contractors -- Industrial Buildings and Warehouses</t>
  </si>
  <si>
    <t>41010</t>
  </si>
  <si>
    <t>Construction of industrial building &amp; factories</t>
  </si>
  <si>
    <t>41002</t>
  </si>
  <si>
    <t>50051</t>
  </si>
  <si>
    <t>Construction of hotels</t>
  </si>
  <si>
    <t>41020</t>
  </si>
  <si>
    <t>50052</t>
  </si>
  <si>
    <t>Construction of shopping complex</t>
  </si>
  <si>
    <t>41030</t>
  </si>
  <si>
    <t>50053</t>
  </si>
  <si>
    <t>Construction of office building</t>
  </si>
  <si>
    <t>41040</t>
  </si>
  <si>
    <t>50059</t>
  </si>
  <si>
    <t>Construction of other commercial complex</t>
  </si>
  <si>
    <t>41050</t>
  </si>
  <si>
    <t>41003</t>
  </si>
  <si>
    <t>Assembly and erection of prefabricated constructions on the site</t>
  </si>
  <si>
    <t>41009</t>
  </si>
  <si>
    <t>Construction of buildings n.e.c.</t>
  </si>
  <si>
    <t>1611</t>
  </si>
  <si>
    <t>Highway and Street Construction, Except Elevated Highways</t>
  </si>
  <si>
    <t>42101</t>
  </si>
  <si>
    <t>Construction of motorways, streets, roads, other vehicular and pedestrian ways</t>
  </si>
  <si>
    <t>4210X</t>
  </si>
  <si>
    <t>Construction of railways/LRT</t>
  </si>
  <si>
    <t>42105</t>
  </si>
  <si>
    <t>Construction of railways and subways</t>
  </si>
  <si>
    <t>1622</t>
  </si>
  <si>
    <t>Bridge, Tunnel, and Elevated Highway Construction</t>
  </si>
  <si>
    <t>42103</t>
  </si>
  <si>
    <t>Construction of bridges</t>
  </si>
  <si>
    <t>4211</t>
  </si>
  <si>
    <t>Construction of others infrastructure</t>
  </si>
  <si>
    <t>42104</t>
  </si>
  <si>
    <t>4220X</t>
  </si>
  <si>
    <t>Construction of power station</t>
  </si>
  <si>
    <t>42207</t>
  </si>
  <si>
    <t>4952</t>
  </si>
  <si>
    <t>Sewerage Systems</t>
  </si>
  <si>
    <t>Construction of utility projects</t>
  </si>
  <si>
    <t>4953</t>
  </si>
  <si>
    <t>Refuse Systems</t>
  </si>
  <si>
    <t>4959</t>
  </si>
  <si>
    <t>Sanitary Services, N.E.C.</t>
  </si>
  <si>
    <t>500100</t>
  </si>
  <si>
    <t>General contractors including civil engineering contractors</t>
  </si>
  <si>
    <t>429XX</t>
  </si>
  <si>
    <t>Construction of other civil engineering projects</t>
  </si>
  <si>
    <t>500811</t>
  </si>
  <si>
    <t>Construction of hospital</t>
  </si>
  <si>
    <t>42910</t>
  </si>
  <si>
    <t>500812</t>
  </si>
  <si>
    <t>Construction of cinemas</t>
  </si>
  <si>
    <t>42920</t>
  </si>
  <si>
    <t>500819</t>
  </si>
  <si>
    <t>Construction of Social Amenities - Others</t>
  </si>
  <si>
    <t>1623</t>
  </si>
  <si>
    <t>Water, Sewer, Pipeline, and Communications and Power Line Construction</t>
  </si>
  <si>
    <t>42930</t>
  </si>
  <si>
    <t>Construction of water works/dam/reservoir</t>
  </si>
  <si>
    <t>4612</t>
  </si>
  <si>
    <t>Crude Petroleum Pipelines</t>
  </si>
  <si>
    <t>4613</t>
  </si>
  <si>
    <t>Refined Petroleum Pipelines</t>
  </si>
  <si>
    <t>4619</t>
  </si>
  <si>
    <t>Pipelines, N.E.C.</t>
  </si>
  <si>
    <t>4971</t>
  </si>
  <si>
    <t>Irrigation Systems</t>
  </si>
  <si>
    <t>1531</t>
  </si>
  <si>
    <t>Operative Builders</t>
  </si>
  <si>
    <t>1743</t>
  </si>
  <si>
    <t>Terrazzo, Tile, Marble, and Mosaic Work</t>
  </si>
  <si>
    <t>431XX</t>
  </si>
  <si>
    <t>Demolition and site preparation</t>
  </si>
  <si>
    <t>1752</t>
  </si>
  <si>
    <t>Floor Laying and Other Floor Work, N.E.C.</t>
  </si>
  <si>
    <t>1742</t>
  </si>
  <si>
    <t>Plastering, Drywall, Acoustical and Insulation Work</t>
  </si>
  <si>
    <t>1751</t>
  </si>
  <si>
    <t>Carpentry Work</t>
  </si>
  <si>
    <t>1771</t>
  </si>
  <si>
    <t>Concrete Work</t>
  </si>
  <si>
    <t>1781</t>
  </si>
  <si>
    <t>Water Well Drilling</t>
  </si>
  <si>
    <t>1791</t>
  </si>
  <si>
    <t>Structural Steel Erection</t>
  </si>
  <si>
    <t>1731</t>
  </si>
  <si>
    <t>Electrical Work</t>
  </si>
  <si>
    <t>432XX</t>
  </si>
  <si>
    <t>Electrical, plumbing and other construction installation activities</t>
  </si>
  <si>
    <t>1761</t>
  </si>
  <si>
    <t>Roofing, Siding, and Sheet Metal Work</t>
  </si>
  <si>
    <t>4330X</t>
  </si>
  <si>
    <t>Building completion and finishing</t>
  </si>
  <si>
    <t>4390X</t>
  </si>
  <si>
    <t>Special trade contractors</t>
  </si>
  <si>
    <t>Other specialized construction activities</t>
  </si>
  <si>
    <t>1795</t>
  </si>
  <si>
    <t>Wrecking and Demolition Work</t>
  </si>
  <si>
    <t>1629</t>
  </si>
  <si>
    <t>Dredging and Surface Cleanup Activities</t>
  </si>
  <si>
    <t>1711</t>
  </si>
  <si>
    <t>Plumbing, Heating, and Air-Conditioning</t>
  </si>
  <si>
    <t>1741</t>
  </si>
  <si>
    <t>Masonry, Stone Setting, and Other Stone Work</t>
  </si>
  <si>
    <t>1793</t>
  </si>
  <si>
    <t>Glass and Glazing Work</t>
  </si>
  <si>
    <t>1794</t>
  </si>
  <si>
    <t>Excavation Work</t>
  </si>
  <si>
    <t>1796</t>
  </si>
  <si>
    <t>Installation or Erection of Building Equipment, N.E.C.</t>
  </si>
  <si>
    <t>1799</t>
  </si>
  <si>
    <t>Special Trade Contractors, N.E.C.</t>
  </si>
  <si>
    <t>1721</t>
  </si>
  <si>
    <t>Painting and Paper Hanging</t>
  </si>
  <si>
    <t>5521</t>
  </si>
  <si>
    <t>Motor Vehicle Dealers (Used Only)</t>
  </si>
  <si>
    <t>451XX</t>
  </si>
  <si>
    <t>Sale of motor vehicles</t>
  </si>
  <si>
    <t>WH</t>
  </si>
  <si>
    <t>Used Car Dealer</t>
  </si>
  <si>
    <t>5511</t>
  </si>
  <si>
    <t>Motor Vehicle Dealers (New and Used)</t>
  </si>
  <si>
    <t>5</t>
  </si>
  <si>
    <t>Wholesale and retail trade and repair of motor vehicles and motorcycles</t>
  </si>
  <si>
    <t>7532</t>
  </si>
  <si>
    <t>Top, Body, and Upholstery Repair Shops and Paint Shops</t>
  </si>
  <si>
    <t>4520X</t>
  </si>
  <si>
    <t>Maintenance and repair of motor vehicles</t>
  </si>
  <si>
    <t>FI</t>
  </si>
  <si>
    <t>7533</t>
  </si>
  <si>
    <t>Automotive Exhaust System Repair Shops</t>
  </si>
  <si>
    <t>7534</t>
  </si>
  <si>
    <t>Tire Retreading and Repair Shops</t>
  </si>
  <si>
    <t>7536</t>
  </si>
  <si>
    <t>Automotive Glass Replacement Shops</t>
  </si>
  <si>
    <t>7537</t>
  </si>
  <si>
    <t>Automotive Transmission Repair Shops</t>
  </si>
  <si>
    <t>7539</t>
  </si>
  <si>
    <t>Automotive Repair Shops, N.E.C.</t>
  </si>
  <si>
    <t>7538</t>
  </si>
  <si>
    <t>General Automotive Repair Shops</t>
  </si>
  <si>
    <t>611023</t>
  </si>
  <si>
    <t>Part &amp; Accessories - Motor Vehicles (Wholesale)</t>
  </si>
  <si>
    <t>45301</t>
  </si>
  <si>
    <t>4530X</t>
  </si>
  <si>
    <t>5013</t>
  </si>
  <si>
    <t>Wholesale Motor Vehicle Supplies and New Parts</t>
  </si>
  <si>
    <t>45302</t>
  </si>
  <si>
    <t>Part &amp; Accessories - Motor vehicles (retail)</t>
  </si>
  <si>
    <t>5014</t>
  </si>
  <si>
    <t>Wholesale Tires and Tubes</t>
  </si>
  <si>
    <t>5015</t>
  </si>
  <si>
    <t>Wholesale Motor Vehicle Parts, Used</t>
  </si>
  <si>
    <t>611031</t>
  </si>
  <si>
    <t>Retail - Petrol Lubricating Oil</t>
  </si>
  <si>
    <t>45303</t>
  </si>
  <si>
    <t>Other retail trade, except of motor vehicles and motorcycles</t>
  </si>
  <si>
    <t>611011</t>
  </si>
  <si>
    <t>Motorcycles Vehicles (New) (wholesales)</t>
  </si>
  <si>
    <t>4540X</t>
  </si>
  <si>
    <t>Sale, maintenance and repair of motorcycles and related parts and accessories</t>
  </si>
  <si>
    <t>611012</t>
  </si>
  <si>
    <t>Motorcycles Vehicles (Used) (wholesales)</t>
  </si>
  <si>
    <t>611021</t>
  </si>
  <si>
    <t>Motorcycles &amp; Parts (wholesales)</t>
  </si>
  <si>
    <t>611022</t>
  </si>
  <si>
    <t>Motorcycles &amp; parts (retail)</t>
  </si>
  <si>
    <t>5571</t>
  </si>
  <si>
    <t>Motorcycle Dealers</t>
  </si>
  <si>
    <t>5031</t>
  </si>
  <si>
    <t>Wholesale Lumber, Plywood, Millwork, and Wood Panels</t>
  </si>
  <si>
    <t>46203</t>
  </si>
  <si>
    <t>Wholesale of lumber &amp; timber</t>
  </si>
  <si>
    <t>462XX</t>
  </si>
  <si>
    <t>Other wholesale trade, except of motor vehicles and motorcycles</t>
  </si>
  <si>
    <t>612035</t>
  </si>
  <si>
    <t>Wholesale - Rubber</t>
  </si>
  <si>
    <t>46201</t>
  </si>
  <si>
    <t>Wholesale of rubber</t>
  </si>
  <si>
    <t>612036</t>
  </si>
  <si>
    <t>Wholesale - Palm oil</t>
  </si>
  <si>
    <t>46202</t>
  </si>
  <si>
    <t>Wholesale of palm oil</t>
  </si>
  <si>
    <t>612037</t>
  </si>
  <si>
    <t>Wholesale - livestock</t>
  </si>
  <si>
    <t>46205</t>
  </si>
  <si>
    <t>Wholesale of livestock</t>
  </si>
  <si>
    <t>5193</t>
  </si>
  <si>
    <t>Wholesale Flowers, Nursery Stock, and Florists' Supplies</t>
  </si>
  <si>
    <t>Wholesale of agricultural raw materials and live animals</t>
  </si>
  <si>
    <t>5144</t>
  </si>
  <si>
    <t>Wholesale Poultry and Poultry Products</t>
  </si>
  <si>
    <t>46310</t>
  </si>
  <si>
    <t>Wholesale of food and beverages n.e.c.</t>
  </si>
  <si>
    <t>463XX</t>
  </si>
  <si>
    <t>Wholesale of food, beverages and tobacco related products</t>
  </si>
  <si>
    <t>5147</t>
  </si>
  <si>
    <t>Wholesale Meats and Meat Products</t>
  </si>
  <si>
    <t>5146</t>
  </si>
  <si>
    <t>Wholesale Fish and Seafood</t>
  </si>
  <si>
    <t>5148</t>
  </si>
  <si>
    <t>Wholesale Fresh Fruits and Vegetables</t>
  </si>
  <si>
    <t>5145</t>
  </si>
  <si>
    <t>Wholesale Confectionery</t>
  </si>
  <si>
    <t>612015</t>
  </si>
  <si>
    <t>Wholesale Biscuits, cakes, Bread &amp; other bakery products</t>
  </si>
  <si>
    <t>5153</t>
  </si>
  <si>
    <t>Wholesale Grain and Field Beans</t>
  </si>
  <si>
    <t>5194</t>
  </si>
  <si>
    <t>Wholesale Tobacco and Tobacco Products</t>
  </si>
  <si>
    <t>46327</t>
  </si>
  <si>
    <t>Wholesale of tobacco, cigar, cigarettes</t>
  </si>
  <si>
    <t>5181</t>
  </si>
  <si>
    <t>Wholesale Beer and Ale</t>
  </si>
  <si>
    <t>46326</t>
  </si>
  <si>
    <t>Wholesale of beer, wine and spirits</t>
  </si>
  <si>
    <t>5182</t>
  </si>
  <si>
    <t>Wholesale Wine and Distilled Alcoholic Beverages</t>
  </si>
  <si>
    <t>5143</t>
  </si>
  <si>
    <t>Wholesale Dairy Products, Except Dried or Canned</t>
  </si>
  <si>
    <t>5149</t>
  </si>
  <si>
    <t>Wholesale Groceries and Related Products, N.E.C.</t>
  </si>
  <si>
    <t>5154</t>
  </si>
  <si>
    <t>Wholesale Livestock</t>
  </si>
  <si>
    <t>5159</t>
  </si>
  <si>
    <t>Wholesale Farm-Product Raw Materials, N.E.C.</t>
  </si>
  <si>
    <t>5142</t>
  </si>
  <si>
    <t>Wholesale Packaged Frozen Foods</t>
  </si>
  <si>
    <t>5141</t>
  </si>
  <si>
    <t>Wholesale Groceries, General Line</t>
  </si>
  <si>
    <t>5136</t>
  </si>
  <si>
    <t>Wholesale Men's and Boys' Clothing and Furnishings</t>
  </si>
  <si>
    <t>4641X</t>
  </si>
  <si>
    <t>Wholesale of textiles, clothing and footwear</t>
  </si>
  <si>
    <t>Wholesale of Household goods</t>
  </si>
  <si>
    <t>5137</t>
  </si>
  <si>
    <t>Wholesale Women's, Children's, and Infants' Clothing and Accessories</t>
  </si>
  <si>
    <t>5139</t>
  </si>
  <si>
    <t>Wholesale Footwear</t>
  </si>
  <si>
    <t>5043</t>
  </si>
  <si>
    <t>Wholesale Photographic Equipment and Supplies</t>
  </si>
  <si>
    <t>46999</t>
  </si>
  <si>
    <t>5064</t>
  </si>
  <si>
    <t>Wholesale Electrical Appliances, Television and Radio Sets</t>
  </si>
  <si>
    <t>46496</t>
  </si>
  <si>
    <t>Wholesale of electrical and electronics goods</t>
  </si>
  <si>
    <t>5065</t>
  </si>
  <si>
    <t>Wholesale Electronic Parts and Equipment, N.E.C.</t>
  </si>
  <si>
    <t>5075</t>
  </si>
  <si>
    <t>Wholesale Warm Air Heating and Air-Conditioning Equipment and Supplies</t>
  </si>
  <si>
    <t>5091</t>
  </si>
  <si>
    <t>Wholesale Sporting and Recreational Goods and Supplies</t>
  </si>
  <si>
    <t>46499</t>
  </si>
  <si>
    <t>Wholesale of other household goods n.e.c.</t>
  </si>
  <si>
    <t>5198</t>
  </si>
  <si>
    <t>Wholesale Paints, Varnishes, and Supplies</t>
  </si>
  <si>
    <t>5111</t>
  </si>
  <si>
    <t>Wholesale Printing and Writing Paper</t>
  </si>
  <si>
    <t>5112</t>
  </si>
  <si>
    <t>Wholesale Stationery and Office Supplies</t>
  </si>
  <si>
    <t>5122</t>
  </si>
  <si>
    <t>Wholesale Drugs, Drug Proprietaries, and Druggists' Sundries</t>
  </si>
  <si>
    <t>5251</t>
  </si>
  <si>
    <t>Hardware Stores</t>
  </si>
  <si>
    <t>5311</t>
  </si>
  <si>
    <t>Department Stores</t>
  </si>
  <si>
    <t>5092</t>
  </si>
  <si>
    <t>Wholesale Toys and Hobby Goods and Supplies</t>
  </si>
  <si>
    <t>5131</t>
  </si>
  <si>
    <t>Wholesale Piece Goods, Notions, and Other Dry Goods</t>
  </si>
  <si>
    <t>5021</t>
  </si>
  <si>
    <t>Wholesale Furniture</t>
  </si>
  <si>
    <t>5023</t>
  </si>
  <si>
    <t>Wholesale Homefurnishings</t>
  </si>
  <si>
    <t>5045</t>
  </si>
  <si>
    <t>Wholesale Computers and Computer Peripheral Equipment and Software</t>
  </si>
  <si>
    <t>46510</t>
  </si>
  <si>
    <t>Wholesale of computer hardware, software and peripherals</t>
  </si>
  <si>
    <t>Wholesale of machinery, equipment and supplies</t>
  </si>
  <si>
    <t>46595</t>
  </si>
  <si>
    <t>Wholesale of construction and civil engineering machinery and equipment</t>
  </si>
  <si>
    <t>5084</t>
  </si>
  <si>
    <t>Wholesale Industrial Machinery and Equipment</t>
  </si>
  <si>
    <t>46599</t>
  </si>
  <si>
    <t>Wholesale of other machinery for use in industry, trade and navigation and other services n.e.c.</t>
  </si>
  <si>
    <t>Farming Equipment</t>
  </si>
  <si>
    <t>5085</t>
  </si>
  <si>
    <t>Wholesale Industrial Supplies</t>
  </si>
  <si>
    <t>5083</t>
  </si>
  <si>
    <t>Wholesale Farm and Garden Machinery and Equipment</t>
  </si>
  <si>
    <t>5032</t>
  </si>
  <si>
    <t>Wholesale Brick, Stone, and Related Construction Materials</t>
  </si>
  <si>
    <t>5033</t>
  </si>
  <si>
    <t>Wholesale Roofing, Siding, and Insulation Materials</t>
  </si>
  <si>
    <t>5039</t>
  </si>
  <si>
    <t>Wholesale Construction Materials, N.E.C.</t>
  </si>
  <si>
    <t>5211</t>
  </si>
  <si>
    <t>Lumber and Other Building Materials Dealers</t>
  </si>
  <si>
    <t>11</t>
  </si>
  <si>
    <t>5231</t>
  </si>
  <si>
    <t>Paint, Glass, and Wallpaper Stores</t>
  </si>
  <si>
    <t>5078</t>
  </si>
  <si>
    <t>Wholesale Refrigeration Equipment and Supplies</t>
  </si>
  <si>
    <t>5048</t>
  </si>
  <si>
    <t>Wholesale Ophthalmic Goods</t>
  </si>
  <si>
    <t>5093</t>
  </si>
  <si>
    <t>Wholesale Scrap and Waste Materials</t>
  </si>
  <si>
    <t>5044</t>
  </si>
  <si>
    <t>Wholesale Office Equipment</t>
  </si>
  <si>
    <t>5047</t>
  </si>
  <si>
    <t>Wholesale Medical, Dental, and Hospital Equipment and Supplies</t>
  </si>
  <si>
    <t>5049</t>
  </si>
  <si>
    <t>Wholesale Professional Equipment and Supplies, N.E.C.</t>
  </si>
  <si>
    <t>5051</t>
  </si>
  <si>
    <t>Wholesale Metals Service Centers and Offices</t>
  </si>
  <si>
    <t>5063</t>
  </si>
  <si>
    <t>Wholesale Electrical Apparatus and Equipment, Wiring Supplies, and Construction Materials</t>
  </si>
  <si>
    <t>5074</t>
  </si>
  <si>
    <t>Wholesale Plumbing and Heating Equipment and Supplies (Hydronics)</t>
  </si>
  <si>
    <t>5082</t>
  </si>
  <si>
    <t>Wholesale Construction and Mining (Except Petroleum) Machinery and Equipment</t>
  </si>
  <si>
    <t>5087</t>
  </si>
  <si>
    <t>Wholesale Service Establishment Equipment and Supplies</t>
  </si>
  <si>
    <t>5088</t>
  </si>
  <si>
    <t>Wholesale Transportation Equipment and Supplies, Except Motor Vehicles</t>
  </si>
  <si>
    <t>5094</t>
  </si>
  <si>
    <t>Wholesale Jewelry, Watches, Precious Stones, and Precious Metals</t>
  </si>
  <si>
    <t>5099</t>
  </si>
  <si>
    <t>Wholesale Durable Goods, N.E.C.</t>
  </si>
  <si>
    <t>5113</t>
  </si>
  <si>
    <t>Wholesale Industrial and Personal Service Paper</t>
  </si>
  <si>
    <t>5052</t>
  </si>
  <si>
    <t>Wholesale Coal and Other Minerals and Ores</t>
  </si>
  <si>
    <t>5162</t>
  </si>
  <si>
    <t>Wholesale Plastics Materials and Basic Forms and Shapes</t>
  </si>
  <si>
    <t>5169</t>
  </si>
  <si>
    <t>Wholesale Chemical and Allied Products, N.E.C.</t>
  </si>
  <si>
    <t>5171</t>
  </si>
  <si>
    <t>Wholesale Petroleum Bulk Stations and Terminals</t>
  </si>
  <si>
    <t>5191</t>
  </si>
  <si>
    <t>Wholesale Farm Supplies</t>
  </si>
  <si>
    <t>5192</t>
  </si>
  <si>
    <t>Wholesale Books, Periodicals, and Newspapers</t>
  </si>
  <si>
    <t>5199</t>
  </si>
  <si>
    <t>Wholesale Nondurable Goods, N.E.C.</t>
  </si>
  <si>
    <t>5072</t>
  </si>
  <si>
    <t>Wholesale Hardware</t>
  </si>
  <si>
    <t>5172</t>
  </si>
  <si>
    <t>Wholesale Petroleum and Petroleum Products Wholesalers, Except Bulk Stations and Terminals</t>
  </si>
  <si>
    <t>5046</t>
  </si>
  <si>
    <t>Wholesale Commercial Equipment, N.E.C.</t>
  </si>
  <si>
    <t>612061</t>
  </si>
  <si>
    <t>Large General wholesalers</t>
  </si>
  <si>
    <t>612062</t>
  </si>
  <si>
    <t>Wholesale nec - Import</t>
  </si>
  <si>
    <t>612063</t>
  </si>
  <si>
    <t>Wholesale nec - Export</t>
  </si>
  <si>
    <t>5499</t>
  </si>
  <si>
    <t>Miscellaneous Food Stores</t>
  </si>
  <si>
    <t>4711X</t>
  </si>
  <si>
    <t>Retail sale in non-specialized stores with food, beverages or tobacco predominating</t>
  </si>
  <si>
    <t>6</t>
  </si>
  <si>
    <t>Retail sale in non-specialized stores</t>
  </si>
  <si>
    <t>Retail - supermarket</t>
  </si>
  <si>
    <t>4719X</t>
  </si>
  <si>
    <t>Other retail sale in non-specialized stores</t>
  </si>
  <si>
    <t>472XX</t>
  </si>
  <si>
    <t>Retail - meat &amp; Poultry</t>
  </si>
  <si>
    <t>47210</t>
  </si>
  <si>
    <t>Retail sale of food and beverages in specialized stores n.e.c.</t>
  </si>
  <si>
    <t>Retail sale of food, beverages and tobacco in specialized stores</t>
  </si>
  <si>
    <t>5421</t>
  </si>
  <si>
    <t>Meat and Fish (Seafood) Markets, Including Freezer Provisioners</t>
  </si>
  <si>
    <t>5431</t>
  </si>
  <si>
    <t>Fruit and Vegetable Markets</t>
  </si>
  <si>
    <t>5441</t>
  </si>
  <si>
    <t>Candy, Nut, and Confectionery Stores</t>
  </si>
  <si>
    <t>5461</t>
  </si>
  <si>
    <t>Retail Bakeries</t>
  </si>
  <si>
    <t>613016</t>
  </si>
  <si>
    <t>Retail - rice, flour &amp; grains</t>
  </si>
  <si>
    <t>5993</t>
  </si>
  <si>
    <t>Tobacco Stores and Stands</t>
  </si>
  <si>
    <t>47230</t>
  </si>
  <si>
    <t>Retail sale of tobacco products in specialized store</t>
  </si>
  <si>
    <t>613020</t>
  </si>
  <si>
    <t>Retail - beer, wine &amp; spirits</t>
  </si>
  <si>
    <t>47221</t>
  </si>
  <si>
    <t>Retail sale of beer, wine and spirits</t>
  </si>
  <si>
    <t>5451</t>
  </si>
  <si>
    <t>Dairy Products Stores</t>
  </si>
  <si>
    <t>478XX</t>
  </si>
  <si>
    <t>Retail sale via stalls and markets</t>
  </si>
  <si>
    <t>479XX</t>
  </si>
  <si>
    <t>Retail trade not in stores, stalls or markets</t>
  </si>
  <si>
    <t>613031</t>
  </si>
  <si>
    <t>Retail sale of household of kitchenware</t>
  </si>
  <si>
    <t>40799</t>
  </si>
  <si>
    <t>613033</t>
  </si>
  <si>
    <r>
      <t>Retail sale of othe</t>
    </r>
    <r>
      <rPr>
        <sz val="11"/>
        <color indexed="12"/>
        <rFont val="Calibri"/>
        <family val="2"/>
      </rPr>
      <t>r</t>
    </r>
    <r>
      <rPr>
        <sz val="11"/>
        <rFont val="Calibri"/>
        <family val="2"/>
      </rPr>
      <t xml:space="preserve"> household goods</t>
    </r>
  </si>
  <si>
    <t>613032</t>
  </si>
  <si>
    <t>Retail sale of chinaware grassware</t>
  </si>
  <si>
    <t>40798</t>
  </si>
  <si>
    <t>Retail sale of Chinaware Glassware</t>
  </si>
  <si>
    <t>5261</t>
  </si>
  <si>
    <t>Retail Nurseries, Lawn and Garden Supply Stores</t>
  </si>
  <si>
    <t>5271</t>
  </si>
  <si>
    <t>Mobile Home Dealers</t>
  </si>
  <si>
    <t>5731</t>
  </si>
  <si>
    <t>Radio, Television, and Consumer Electronics Stores</t>
  </si>
  <si>
    <t>5621</t>
  </si>
  <si>
    <t>Women's Clothing Stores</t>
  </si>
  <si>
    <t>5948</t>
  </si>
  <si>
    <t>Luggage and Leather Goods Stores</t>
  </si>
  <si>
    <t>5942</t>
  </si>
  <si>
    <t>Book Stores</t>
  </si>
  <si>
    <t>5912</t>
  </si>
  <si>
    <t>Drug Stores and Proprietary Stores</t>
  </si>
  <si>
    <t>5699</t>
  </si>
  <si>
    <t>Miscellaneous Apparel and Accessory Stores</t>
  </si>
  <si>
    <t>5989</t>
  </si>
  <si>
    <t>Fuel Dealers, N.E.C.</t>
  </si>
  <si>
    <t>Retail - Petrol Station</t>
  </si>
  <si>
    <t>5551</t>
  </si>
  <si>
    <t>Boat Dealers</t>
  </si>
  <si>
    <t>5722</t>
  </si>
  <si>
    <t>Household Appliance Stores</t>
  </si>
  <si>
    <t>5947</t>
  </si>
  <si>
    <t>Gift, Novelty, and Souvenir Shops</t>
  </si>
  <si>
    <t>5943</t>
  </si>
  <si>
    <t>Stationery Stores</t>
  </si>
  <si>
    <t>5331</t>
  </si>
  <si>
    <t>Variety Stores</t>
  </si>
  <si>
    <t>5963</t>
  </si>
  <si>
    <t>Direct Selling Establishments</t>
  </si>
  <si>
    <t>5399</t>
  </si>
  <si>
    <t>Miscellaneous General Merchandise Stores</t>
  </si>
  <si>
    <t>5411</t>
  </si>
  <si>
    <t>Grocery Stores</t>
  </si>
  <si>
    <t>5531</t>
  </si>
  <si>
    <t>Auto and Home Supply Stores</t>
  </si>
  <si>
    <t>5641</t>
  </si>
  <si>
    <t>Children's and Infants' Wear Stores</t>
  </si>
  <si>
    <t>5541</t>
  </si>
  <si>
    <t>Gasoline Service Stations</t>
  </si>
  <si>
    <t>5561</t>
  </si>
  <si>
    <t>Recreational Vehicle Dealers</t>
  </si>
  <si>
    <t>5611</t>
  </si>
  <si>
    <t>Men's and Boys' Clothing and Accessory Stores</t>
  </si>
  <si>
    <t>5632</t>
  </si>
  <si>
    <t>Women's Accessory and Specialty Stores</t>
  </si>
  <si>
    <t>5651</t>
  </si>
  <si>
    <t>Family Clothing Stores</t>
  </si>
  <si>
    <t>5661</t>
  </si>
  <si>
    <t>Shoe Stores</t>
  </si>
  <si>
    <t>5713</t>
  </si>
  <si>
    <t>Floor Covering Stores</t>
  </si>
  <si>
    <t>5714</t>
  </si>
  <si>
    <t>Drapery, Curtain, and Upholstery Stores</t>
  </si>
  <si>
    <t>5719</t>
  </si>
  <si>
    <t>Miscellaneous Homefurnishings Stores</t>
  </si>
  <si>
    <t>5734</t>
  </si>
  <si>
    <t>Computer and Computer Software Stores</t>
  </si>
  <si>
    <t>5735</t>
  </si>
  <si>
    <t>Record and Prerecorded Tape Stores</t>
  </si>
  <si>
    <t>5736</t>
  </si>
  <si>
    <t>Musical Instrument Stores</t>
  </si>
  <si>
    <t>5921</t>
  </si>
  <si>
    <t>Liquor Stores</t>
  </si>
  <si>
    <t>5932</t>
  </si>
  <si>
    <t>Used Merchandise Stores</t>
  </si>
  <si>
    <t>5941</t>
  </si>
  <si>
    <t>Sporting Goods Stores and Bicycle Shops</t>
  </si>
  <si>
    <t>5944</t>
  </si>
  <si>
    <t>Jewelry Stores</t>
  </si>
  <si>
    <t>5945</t>
  </si>
  <si>
    <t>Hobby, Toy, and Game Shops</t>
  </si>
  <si>
    <t>5946</t>
  </si>
  <si>
    <t>Camera and Photographic Supply Stores</t>
  </si>
  <si>
    <t>5949</t>
  </si>
  <si>
    <t>Sewing, Needlework, and Piece Goods Stores</t>
  </si>
  <si>
    <t>5961</t>
  </si>
  <si>
    <t>Catalog and Mail-Order Houses</t>
  </si>
  <si>
    <t>5962</t>
  </si>
  <si>
    <t>Automatic Merchandising Machine Operators</t>
  </si>
  <si>
    <t>5983</t>
  </si>
  <si>
    <t>Fuel Oil Dealers</t>
  </si>
  <si>
    <t>5984</t>
  </si>
  <si>
    <t>Liquefied Petroleum Gas (Bottled Gas) Dealers</t>
  </si>
  <si>
    <t>5992</t>
  </si>
  <si>
    <t>Florists</t>
  </si>
  <si>
    <t>5994</t>
  </si>
  <si>
    <t>News Dealers and Newsstands</t>
  </si>
  <si>
    <t>5995</t>
  </si>
  <si>
    <t>Optical Goods Stores</t>
  </si>
  <si>
    <t>5999</t>
  </si>
  <si>
    <t>Miscellaneous Retail Stores, N.E.C.</t>
  </si>
  <si>
    <t>5712</t>
  </si>
  <si>
    <t>Furniture Stores</t>
  </si>
  <si>
    <t>4911X</t>
  </si>
  <si>
    <t>Passenger rail transport, interurban</t>
  </si>
  <si>
    <t>TR</t>
  </si>
  <si>
    <t>Transport and Logistics</t>
  </si>
  <si>
    <t>4013</t>
  </si>
  <si>
    <t>Railroad Switching and Terminal Establishments</t>
  </si>
  <si>
    <t>4912X</t>
  </si>
  <si>
    <t>Freight rail transport</t>
  </si>
  <si>
    <t>4111</t>
  </si>
  <si>
    <t>Local and Suburban Transit</t>
  </si>
  <si>
    <t>4921X</t>
  </si>
  <si>
    <t>Urban and suburban passenger land transport</t>
  </si>
  <si>
    <t>4131</t>
  </si>
  <si>
    <t>Intercity and Rural Bus Transportation</t>
  </si>
  <si>
    <t>4922X</t>
  </si>
  <si>
    <t>Other passenger land transport</t>
  </si>
  <si>
    <t>4142</t>
  </si>
  <si>
    <t>Bus Charter Service, Except Local</t>
  </si>
  <si>
    <t>4151</t>
  </si>
  <si>
    <t>School Buses</t>
  </si>
  <si>
    <t>4173</t>
  </si>
  <si>
    <t>Terminal and Service Facilities for Motor Vehicle Passenger Transportation</t>
  </si>
  <si>
    <t>4221</t>
  </si>
  <si>
    <t>Farm Product Warehousing and Storage</t>
  </si>
  <si>
    <t>4141</t>
  </si>
  <si>
    <t>Local Bus Charter Service</t>
  </si>
  <si>
    <t>Factory bus service (MRS)</t>
  </si>
  <si>
    <t>4119</t>
  </si>
  <si>
    <t>Local Passenger Transportation, N.E.C.</t>
  </si>
  <si>
    <t>4121</t>
  </si>
  <si>
    <t>Taxicabs</t>
  </si>
  <si>
    <t>49230</t>
  </si>
  <si>
    <t>Freight transport by road</t>
  </si>
  <si>
    <t>49300</t>
  </si>
  <si>
    <t>Transport via pipeline</t>
  </si>
  <si>
    <t>4482</t>
  </si>
  <si>
    <t>Ferries</t>
  </si>
  <si>
    <t>5011X</t>
  </si>
  <si>
    <t>Sea and coastal passenger water transport</t>
  </si>
  <si>
    <t>4489</t>
  </si>
  <si>
    <t>Water Transportation of Passengers, N.E.C.</t>
  </si>
  <si>
    <t>4493</t>
  </si>
  <si>
    <t>Marinas</t>
  </si>
  <si>
    <t>4499</t>
  </si>
  <si>
    <t>Water Transportation Services, N.E.C.</t>
  </si>
  <si>
    <t>4412</t>
  </si>
  <si>
    <t>Deep Sea Foreign Transportation of Freight</t>
  </si>
  <si>
    <t>50121</t>
  </si>
  <si>
    <t>Transport of freight over seas and coastal waters, whether scheduled or not</t>
  </si>
  <si>
    <t>4424</t>
  </si>
  <si>
    <t>Deep Sea Domestic Transportation of Freight</t>
  </si>
  <si>
    <t>4449</t>
  </si>
  <si>
    <t>Water Transportation of Freight, N.E.C.</t>
  </si>
  <si>
    <t>4481</t>
  </si>
  <si>
    <t>Deep Sea Transportation of Passengers, Except by Ferry</t>
  </si>
  <si>
    <t>4491</t>
  </si>
  <si>
    <t>Marine Cargo Handling</t>
  </si>
  <si>
    <t>4492</t>
  </si>
  <si>
    <t>Towing and Tugboat Services</t>
  </si>
  <si>
    <t>50122</t>
  </si>
  <si>
    <t>Transport by towing or pushing of barges, oil rigs</t>
  </si>
  <si>
    <t>5021X</t>
  </si>
  <si>
    <t>Inland passenger water transport</t>
  </si>
  <si>
    <t>5022X</t>
  </si>
  <si>
    <t>Inland freight water transport</t>
  </si>
  <si>
    <t>4512</t>
  </si>
  <si>
    <t>Air Transportation, Scheduled</t>
  </si>
  <si>
    <t>51101</t>
  </si>
  <si>
    <t>Transport of passengers by air over regular routes and on regular schedules</t>
  </si>
  <si>
    <t>4522</t>
  </si>
  <si>
    <t>Air Transportation, Nonscheduled</t>
  </si>
  <si>
    <t>51102</t>
  </si>
  <si>
    <t>Non-scheduled transport of passenger by air</t>
  </si>
  <si>
    <t>51103</t>
  </si>
  <si>
    <t>Renting of air-transport equipment with operator for the purpose of passenger transportation</t>
  </si>
  <si>
    <t>51201</t>
  </si>
  <si>
    <t>Transport freight by air over regular routes and on regular schedules</t>
  </si>
  <si>
    <t>4581</t>
  </si>
  <si>
    <t>Airports, Flying Fields, and Airport Terminal Services</t>
  </si>
  <si>
    <t>51202</t>
  </si>
  <si>
    <t>Non-scheduled transport of freight by air</t>
  </si>
  <si>
    <t>51203</t>
  </si>
  <si>
    <t>Renting of air-transport equipment with operator for the purpose of freight transportation</t>
  </si>
  <si>
    <t>4226</t>
  </si>
  <si>
    <t>Special Warehousing and Storage, N.E.C.</t>
  </si>
  <si>
    <t>5210X</t>
  </si>
  <si>
    <t>Warehousing and storage</t>
  </si>
  <si>
    <t>4225</t>
  </si>
  <si>
    <t>General Warehousing and Storage</t>
  </si>
  <si>
    <t>4222</t>
  </si>
  <si>
    <t>Refrigerated Warehousing and Storage</t>
  </si>
  <si>
    <t>4214</t>
  </si>
  <si>
    <t>Local Trucking With Storage</t>
  </si>
  <si>
    <t>5221X</t>
  </si>
  <si>
    <t>Service activities incidental to land transportation</t>
  </si>
  <si>
    <t>5222X</t>
  </si>
  <si>
    <t>Service activities incidental to water transportation</t>
  </si>
  <si>
    <t>5223X</t>
  </si>
  <si>
    <t>Service activities incidental to air transportation</t>
  </si>
  <si>
    <t>52241</t>
  </si>
  <si>
    <t>Stevedoring services</t>
  </si>
  <si>
    <t>52249</t>
  </si>
  <si>
    <t>Other cargo handling activities n.e.c.</t>
  </si>
  <si>
    <t>4212</t>
  </si>
  <si>
    <t>Local Trucking Without Storage</t>
  </si>
  <si>
    <t>52291</t>
  </si>
  <si>
    <t>Forwarding of freight</t>
  </si>
  <si>
    <t>Freight Fowarding Services</t>
  </si>
  <si>
    <t>4213</t>
  </si>
  <si>
    <t>Trucking, Except Local</t>
  </si>
  <si>
    <t>4513</t>
  </si>
  <si>
    <t>Air Courier Services</t>
  </si>
  <si>
    <t>52292</t>
  </si>
  <si>
    <t>Brokerage for ship and aircraft space</t>
  </si>
  <si>
    <t>4729</t>
  </si>
  <si>
    <t>Arrangement of Passenger Transportation, N.E.C.</t>
  </si>
  <si>
    <t>52299</t>
  </si>
  <si>
    <t>Other transportation support activities n.e.c.</t>
  </si>
  <si>
    <t>4731</t>
  </si>
  <si>
    <t>Arrangement of Transportation of Freight and Cargo</t>
  </si>
  <si>
    <t>4231</t>
  </si>
  <si>
    <t>Terminal and Joint Terminal Maintenance Facilities for Motor Freight Transportation</t>
  </si>
  <si>
    <t>4783</t>
  </si>
  <si>
    <t>Packing and Crating</t>
  </si>
  <si>
    <t>4785</t>
  </si>
  <si>
    <t>Fixed Facilities and Inspection and Weighing Services for Motor Vehicle Transportation</t>
  </si>
  <si>
    <t>4789</t>
  </si>
  <si>
    <t>Transportation Services, N.E.C.</t>
  </si>
  <si>
    <t>4215</t>
  </si>
  <si>
    <t>Courier Services, Except by Air</t>
  </si>
  <si>
    <t>53XXX</t>
  </si>
  <si>
    <t>Postal and courier activities</t>
  </si>
  <si>
    <t>7021</t>
  </si>
  <si>
    <t>Rooming and Boarding Houses</t>
  </si>
  <si>
    <t>55101</t>
  </si>
  <si>
    <t>Hotels and resort hotels</t>
  </si>
  <si>
    <t>Accommodations</t>
  </si>
  <si>
    <t>7011</t>
  </si>
  <si>
    <t>Hotels and Motels</t>
  </si>
  <si>
    <t>7041</t>
  </si>
  <si>
    <t>Organization Hotels and Lodging Houses, on Membership Basis</t>
  </si>
  <si>
    <t>55104</t>
  </si>
  <si>
    <t>Chalets</t>
  </si>
  <si>
    <t>55105</t>
  </si>
  <si>
    <t>Rest house/guest house</t>
  </si>
  <si>
    <t>55108</t>
  </si>
  <si>
    <t>Home stay</t>
  </si>
  <si>
    <t>55199</t>
  </si>
  <si>
    <t>Other short term accommodation activities</t>
  </si>
  <si>
    <t>7032</t>
  </si>
  <si>
    <t>Sporting and Recreational Camps</t>
  </si>
  <si>
    <t>5520X</t>
  </si>
  <si>
    <t>Camping grounds, recreational vehicle parks and trailer parks</t>
  </si>
  <si>
    <t>55900</t>
  </si>
  <si>
    <t>Other accommodation</t>
  </si>
  <si>
    <t>5812</t>
  </si>
  <si>
    <t>Eating Places, Except Food Service, Institutional</t>
  </si>
  <si>
    <t>56101</t>
  </si>
  <si>
    <t>Restaurants and restaurant cum night clubs</t>
  </si>
  <si>
    <t>Food and beverage Services Activities (including restaurant/café/ mobile food service activities)</t>
  </si>
  <si>
    <t>5813</t>
  </si>
  <si>
    <t>Drinking Places (Alcoholic Beverages)</t>
  </si>
  <si>
    <t>56102</t>
  </si>
  <si>
    <t>Cafeterias/canteens</t>
  </si>
  <si>
    <t>56103</t>
  </si>
  <si>
    <t>Fast-food restaurants</t>
  </si>
  <si>
    <t>56104</t>
  </si>
  <si>
    <t>Ice cream truck vendors and parlours</t>
  </si>
  <si>
    <t>56105</t>
  </si>
  <si>
    <t>Mobile food carts</t>
  </si>
  <si>
    <t>56106</t>
  </si>
  <si>
    <t>Food stalls/hawkers</t>
  </si>
  <si>
    <t>56107</t>
  </si>
  <si>
    <t>Food or beverage, food and beverage preparation in market stalls/hawkers (e.g. pasar tani, pasar malam)</t>
  </si>
  <si>
    <t>562XX</t>
  </si>
  <si>
    <t>Event catering and other food service activities</t>
  </si>
  <si>
    <t>56302</t>
  </si>
  <si>
    <t>Coffee shops</t>
  </si>
  <si>
    <t>56303</t>
  </si>
  <si>
    <t>Drink stalls/hawkers</t>
  </si>
  <si>
    <t>56399</t>
  </si>
  <si>
    <t>Other beverage serving activities</t>
  </si>
  <si>
    <t>2732</t>
  </si>
  <si>
    <t>Book Printing</t>
  </si>
  <si>
    <t>58110</t>
  </si>
  <si>
    <t>Publishing of books, brochures and other publications</t>
  </si>
  <si>
    <t>2731</t>
  </si>
  <si>
    <t>Books: Publishing, or Publishing and Printing</t>
  </si>
  <si>
    <t>5812X</t>
  </si>
  <si>
    <t>Publishing of directories and mailing lists</t>
  </si>
  <si>
    <t>2721</t>
  </si>
  <si>
    <t>Periodicals: Publishing, or Publishing and Printing</t>
  </si>
  <si>
    <t>5813X</t>
  </si>
  <si>
    <t>Publishing of newspapers, journals and periodicals</t>
  </si>
  <si>
    <t>2711</t>
  </si>
  <si>
    <t>Newspapers: Publishing, or Publishing and Printing</t>
  </si>
  <si>
    <t>2771</t>
  </si>
  <si>
    <t>Greeting Cards</t>
  </si>
  <si>
    <t>5819X</t>
  </si>
  <si>
    <t>Other publishing activities</t>
  </si>
  <si>
    <t>2759</t>
  </si>
  <si>
    <t>Commercial Printing, N.E.C.</t>
  </si>
  <si>
    <t>2761</t>
  </si>
  <si>
    <t>Manifold Business Forms</t>
  </si>
  <si>
    <t>2741</t>
  </si>
  <si>
    <t>Miscellaneous Publishing</t>
  </si>
  <si>
    <t>2754</t>
  </si>
  <si>
    <t>Commercial Printing, Gravure</t>
  </si>
  <si>
    <t>2789</t>
  </si>
  <si>
    <t>Bookbinding and Related Work</t>
  </si>
  <si>
    <t>2752</t>
  </si>
  <si>
    <t>Commercial Printing, Lithographic</t>
  </si>
  <si>
    <t>2782</t>
  </si>
  <si>
    <t>Blankbooks, Looseleaf Binders and Devices</t>
  </si>
  <si>
    <t>582XX</t>
  </si>
  <si>
    <t>Software publishing</t>
  </si>
  <si>
    <t>7812</t>
  </si>
  <si>
    <t>Motion Picture and Video Tape Production</t>
  </si>
  <si>
    <t>59XXX</t>
  </si>
  <si>
    <t>Motion picture, video and television programme production, sound recording and music publishing activities</t>
  </si>
  <si>
    <t>Information &amp; Communication</t>
  </si>
  <si>
    <t>7819</t>
  </si>
  <si>
    <t>Services Allied to Motion Picture Production</t>
  </si>
  <si>
    <t>7822</t>
  </si>
  <si>
    <t>Motion Picture and Video Tape Distribution</t>
  </si>
  <si>
    <t>7829</t>
  </si>
  <si>
    <t>Services Allied to Motion Picture Distribution</t>
  </si>
  <si>
    <t>943130</t>
  </si>
  <si>
    <t>Radio, TV broadcasting</t>
  </si>
  <si>
    <t>943150</t>
  </si>
  <si>
    <t>Authors &amp; music composers</t>
  </si>
  <si>
    <t>60XXX</t>
  </si>
  <si>
    <t>Programming and broadcasting activities</t>
  </si>
  <si>
    <t>4813</t>
  </si>
  <si>
    <t>Telephone Communications, Except Radiotelephone</t>
  </si>
  <si>
    <t>6110X</t>
  </si>
  <si>
    <t>Wired telecommunications activities</t>
  </si>
  <si>
    <t>Information &amp; Communication - Telecommunication</t>
  </si>
  <si>
    <t>4822</t>
  </si>
  <si>
    <t>Telegraph and Other Message Communications</t>
  </si>
  <si>
    <t>4832</t>
  </si>
  <si>
    <t>Radio Broadcasting Stations</t>
  </si>
  <si>
    <t>4833</t>
  </si>
  <si>
    <t>Television Broadcasting Stations</t>
  </si>
  <si>
    <t>4841</t>
  </si>
  <si>
    <t>Cable and Other Pay Television Services</t>
  </si>
  <si>
    <t>4899</t>
  </si>
  <si>
    <t>Communications Services, N.E.C.</t>
  </si>
  <si>
    <t>4812</t>
  </si>
  <si>
    <t>Radiotelephone Communications</t>
  </si>
  <si>
    <t>Others (Post and Telecommunications)</t>
  </si>
  <si>
    <t>61101</t>
  </si>
  <si>
    <t>6120X</t>
  </si>
  <si>
    <t>Wireless telecommunications activities</t>
  </si>
  <si>
    <t>6130X</t>
  </si>
  <si>
    <t>Satellite telecommunications activities</t>
  </si>
  <si>
    <t>6190X</t>
  </si>
  <si>
    <t>Other telecommunications activities</t>
  </si>
  <si>
    <t>7374</t>
  </si>
  <si>
    <t>Computer Processing and Data Preparation and Processing Services</t>
  </si>
  <si>
    <t>620XX</t>
  </si>
  <si>
    <t>Computer programming, consultancy and related activities</t>
  </si>
  <si>
    <t>7372</t>
  </si>
  <si>
    <t>Prepackaged Software</t>
  </si>
  <si>
    <t>7371</t>
  </si>
  <si>
    <t>Computer Programming Services</t>
  </si>
  <si>
    <t>7373</t>
  </si>
  <si>
    <t>Computer Integrated Systems Design</t>
  </si>
  <si>
    <t>7375</t>
  </si>
  <si>
    <t>Information Retrieval Services</t>
  </si>
  <si>
    <t>7376</t>
  </si>
  <si>
    <t>Computer Facilities Management Services</t>
  </si>
  <si>
    <t>7378</t>
  </si>
  <si>
    <t>Computer Maintenance and Repair</t>
  </si>
  <si>
    <t>7379</t>
  </si>
  <si>
    <t>Computer Related Services, N.E.C.</t>
  </si>
  <si>
    <t>7377</t>
  </si>
  <si>
    <t>Computer Rental and Leasing</t>
  </si>
  <si>
    <t>631XX</t>
  </si>
  <si>
    <t>Data processing, hosting and related activities; web portals</t>
  </si>
  <si>
    <t>943300</t>
  </si>
  <si>
    <t>Printed news supply services (MRS)</t>
  </si>
  <si>
    <t>6391X</t>
  </si>
  <si>
    <t>News agency activities</t>
  </si>
  <si>
    <t>943400</t>
  </si>
  <si>
    <t>Picture supply services</t>
  </si>
  <si>
    <t>943500</t>
  </si>
  <si>
    <t>Other news agencies (MRS)</t>
  </si>
  <si>
    <t>63990</t>
  </si>
  <si>
    <t>Other information service activities n.e.c.</t>
  </si>
  <si>
    <t>64110</t>
  </si>
  <si>
    <t>Central banking</t>
  </si>
  <si>
    <t>6021</t>
  </si>
  <si>
    <t>National Commercial Banks</t>
  </si>
  <si>
    <t>64191</t>
  </si>
  <si>
    <t>Commercial Banks</t>
  </si>
  <si>
    <t>6022</t>
  </si>
  <si>
    <t>State Commercial Banks</t>
  </si>
  <si>
    <t>6029</t>
  </si>
  <si>
    <t>Commercial Banks, N.E.C.</t>
  </si>
  <si>
    <t>811011</t>
  </si>
  <si>
    <t>Industrial Devt. Finance institution</t>
  </si>
  <si>
    <t>64195</t>
  </si>
  <si>
    <t>Development financial institutions (with deposits taking functions)</t>
  </si>
  <si>
    <t>64192</t>
  </si>
  <si>
    <t>Islamic Banks</t>
  </si>
  <si>
    <t>64193</t>
  </si>
  <si>
    <t>Offshore Banks</t>
  </si>
  <si>
    <t>6282</t>
  </si>
  <si>
    <t>Investment Advice</t>
  </si>
  <si>
    <t>64194</t>
  </si>
  <si>
    <t>Investment Banks</t>
  </si>
  <si>
    <t>64199</t>
  </si>
  <si>
    <t>Other monetary intermediation (with deposits taking functions) n.e.c.</t>
  </si>
  <si>
    <t>6289</t>
  </si>
  <si>
    <t>Services Allied With the Exchange of Securities or Commodities, N.E.C.</t>
  </si>
  <si>
    <t>6035</t>
  </si>
  <si>
    <t>Savings Institutions, Federally Chartered</t>
  </si>
  <si>
    <t>6081</t>
  </si>
  <si>
    <t>Branches and Agencies of Foreign Banks</t>
  </si>
  <si>
    <t>6036</t>
  </si>
  <si>
    <t>Savings Institutions, Not Federally Chartered</t>
  </si>
  <si>
    <t>6061</t>
  </si>
  <si>
    <t>Credit Unions, Federally Chartered</t>
  </si>
  <si>
    <t>6062</t>
  </si>
  <si>
    <t>Credit Unions, Not Federally Chartered</t>
  </si>
  <si>
    <t>6082</t>
  </si>
  <si>
    <t>Foreign Trade and International Banks</t>
  </si>
  <si>
    <t>6091</t>
  </si>
  <si>
    <t>Nondeposit Trust Facilities</t>
  </si>
  <si>
    <t>6099</t>
  </si>
  <si>
    <t>Functions Related to Depositor Banking, N.E.C.</t>
  </si>
  <si>
    <t>6162</t>
  </si>
  <si>
    <t>Mortgage Bankers and Loan Correspondents</t>
  </si>
  <si>
    <t>6712</t>
  </si>
  <si>
    <t>Offices of Bank Holding Companies</t>
  </si>
  <si>
    <t>Real Estate (IHC)</t>
  </si>
  <si>
    <t>64200</t>
  </si>
  <si>
    <t>Activities of holding companies</t>
  </si>
  <si>
    <t>64301</t>
  </si>
  <si>
    <t>Venture capital fund</t>
  </si>
  <si>
    <t>64302</t>
  </si>
  <si>
    <t>Unit trust fund excludes REITs</t>
  </si>
  <si>
    <t>64303</t>
  </si>
  <si>
    <t>Property unit trust (REITs)</t>
  </si>
  <si>
    <t>64304</t>
  </si>
  <si>
    <t>Other administration of trusts accounts</t>
  </si>
  <si>
    <t>64309</t>
  </si>
  <si>
    <t>Trusts, funds and similar financial entities n.e.c.</t>
  </si>
  <si>
    <t>6726</t>
  </si>
  <si>
    <t>Unit Investment Trusts, Face-Amount Certificate Offices, and Closed-End Management Investment Offices</t>
  </si>
  <si>
    <t>651XX</t>
  </si>
  <si>
    <t>Insurance/Takaful</t>
  </si>
  <si>
    <t>6732</t>
  </si>
  <si>
    <t>Educational, Religious, and Charitable Trusts</t>
  </si>
  <si>
    <t>6733</t>
  </si>
  <si>
    <t>Trusts, Except Educational, Religious, and Charitable</t>
  </si>
  <si>
    <t>6141</t>
  </si>
  <si>
    <t>Personal Credit Institutions</t>
  </si>
  <si>
    <t>64910</t>
  </si>
  <si>
    <t>Financial leasing activities</t>
  </si>
  <si>
    <t>6153</t>
  </si>
  <si>
    <t>Short-Term Business Credit Institutions</t>
  </si>
  <si>
    <t>6159</t>
  </si>
  <si>
    <t>Miscellaneous Business Credit Institutions</t>
  </si>
  <si>
    <t>811010</t>
  </si>
  <si>
    <t>Rural Credit Institutions</t>
  </si>
  <si>
    <t>64921</t>
  </si>
  <si>
    <t>Development financial institutions (without deposits taking functions)</t>
  </si>
  <si>
    <t>811021</t>
  </si>
  <si>
    <t>Building societies</t>
  </si>
  <si>
    <t>64922</t>
  </si>
  <si>
    <t>Credit card services</t>
  </si>
  <si>
    <t>64923</t>
  </si>
  <si>
    <t>Licensed money lending activities</t>
  </si>
  <si>
    <t>64924</t>
  </si>
  <si>
    <t>Pawnshops and pawnbrokers includes Ar-Rahnu</t>
  </si>
  <si>
    <t>64925</t>
  </si>
  <si>
    <t>Co-operative with credits functions</t>
  </si>
  <si>
    <t>64929</t>
  </si>
  <si>
    <t>Other credit granting n.e.c.</t>
  </si>
  <si>
    <t>64991</t>
  </si>
  <si>
    <t>Factoring companies</t>
  </si>
  <si>
    <t>64992</t>
  </si>
  <si>
    <t>Representative office of foreign banks</t>
  </si>
  <si>
    <t>64993</t>
  </si>
  <si>
    <t>Nominee companies</t>
  </si>
  <si>
    <t>64999</t>
  </si>
  <si>
    <t>Other financial service activities, except insurance/takaful and pension funding n.e.c.</t>
  </si>
  <si>
    <t>6321</t>
  </si>
  <si>
    <t>Accident and Health Insurance</t>
  </si>
  <si>
    <t>Financial and Insurance/Takaful Activities</t>
  </si>
  <si>
    <t>6361</t>
  </si>
  <si>
    <t>Title Insurance</t>
  </si>
  <si>
    <t>6311</t>
  </si>
  <si>
    <t>Life Insurance</t>
  </si>
  <si>
    <t>6324</t>
  </si>
  <si>
    <t>Hospital and Medical Service Plans</t>
  </si>
  <si>
    <t>6331</t>
  </si>
  <si>
    <t>Fire,Marine, and Casualty Insurance</t>
  </si>
  <si>
    <t>6351</t>
  </si>
  <si>
    <t>Surety Insurance</t>
  </si>
  <si>
    <t>6371</t>
  </si>
  <si>
    <t>Pension, Health and Welfare Fundse</t>
  </si>
  <si>
    <t>6399</t>
  </si>
  <si>
    <t>Insurance Carriers, N.E.C</t>
  </si>
  <si>
    <t>6520X</t>
  </si>
  <si>
    <t>Reinsurance/Retakaful</t>
  </si>
  <si>
    <t>65301</t>
  </si>
  <si>
    <t>Pension funding</t>
  </si>
  <si>
    <t>65302</t>
  </si>
  <si>
    <t>Provident funding</t>
  </si>
  <si>
    <t>66111</t>
  </si>
  <si>
    <t>Stock exchanges</t>
  </si>
  <si>
    <t>66112</t>
  </si>
  <si>
    <t>Exchanges for commodity contracts</t>
  </si>
  <si>
    <t>66113</t>
  </si>
  <si>
    <t>Securities exchange</t>
  </si>
  <si>
    <t>66114</t>
  </si>
  <si>
    <t>Exchanges for commodity futures contracts</t>
  </si>
  <si>
    <t>66119</t>
  </si>
  <si>
    <t>Administration of financial markets n.e.c.</t>
  </si>
  <si>
    <t>6211</t>
  </si>
  <si>
    <t>Security Brokers, Dealers and Flotation Companies</t>
  </si>
  <si>
    <t>66121</t>
  </si>
  <si>
    <t>Stock, share and bond brokers</t>
  </si>
  <si>
    <t>6221</t>
  </si>
  <si>
    <t>Commodity Contracts Brokers and Dealers</t>
  </si>
  <si>
    <t>6231</t>
  </si>
  <si>
    <t>Security and Commodity Exchanges</t>
  </si>
  <si>
    <t>66122</t>
  </si>
  <si>
    <t>Commodity brokers and dealers</t>
  </si>
  <si>
    <t>66123</t>
  </si>
  <si>
    <t>Gold bullion dealers</t>
  </si>
  <si>
    <t>66124</t>
  </si>
  <si>
    <t>Foreign exchange broker and dealers (Bureaux de change)</t>
  </si>
  <si>
    <t>66125</t>
  </si>
  <si>
    <t>Money-changing services</t>
  </si>
  <si>
    <t>66129</t>
  </si>
  <si>
    <t>Other financial and commodity futures brokers and dealers</t>
  </si>
  <si>
    <t>6792</t>
  </si>
  <si>
    <t>Oil Royalty Traders</t>
  </si>
  <si>
    <t>66191</t>
  </si>
  <si>
    <t>Investment advisory services</t>
  </si>
  <si>
    <t>66192</t>
  </si>
  <si>
    <t>Financial consultancy services</t>
  </si>
  <si>
    <t>66199</t>
  </si>
  <si>
    <t>Activities auxiliary to finance n.e.c.</t>
  </si>
  <si>
    <t>66211</t>
  </si>
  <si>
    <t>Insurance adjusting service</t>
  </si>
  <si>
    <t>66212</t>
  </si>
  <si>
    <t>Takaful adjusting service</t>
  </si>
  <si>
    <t>66221</t>
  </si>
  <si>
    <t>Insurance agents</t>
  </si>
  <si>
    <t>66222</t>
  </si>
  <si>
    <t>Takaful agents</t>
  </si>
  <si>
    <t>66223</t>
  </si>
  <si>
    <t>Insurance brokers</t>
  </si>
  <si>
    <t>66224</t>
  </si>
  <si>
    <t>Takaful brokers</t>
  </si>
  <si>
    <t>66290</t>
  </si>
  <si>
    <t>Other activities auxiliary to insurance, takaful and pension funding</t>
  </si>
  <si>
    <t>66301</t>
  </si>
  <si>
    <t>Management of pension funds</t>
  </si>
  <si>
    <t>66302</t>
  </si>
  <si>
    <t>Assets/portfolio management</t>
  </si>
  <si>
    <t>66303</t>
  </si>
  <si>
    <t>Unit trust management companies</t>
  </si>
  <si>
    <t>68101</t>
  </si>
  <si>
    <t>Buying, selling, renting and operating of self-owned or leased real estate – residential buildings</t>
  </si>
  <si>
    <t>Real Estate</t>
  </si>
  <si>
    <t>831210</t>
  </si>
  <si>
    <t>Real estate Operation - Industrial building &amp; factories</t>
  </si>
  <si>
    <t>68110</t>
  </si>
  <si>
    <t>68102</t>
  </si>
  <si>
    <t>831221</t>
  </si>
  <si>
    <t>Real estate operations - shopping complex</t>
  </si>
  <si>
    <t>68120</t>
  </si>
  <si>
    <t>831222</t>
  </si>
  <si>
    <t>Real estate operations - office building</t>
  </si>
  <si>
    <t>68130</t>
  </si>
  <si>
    <t>831223</t>
  </si>
  <si>
    <t>Real estate operations - shophouse</t>
  </si>
  <si>
    <t>68140</t>
  </si>
  <si>
    <t>6512</t>
  </si>
  <si>
    <t>Operators of Nonresidential Buildings</t>
  </si>
  <si>
    <t>68150</t>
  </si>
  <si>
    <t>Real estate operations - other commercial complex</t>
  </si>
  <si>
    <t>7033</t>
  </si>
  <si>
    <t>Recreational Vehicle Parks and Campsites</t>
  </si>
  <si>
    <t>68103</t>
  </si>
  <si>
    <t>Buying, selling, renting and operating of self-owned or leased real estate – land</t>
  </si>
  <si>
    <t>68104</t>
  </si>
  <si>
    <t>Development of building projects for own operation, i.e. for renting of space in these buildings</t>
  </si>
  <si>
    <t>68109</t>
  </si>
  <si>
    <t>Real estate activities with own or leased property n.e.c.</t>
  </si>
  <si>
    <t>6531</t>
  </si>
  <si>
    <t>Real Estate Agents and Managers</t>
  </si>
  <si>
    <t>68201</t>
  </si>
  <si>
    <t>Activities of real estate agents and brokers for buying, selling and renting of real estate</t>
  </si>
  <si>
    <t>68202</t>
  </si>
  <si>
    <t>Management of real estate on a fee or contract basis</t>
  </si>
  <si>
    <t>68203</t>
  </si>
  <si>
    <t>Appraisal services for real estate</t>
  </si>
  <si>
    <t>6719</t>
  </si>
  <si>
    <t>Offices of Holding Companies, N.E.C.</t>
  </si>
  <si>
    <t>68209</t>
  </si>
  <si>
    <t>Real estate activities on a fee or contract basis n.e.c.</t>
  </si>
  <si>
    <t>6517</t>
  </si>
  <si>
    <t>Lessors of Railroad Property</t>
  </si>
  <si>
    <t>6513</t>
  </si>
  <si>
    <t>Operators of Apartment Buildings</t>
  </si>
  <si>
    <t>6514</t>
  </si>
  <si>
    <t>Operators of Dwellings Other Than Apartment Buildings</t>
  </si>
  <si>
    <t>6515</t>
  </si>
  <si>
    <t>Operators of Residential Mobile Home Sites ---Leasing of Building Space to Federal Government by Owners</t>
  </si>
  <si>
    <t>6519</t>
  </si>
  <si>
    <t>Lessors of Real Property, N.E.C.</t>
  </si>
  <si>
    <t>6552</t>
  </si>
  <si>
    <t>Land Subdividers and Developers, Except Cemeteries</t>
  </si>
  <si>
    <t>6553</t>
  </si>
  <si>
    <t>Cemetery Subdividers and Developers</t>
  </si>
  <si>
    <t>6722</t>
  </si>
  <si>
    <t>Management Investment Offices, Open-End</t>
  </si>
  <si>
    <t>6798</t>
  </si>
  <si>
    <t>Real Estate Investment Trusts</t>
  </si>
  <si>
    <t>6799</t>
  </si>
  <si>
    <t>Investors, N.E.C.</t>
  </si>
  <si>
    <t>9131</t>
  </si>
  <si>
    <t>Executive and legislative combined</t>
  </si>
  <si>
    <t>69XXX</t>
  </si>
  <si>
    <t>Legal and accounting activities</t>
  </si>
  <si>
    <t>7291</t>
  </si>
  <si>
    <t>Tax Return Preparation Services</t>
  </si>
  <si>
    <t>25</t>
  </si>
  <si>
    <t>Professional Services (Legal, accounting, medical &amp; engineering)</t>
  </si>
  <si>
    <t>8721</t>
  </si>
  <si>
    <t>Accounting, Auditing, and Bookkeeping Services</t>
  </si>
  <si>
    <t>8111</t>
  </si>
  <si>
    <t>Legal Services</t>
  </si>
  <si>
    <t>70100</t>
  </si>
  <si>
    <t>Activities of head offices</t>
  </si>
  <si>
    <t>8748</t>
  </si>
  <si>
    <t>Business Consulting Services, N.E.C.</t>
  </si>
  <si>
    <t>70201</t>
  </si>
  <si>
    <t>Business management consultancy services</t>
  </si>
  <si>
    <t>16</t>
  </si>
  <si>
    <t>Other professional, scientific and technical activities</t>
  </si>
  <si>
    <t>8741</t>
  </si>
  <si>
    <t>Management Services</t>
  </si>
  <si>
    <t>70209</t>
  </si>
  <si>
    <t>Other management consultancy activities n.e.c.</t>
  </si>
  <si>
    <t>Consultancy  &amp; research development activities</t>
  </si>
  <si>
    <t>8742</t>
  </si>
  <si>
    <t>Management Consulting Services</t>
  </si>
  <si>
    <t>70202</t>
  </si>
  <si>
    <t>Human resource consultancy services</t>
  </si>
  <si>
    <t>8743</t>
  </si>
  <si>
    <t>Public Relations Services</t>
  </si>
  <si>
    <t>70203</t>
  </si>
  <si>
    <t>Consultancy services in public relation and communications</t>
  </si>
  <si>
    <t>7381</t>
  </si>
  <si>
    <t>Detective, Guard, and Armored Car Services</t>
  </si>
  <si>
    <t>8999</t>
  </si>
  <si>
    <t>Services, N.E.C.</t>
  </si>
  <si>
    <t>7382</t>
  </si>
  <si>
    <t>Security Systems Services</t>
  </si>
  <si>
    <t>8744</t>
  </si>
  <si>
    <t>Facilities Support Management Services</t>
  </si>
  <si>
    <t>8711</t>
  </si>
  <si>
    <t>Engineering Services:</t>
  </si>
  <si>
    <t>7110X</t>
  </si>
  <si>
    <t>Architectural and engineering activities and related technical consultancy</t>
  </si>
  <si>
    <t>892210</t>
  </si>
  <si>
    <t>Engineering technical services</t>
  </si>
  <si>
    <t>8712</t>
  </si>
  <si>
    <t>Architectural Services (Other Than Naval)</t>
  </si>
  <si>
    <t>8713</t>
  </si>
  <si>
    <t>Surveying Services</t>
  </si>
  <si>
    <t>71200</t>
  </si>
  <si>
    <t>Technical testing and analysis</t>
  </si>
  <si>
    <t>72102</t>
  </si>
  <si>
    <t>Research and development on engineering and technology</t>
  </si>
  <si>
    <t>72103</t>
  </si>
  <si>
    <t>Research and development on medical sciences</t>
  </si>
  <si>
    <t>72105</t>
  </si>
  <si>
    <t>Research and development on agricultural sciences</t>
  </si>
  <si>
    <t>72106</t>
  </si>
  <si>
    <t>Research and development on Information Communication Technology (ICT)</t>
  </si>
  <si>
    <t>72199</t>
  </si>
  <si>
    <t>Other research and experimental development on natural sciences and engineering</t>
  </si>
  <si>
    <t>8731</t>
  </si>
  <si>
    <t>Commercial Physical and Biological Research:</t>
  </si>
  <si>
    <t>9661</t>
  </si>
  <si>
    <t>Space research and technology</t>
  </si>
  <si>
    <t>8734</t>
  </si>
  <si>
    <t>Testing Laboratories</t>
  </si>
  <si>
    <t>8733</t>
  </si>
  <si>
    <t>Noncommercial Research Organizations</t>
  </si>
  <si>
    <t>8732</t>
  </si>
  <si>
    <t>Commercial Economic, Sociological, and Educational Research</t>
  </si>
  <si>
    <t>7220X</t>
  </si>
  <si>
    <t>Research and experimental development on social sciences and humanities</t>
  </si>
  <si>
    <t>7319</t>
  </si>
  <si>
    <t>Advertising, N.E.C.</t>
  </si>
  <si>
    <t>73100</t>
  </si>
  <si>
    <t>Advertising</t>
  </si>
  <si>
    <t>Advertising and market research</t>
  </si>
  <si>
    <t>7331</t>
  </si>
  <si>
    <t>Direct Mail Advertising Services</t>
  </si>
  <si>
    <t>7313</t>
  </si>
  <si>
    <t>Radio, Television, and Publishers' Advertising Representatives</t>
  </si>
  <si>
    <t>7311</t>
  </si>
  <si>
    <t>Advertising Agencies</t>
  </si>
  <si>
    <t>7312</t>
  </si>
  <si>
    <t>Outdoor Advertising Services</t>
  </si>
  <si>
    <t>73200</t>
  </si>
  <si>
    <t>Market research and public opinion polling</t>
  </si>
  <si>
    <t>Administrative and Support Service Activities (rent/leasing/office administrative)</t>
  </si>
  <si>
    <t>7218</t>
  </si>
  <si>
    <t>Industrial Launderers</t>
  </si>
  <si>
    <t>74XXX</t>
  </si>
  <si>
    <t>7334</t>
  </si>
  <si>
    <t>Photocopying and Duplicating Services</t>
  </si>
  <si>
    <t>7336</t>
  </si>
  <si>
    <t>Commercial Art and Graphic Design</t>
  </si>
  <si>
    <t>7338</t>
  </si>
  <si>
    <t>Secretarial and Court Reporting Services</t>
  </si>
  <si>
    <t>7342</t>
  </si>
  <si>
    <t>Disinfecting and Pest Control Services</t>
  </si>
  <si>
    <t>7363</t>
  </si>
  <si>
    <t>Help Supply Services</t>
  </si>
  <si>
    <t>7383</t>
  </si>
  <si>
    <t>News Syndicates</t>
  </si>
  <si>
    <t>7384</t>
  </si>
  <si>
    <t>Photofinishing Laboratories</t>
  </si>
  <si>
    <t>7389</t>
  </si>
  <si>
    <t>Business Services, N.E.C.</t>
  </si>
  <si>
    <t>7549</t>
  </si>
  <si>
    <t>Automotive Services, Except Repair and Carwashes</t>
  </si>
  <si>
    <t>7335</t>
  </si>
  <si>
    <t>Commercial Photography</t>
  </si>
  <si>
    <t>7216</t>
  </si>
  <si>
    <t>Drycleaning Plants, Except Rug Cleaning</t>
  </si>
  <si>
    <t>7349</t>
  </si>
  <si>
    <t>Building Cleaning and Maintenance Services, N.E.C.</t>
  </si>
  <si>
    <t>0752</t>
  </si>
  <si>
    <t>Animal Specialty Services, Except Veterinary</t>
  </si>
  <si>
    <t>0742</t>
  </si>
  <si>
    <t>Veterinary Services for Animal Specialties</t>
  </si>
  <si>
    <t>75000</t>
  </si>
  <si>
    <t>Veterinary activities</t>
  </si>
  <si>
    <t>7710X</t>
  </si>
  <si>
    <t>Renting and leasing of motor vehicles</t>
  </si>
  <si>
    <t>832000</t>
  </si>
  <si>
    <t>Renting and leasing of personal and household goods</t>
  </si>
  <si>
    <t>772XX</t>
  </si>
  <si>
    <t>832100</t>
  </si>
  <si>
    <t>7359</t>
  </si>
  <si>
    <t>Equipment Rental and Leasing, N.E.C.</t>
  </si>
  <si>
    <t>77301</t>
  </si>
  <si>
    <t>Renting and operational leasing, without operator, of other machinery and equipment that are generally used as capital goods by industries</t>
  </si>
  <si>
    <t>7352</t>
  </si>
  <si>
    <t>Medical Equipment Rental and Leasing</t>
  </si>
  <si>
    <t>7353</t>
  </si>
  <si>
    <t>Heavy Construction Equipment Rental and Leasing</t>
  </si>
  <si>
    <t>77307</t>
  </si>
  <si>
    <t>Rental and operational leasing of office machinery and equipment without operator</t>
  </si>
  <si>
    <t>4741</t>
  </si>
  <si>
    <t>Rental of Railroad Cars</t>
  </si>
  <si>
    <t>77399</t>
  </si>
  <si>
    <t>Other renting and leasing of other machinery, equipment and tangible goods</t>
  </si>
  <si>
    <t>7513</t>
  </si>
  <si>
    <t>Truck Rental and Leasing, Without Drivers</t>
  </si>
  <si>
    <t>7514</t>
  </si>
  <si>
    <t>Passenger Car Rental</t>
  </si>
  <si>
    <t>7515</t>
  </si>
  <si>
    <t>Passenger Car Leasing</t>
  </si>
  <si>
    <t>7521</t>
  </si>
  <si>
    <t>Automobile Parking</t>
  </si>
  <si>
    <t>7841</t>
  </si>
  <si>
    <t>Video Tape Rental</t>
  </si>
  <si>
    <t>77400</t>
  </si>
  <si>
    <t>Leasing of intellectual property and similar products, except copyrighted works</t>
  </si>
  <si>
    <t>6794</t>
  </si>
  <si>
    <t>Patent Owners and Lessors</t>
  </si>
  <si>
    <t>7361</t>
  </si>
  <si>
    <t>Employment Agencies</t>
  </si>
  <si>
    <t>78XXX</t>
  </si>
  <si>
    <t>Employment activities</t>
  </si>
  <si>
    <t>4724</t>
  </si>
  <si>
    <t>Travel Agencies</t>
  </si>
  <si>
    <t>79XXX</t>
  </si>
  <si>
    <t>Travel agency, tour operator, reservation service and related activities</t>
  </si>
  <si>
    <t>Transportation &amp; Logistics</t>
  </si>
  <si>
    <t>4725</t>
  </si>
  <si>
    <t>Tour Operators</t>
  </si>
  <si>
    <t>80XXX</t>
  </si>
  <si>
    <t>Security and investigation activities</t>
  </si>
  <si>
    <t>81XXX</t>
  </si>
  <si>
    <t>Services to buildings and landscape activities</t>
  </si>
  <si>
    <t>821XX</t>
  </si>
  <si>
    <t>Office administrative and support activities</t>
  </si>
  <si>
    <t>82200</t>
  </si>
  <si>
    <t>Activities of call centres</t>
  </si>
  <si>
    <t>8230X</t>
  </si>
  <si>
    <t>Organization of conventions and trade shows</t>
  </si>
  <si>
    <t>7322</t>
  </si>
  <si>
    <t>Adjustment and Collection Services</t>
  </si>
  <si>
    <t>82908</t>
  </si>
  <si>
    <t>Activities of collection agencies and credit bureaus</t>
  </si>
  <si>
    <t>82910</t>
  </si>
  <si>
    <t>7323</t>
  </si>
  <si>
    <t>Credit Reporting Services</t>
  </si>
  <si>
    <t>82909</t>
  </si>
  <si>
    <t>8292X</t>
  </si>
  <si>
    <t>Packaging activities</t>
  </si>
  <si>
    <t>82990</t>
  </si>
  <si>
    <t>Other business support service activities n.e.c.</t>
  </si>
  <si>
    <t>9224</t>
  </si>
  <si>
    <t>Fire protection</t>
  </si>
  <si>
    <t>841XX</t>
  </si>
  <si>
    <t>Administration of the State and the economic and social policy of the community</t>
  </si>
  <si>
    <t>9611</t>
  </si>
  <si>
    <t>Administration of general economic programs</t>
  </si>
  <si>
    <t>9651</t>
  </si>
  <si>
    <t>Regulation miscellaneous commercial sectors</t>
  </si>
  <si>
    <t>9411</t>
  </si>
  <si>
    <t>Admin. of educational programs</t>
  </si>
  <si>
    <t>9431</t>
  </si>
  <si>
    <t>Admin. of public health programs</t>
  </si>
  <si>
    <t>9199</t>
  </si>
  <si>
    <t>General government</t>
  </si>
  <si>
    <t>953</t>
  </si>
  <si>
    <t>Housing and Urban Development</t>
  </si>
  <si>
    <t>9531</t>
  </si>
  <si>
    <t>Housing programs</t>
  </si>
  <si>
    <t>9532</t>
  </si>
  <si>
    <t>Urban and community development</t>
  </si>
  <si>
    <t>9441</t>
  </si>
  <si>
    <t>Admin. of social &amp;  manpower programs</t>
  </si>
  <si>
    <t>9641</t>
  </si>
  <si>
    <t>Regulation of agricultural marketing</t>
  </si>
  <si>
    <t>9221</t>
  </si>
  <si>
    <t>Police protection</t>
  </si>
  <si>
    <t>9222</t>
  </si>
  <si>
    <t>Legal counsel and prosecution</t>
  </si>
  <si>
    <t>9223</t>
  </si>
  <si>
    <t>Correctional institutions</t>
  </si>
  <si>
    <t>9229</t>
  </si>
  <si>
    <t>Public order and safety</t>
  </si>
  <si>
    <t>9311</t>
  </si>
  <si>
    <t>Finance, taxation, &amp;  monetary policy</t>
  </si>
  <si>
    <t>9512</t>
  </si>
  <si>
    <t>Land, mineral, wildlife conservation</t>
  </si>
  <si>
    <t>9621</t>
  </si>
  <si>
    <t>Regulation, administration of transportation</t>
  </si>
  <si>
    <t>9631</t>
  </si>
  <si>
    <t>Regulation, administration of utilities</t>
  </si>
  <si>
    <t>9721</t>
  </si>
  <si>
    <t>International affairs</t>
  </si>
  <si>
    <t>842XX</t>
  </si>
  <si>
    <t>Provision of services to the community as a whole</t>
  </si>
  <si>
    <t>8430X</t>
  </si>
  <si>
    <t>Compulsory social security activities</t>
  </si>
  <si>
    <t>8510X</t>
  </si>
  <si>
    <t>Pre-primary and primary education</t>
  </si>
  <si>
    <t>Educational Services</t>
  </si>
  <si>
    <t>8211</t>
  </si>
  <si>
    <t>Elementary and Secondary Schools</t>
  </si>
  <si>
    <t>852XX</t>
  </si>
  <si>
    <t>Secondary education</t>
  </si>
  <si>
    <t>8221</t>
  </si>
  <si>
    <t>Colleges, Universities, and Professional Schools</t>
  </si>
  <si>
    <t>8530X</t>
  </si>
  <si>
    <t>Higher education</t>
  </si>
  <si>
    <t>8222</t>
  </si>
  <si>
    <t>Junior Colleges and Technical Institutes</t>
  </si>
  <si>
    <t>8243</t>
  </si>
  <si>
    <t>Data Processing Schools</t>
  </si>
  <si>
    <t>854XX</t>
  </si>
  <si>
    <t>Other education</t>
  </si>
  <si>
    <t>8244</t>
  </si>
  <si>
    <t>Business and Secretarial Schools</t>
  </si>
  <si>
    <t>8249</t>
  </si>
  <si>
    <t>Vocational Schools, N.E.C.</t>
  </si>
  <si>
    <t>8299</t>
  </si>
  <si>
    <t>Flight Training Services</t>
  </si>
  <si>
    <t>8550X</t>
  </si>
  <si>
    <t>Educational support services</t>
  </si>
  <si>
    <t>8011</t>
  </si>
  <si>
    <t>Offices and Clinics of Doctors of Medicine</t>
  </si>
  <si>
    <t>861XX</t>
  </si>
  <si>
    <t>Hospital activities</t>
  </si>
  <si>
    <t>8021</t>
  </si>
  <si>
    <t>Offices and Clinics of Dentists</t>
  </si>
  <si>
    <t>8031</t>
  </si>
  <si>
    <t>Offices and Clinics of Doctors of Osteopathy</t>
  </si>
  <si>
    <t>8041</t>
  </si>
  <si>
    <t>Offices and Clinics of Chiropractors</t>
  </si>
  <si>
    <t>8042</t>
  </si>
  <si>
    <t>Offices and Clinics of Optometrists</t>
  </si>
  <si>
    <t>8043</t>
  </si>
  <si>
    <t>Offices and Clinics of Podiatrists</t>
  </si>
  <si>
    <t>8049</t>
  </si>
  <si>
    <t>Offices and Clinics of Health Practitioners,N.E.C.</t>
  </si>
  <si>
    <t>8051</t>
  </si>
  <si>
    <t>Skilled Nursing Care Facilities</t>
  </si>
  <si>
    <t>8052</t>
  </si>
  <si>
    <t>Intermediate Care Facilities</t>
  </si>
  <si>
    <t>8059</t>
  </si>
  <si>
    <t>Nursing and Personal Care Facilities, N.E.C.</t>
  </si>
  <si>
    <t>8062</t>
  </si>
  <si>
    <t>General Medical and Surgical Hospitals</t>
  </si>
  <si>
    <t>8063</t>
  </si>
  <si>
    <t>Psychiatric Hospitals</t>
  </si>
  <si>
    <t>8069</t>
  </si>
  <si>
    <t>Specialty Hospitals, Except Psychiatric</t>
  </si>
  <si>
    <t>8071</t>
  </si>
  <si>
    <t>Medical Laboratories</t>
  </si>
  <si>
    <t>8072</t>
  </si>
  <si>
    <t>Dental Laboratories</t>
  </si>
  <si>
    <t>8082</t>
  </si>
  <si>
    <t>Home Health Care Services</t>
  </si>
  <si>
    <t>8092</t>
  </si>
  <si>
    <t>Kidney Dialysis Centers</t>
  </si>
  <si>
    <t>8093</t>
  </si>
  <si>
    <t>Specialty Outpatient Facilities, N.E.C.</t>
  </si>
  <si>
    <t>8620X</t>
  </si>
  <si>
    <t>Medical and dental practice activities</t>
  </si>
  <si>
    <t>8099</t>
  </si>
  <si>
    <t>Health and Allied Services, N.E.C.</t>
  </si>
  <si>
    <t>8690X</t>
  </si>
  <si>
    <t>Other human health activities</t>
  </si>
  <si>
    <t>8399</t>
  </si>
  <si>
    <t>Resident Care</t>
  </si>
  <si>
    <t>87XXX</t>
  </si>
  <si>
    <t>Residential care activities</t>
  </si>
  <si>
    <t>8361</t>
  </si>
  <si>
    <t>Social Services, N.E.C.</t>
  </si>
  <si>
    <t>88XXX</t>
  </si>
  <si>
    <t>Social work activities without accommodation</t>
  </si>
  <si>
    <t>Other social work without accomodation</t>
  </si>
  <si>
    <t>8351</t>
  </si>
  <si>
    <t>Child Day Care Services</t>
  </si>
  <si>
    <t>8322</t>
  </si>
  <si>
    <t>Individual and Family Social Services</t>
  </si>
  <si>
    <t>8331</t>
  </si>
  <si>
    <t>Job Training and Vocational Rehabilitation Services</t>
  </si>
  <si>
    <t>7832</t>
  </si>
  <si>
    <t>Motion Picture Theaters, Except Drive-In</t>
  </si>
  <si>
    <t>9000X</t>
  </si>
  <si>
    <t>Creative, arts and entertainment activities</t>
  </si>
  <si>
    <t>Entertainment Services / Recreation Services</t>
  </si>
  <si>
    <t>7833</t>
  </si>
  <si>
    <t>Drive-In Motion Picture Theaters</t>
  </si>
  <si>
    <t>7922</t>
  </si>
  <si>
    <t>Theatrical Producers (Except Motion Picture) and Miscellaneous Theatrical Services</t>
  </si>
  <si>
    <t>8231</t>
  </si>
  <si>
    <t>Libraries</t>
  </si>
  <si>
    <t>910XX</t>
  </si>
  <si>
    <t>Libraries, archives, museums and other cultural activities</t>
  </si>
  <si>
    <t>8412</t>
  </si>
  <si>
    <t>Museums and Art Galleries</t>
  </si>
  <si>
    <t>Other cultural activities nec</t>
  </si>
  <si>
    <t>8422</t>
  </si>
  <si>
    <t>Arboreta and Botanical or Zoological Gardens</t>
  </si>
  <si>
    <t>92000</t>
  </si>
  <si>
    <t>Gambling and betting activities</t>
  </si>
  <si>
    <t>7519</t>
  </si>
  <si>
    <t>Utility Trailer and Recreational Vehicle Rental</t>
  </si>
  <si>
    <t>93XXX</t>
  </si>
  <si>
    <t>Sports activities and amusement and recreation activities</t>
  </si>
  <si>
    <t>7929</t>
  </si>
  <si>
    <t>Bands, Orchestras, Actors, and Other Entertainers and Entertainment Groups</t>
  </si>
  <si>
    <t>7933</t>
  </si>
  <si>
    <t>Bowling Centers</t>
  </si>
  <si>
    <t>7941</t>
  </si>
  <si>
    <t>Professional Sports Clubs and Promoters</t>
  </si>
  <si>
    <t>7991</t>
  </si>
  <si>
    <t>Physical Fitness Facilities</t>
  </si>
  <si>
    <t>7993</t>
  </si>
  <si>
    <t>Coin-Operated Amusement Devices</t>
  </si>
  <si>
    <t>7996</t>
  </si>
  <si>
    <t>Amusement Parks</t>
  </si>
  <si>
    <t>7997</t>
  </si>
  <si>
    <t>Membership Sports and Recreation Clubs</t>
  </si>
  <si>
    <t>7999</t>
  </si>
  <si>
    <t>Amusement and Recreation Services, N.E.C.</t>
  </si>
  <si>
    <t>7911</t>
  </si>
  <si>
    <t>Dance Studios, Schools, and Halls</t>
  </si>
  <si>
    <t>8661</t>
  </si>
  <si>
    <t>Religious Organizations</t>
  </si>
  <si>
    <t>94XXX</t>
  </si>
  <si>
    <t>Activities of membership organizations</t>
  </si>
  <si>
    <t>8611</t>
  </si>
  <si>
    <t>Business Associations</t>
  </si>
  <si>
    <t>8621</t>
  </si>
  <si>
    <t>Professional Membership Organizations</t>
  </si>
  <si>
    <t>8631</t>
  </si>
  <si>
    <t>Labor Unions and Similar Labor Organizations</t>
  </si>
  <si>
    <t>8641</t>
  </si>
  <si>
    <t>Civic, Social, and Fraternal Associations</t>
  </si>
  <si>
    <t>Trade unions</t>
  </si>
  <si>
    <t>8651</t>
  </si>
  <si>
    <t>Political Organizations</t>
  </si>
  <si>
    <t>613041</t>
  </si>
  <si>
    <t>Repair of footwear and other leather goods</t>
  </si>
  <si>
    <t>95XXX</t>
  </si>
  <si>
    <t>Repair of computers and personal and household goods</t>
  </si>
  <si>
    <t>7629</t>
  </si>
  <si>
    <t>Electrical and Electronic Repair Shops, N.E.C.</t>
  </si>
  <si>
    <t>7622</t>
  </si>
  <si>
    <t>Radio and Television Repair Shops</t>
  </si>
  <si>
    <t>7623</t>
  </si>
  <si>
    <t>Refrigeration and Air-Conditioning Service and Repair Shops</t>
  </si>
  <si>
    <t>7631</t>
  </si>
  <si>
    <t>Watch, Clock, and Jewelry Repair</t>
  </si>
  <si>
    <t>95294</t>
  </si>
  <si>
    <t>Repair and alteration of watches, clocks and jewelleries</t>
  </si>
  <si>
    <t>613044</t>
  </si>
  <si>
    <t>Repair of bicycles</t>
  </si>
  <si>
    <t>7641</t>
  </si>
  <si>
    <t>Reupholstery and Furniture Repair</t>
  </si>
  <si>
    <t>7692</t>
  </si>
  <si>
    <t>Welding Repair</t>
  </si>
  <si>
    <t>7699</t>
  </si>
  <si>
    <t>Repair Shops and Related Services, N.E.C.</t>
  </si>
  <si>
    <t>7694</t>
  </si>
  <si>
    <t>Armature Rewinding Shops</t>
  </si>
  <si>
    <t>7231</t>
  </si>
  <si>
    <t>Beauty Shops</t>
  </si>
  <si>
    <t>960XX</t>
  </si>
  <si>
    <t>Other personal service activities</t>
  </si>
  <si>
    <t>7241</t>
  </si>
  <si>
    <t>Barber Shops</t>
  </si>
  <si>
    <t>7221</t>
  </si>
  <si>
    <t>Photographic Studios, Portrait</t>
  </si>
  <si>
    <t>7251</t>
  </si>
  <si>
    <t>Shoe Repair Shops and Shoeshine Parlors</t>
  </si>
  <si>
    <t>7261</t>
  </si>
  <si>
    <t>Funeral Service and Crematories</t>
  </si>
  <si>
    <t>7215</t>
  </si>
  <si>
    <t>Coin-Operated Laundries and Drycleaning</t>
  </si>
  <si>
    <t>7542</t>
  </si>
  <si>
    <t>Carwashes</t>
  </si>
  <si>
    <t>7211</t>
  </si>
  <si>
    <t>Power Laundries, Family and Commercial</t>
  </si>
  <si>
    <t>7219</t>
  </si>
  <si>
    <t>Laundry and Garment Services, N.E.C.</t>
  </si>
  <si>
    <t>7299</t>
  </si>
  <si>
    <t>Miscellaneous Personal Services, N.E.C.</t>
  </si>
  <si>
    <t>TXXXX</t>
  </si>
  <si>
    <t>Activities of Households as Employers; Undifferentiated Goods and Services Producing Activities of Households for Own Use</t>
  </si>
  <si>
    <t>99000</t>
  </si>
  <si>
    <t>Activities of Extraterritorial Organisations and Bodies</t>
  </si>
  <si>
    <t>8699</t>
  </si>
  <si>
    <t>Membership Organizations, N.E.C.</t>
  </si>
  <si>
    <t>11042</t>
  </si>
  <si>
    <t>Production of natural mineral water and other bottled water</t>
  </si>
  <si>
    <t>OCT</t>
  </si>
  <si>
    <t>TOTAL CREDIT</t>
  </si>
  <si>
    <t>CIMB</t>
  </si>
  <si>
    <t>NOV</t>
  </si>
  <si>
    <t>DEC</t>
  </si>
  <si>
    <t>JAN</t>
  </si>
  <si>
    <t>FEB</t>
  </si>
  <si>
    <t>MAR</t>
  </si>
  <si>
    <t>IGNATIUS ASIA SDN. BHD.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</si>
</sst>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3" formatCode="_(* #,##0.00_);_(* \(#,##0.00\);_(* &quot;-&quot;??_);_(@_)"/>
    <numFmt numFmtId="164" formatCode="_(* #,##0.000_);_(* \(#,##0.000\);_(* &quot;-&quot;???_);_(@_)"/>
    <numFmt numFmtId="165" formatCode="[$-409]mmm\-yy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u/>
      <sz val="12"/>
      <name val="Century Gothic"/>
      <family val="2"/>
    </font>
    <font>
      <sz val="10"/>
      <color indexed="9"/>
      <name val="Tahoma"/>
      <family val="2"/>
    </font>
    <font>
      <b/>
      <u/>
      <sz val="10"/>
      <name val="Tahoma"/>
      <family val="2"/>
    </font>
    <font>
      <b/>
      <sz val="1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0"/>
      <name val="MS Sans Serif"/>
      <family val="2"/>
    </font>
    <font>
      <b/>
      <sz val="11"/>
      <color rgb="FF0000FF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indexed="12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0" fillId="0" borderId="0"/>
  </cellStyleXfs>
  <cellXfs count="151">
    <xf numFmtId="0" fontId="0" fillId="0" borderId="0" xfId="0"/>
    <xf numFmtId="0" fontId="2" fillId="0" borderId="1" xfId="0" applyFont="1" applyBorder="1"/>
    <xf numFmtId="0" fontId="0" fillId="0" borderId="3" xfId="0" applyBorder="1"/>
    <xf numFmtId="43" fontId="0" fillId="0" borderId="0" xfId="1" applyFont="1"/>
    <xf numFmtId="43" fontId="0" fillId="0" borderId="0" xfId="0" applyNumberFormat="1"/>
    <xf numFmtId="43" fontId="0" fillId="0" borderId="3" xfId="1" applyFont="1" applyBorder="1"/>
    <xf numFmtId="43" fontId="4" fillId="0" borderId="3" xfId="1" applyFont="1" applyBorder="1"/>
    <xf numFmtId="0" fontId="0" fillId="0" borderId="7" xfId="0" applyBorder="1"/>
    <xf numFmtId="43" fontId="0" fillId="0" borderId="7" xfId="1" applyFont="1" applyBorder="1"/>
    <xf numFmtId="0" fontId="2" fillId="0" borderId="0" xfId="0" applyFont="1"/>
    <xf numFmtId="43" fontId="2" fillId="0" borderId="1" xfId="0" applyNumberFormat="1" applyFont="1" applyBorder="1"/>
    <xf numFmtId="0" fontId="0" fillId="0" borderId="0" xfId="0" applyProtection="1">
      <protection hidden="1"/>
    </xf>
    <xf numFmtId="0" fontId="5" fillId="2" borderId="0" xfId="0" applyFont="1" applyFill="1" applyAlignment="1" applyProtection="1">
      <alignment horizontal="left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6" fillId="2" borderId="0" xfId="0" applyFont="1" applyFill="1" applyProtection="1">
      <protection hidden="1"/>
    </xf>
    <xf numFmtId="43" fontId="5" fillId="2" borderId="0" xfId="1" applyFont="1" applyFill="1" applyAlignment="1" applyProtection="1">
      <protection hidden="1"/>
    </xf>
    <xf numFmtId="9" fontId="6" fillId="2" borderId="0" xfId="0" applyNumberFormat="1" applyFont="1" applyFill="1" applyAlignment="1" applyProtection="1">
      <alignment wrapText="1"/>
      <protection hidden="1"/>
    </xf>
    <xf numFmtId="9" fontId="6" fillId="2" borderId="0" xfId="0" applyNumberFormat="1" applyFont="1" applyFill="1" applyAlignment="1" applyProtection="1">
      <alignment horizontal="center" wrapText="1"/>
      <protection hidden="1"/>
    </xf>
    <xf numFmtId="0" fontId="6" fillId="2" borderId="0" xfId="0" applyFont="1" applyFill="1" applyAlignment="1" applyProtection="1">
      <alignment wrapText="1"/>
      <protection hidden="1"/>
    </xf>
    <xf numFmtId="43" fontId="7" fillId="2" borderId="0" xfId="1" applyFont="1" applyFill="1" applyProtection="1">
      <protection hidden="1"/>
    </xf>
    <xf numFmtId="10" fontId="7" fillId="2" borderId="0" xfId="0" applyNumberFormat="1" applyFont="1" applyFill="1" applyProtection="1">
      <protection hidden="1"/>
    </xf>
    <xf numFmtId="0" fontId="8" fillId="3" borderId="9" xfId="0" applyFont="1" applyFill="1" applyBorder="1" applyAlignment="1" applyProtection="1">
      <alignment horizontal="center" vertical="center" wrapText="1"/>
      <protection hidden="1"/>
    </xf>
    <xf numFmtId="43" fontId="8" fillId="3" borderId="9" xfId="1" applyFont="1" applyFill="1" applyBorder="1" applyAlignment="1" applyProtection="1">
      <alignment vertical="center" wrapText="1"/>
      <protection hidden="1"/>
    </xf>
    <xf numFmtId="0" fontId="8" fillId="3" borderId="9" xfId="0" applyFont="1" applyFill="1" applyBorder="1" applyAlignment="1" applyProtection="1">
      <alignment horizontal="center" vertical="center"/>
      <protection hidden="1"/>
    </xf>
    <xf numFmtId="43" fontId="5" fillId="4" borderId="9" xfId="1" applyFont="1" applyFill="1" applyBorder="1" applyAlignment="1" applyProtection="1">
      <alignment horizontal="center"/>
      <protection locked="0"/>
    </xf>
    <xf numFmtId="10" fontId="5" fillId="4" borderId="9" xfId="0" applyNumberFormat="1" applyFont="1" applyFill="1" applyBorder="1" applyAlignment="1" applyProtection="1">
      <alignment horizontal="center"/>
      <protection locked="0"/>
    </xf>
    <xf numFmtId="0" fontId="5" fillId="4" borderId="9" xfId="0" applyFont="1" applyFill="1" applyBorder="1" applyAlignment="1" applyProtection="1">
      <alignment horizontal="center"/>
      <protection locked="0"/>
    </xf>
    <xf numFmtId="40" fontId="5" fillId="2" borderId="9" xfId="1" applyNumberFormat="1" applyFont="1" applyFill="1" applyBorder="1" applyAlignment="1" applyProtection="1">
      <alignment horizontal="center"/>
      <protection hidden="1"/>
    </xf>
    <xf numFmtId="43" fontId="5" fillId="2" borderId="9" xfId="0" applyNumberFormat="1" applyFont="1" applyFill="1" applyBorder="1" applyAlignment="1" applyProtection="1">
      <alignment horizontal="center"/>
      <protection hidden="1"/>
    </xf>
    <xf numFmtId="10" fontId="5" fillId="2" borderId="9" xfId="2" applyNumberFormat="1" applyFont="1" applyFill="1" applyBorder="1" applyAlignment="1" applyProtection="1">
      <alignment horizontal="center"/>
      <protection hidden="1"/>
    </xf>
    <xf numFmtId="43" fontId="5" fillId="2" borderId="9" xfId="1" applyFont="1" applyFill="1" applyBorder="1" applyProtection="1">
      <protection hidden="1"/>
    </xf>
    <xf numFmtId="8" fontId="5" fillId="2" borderId="9" xfId="0" applyNumberFormat="1" applyFont="1" applyFill="1" applyBorder="1" applyProtection="1">
      <protection hidden="1"/>
    </xf>
    <xf numFmtId="0" fontId="9" fillId="2" borderId="0" xfId="0" applyFont="1" applyFill="1" applyAlignment="1" applyProtection="1">
      <alignment horizontal="left"/>
      <protection hidden="1"/>
    </xf>
    <xf numFmtId="0" fontId="6" fillId="2" borderId="0" xfId="0" applyFont="1" applyFill="1" applyAlignment="1" applyProtection="1">
      <alignment horizontal="left"/>
      <protection hidden="1"/>
    </xf>
    <xf numFmtId="0" fontId="10" fillId="2" borderId="0" xfId="0" applyFont="1" applyFill="1" applyAlignment="1" applyProtection="1">
      <alignment horizontal="left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10" fillId="2" borderId="0" xfId="0" applyFont="1" applyFill="1" applyAlignment="1" applyProtection="1">
      <alignment horizontal="center"/>
      <protection hidden="1"/>
    </xf>
    <xf numFmtId="0" fontId="2" fillId="5" borderId="2" xfId="0" applyFont="1" applyFill="1" applyBorder="1"/>
    <xf numFmtId="0" fontId="4" fillId="5" borderId="2" xfId="0" applyFont="1" applyFill="1" applyBorder="1"/>
    <xf numFmtId="0" fontId="0" fillId="5" borderId="2" xfId="0" applyFill="1" applyBorder="1"/>
    <xf numFmtId="0" fontId="2" fillId="7" borderId="1" xfId="0" applyFont="1" applyFill="1" applyBorder="1"/>
    <xf numFmtId="0" fontId="2" fillId="6" borderId="5" xfId="0" applyFont="1" applyFill="1" applyBorder="1"/>
    <xf numFmtId="43" fontId="2" fillId="6" borderId="1" xfId="1" applyFont="1" applyFill="1" applyBorder="1"/>
    <xf numFmtId="43" fontId="2" fillId="6" borderId="6" xfId="1" applyFont="1" applyFill="1" applyBorder="1"/>
    <xf numFmtId="43" fontId="2" fillId="6" borderId="1" xfId="0" applyNumberFormat="1" applyFont="1" applyFill="1" applyBorder="1"/>
    <xf numFmtId="0" fontId="0" fillId="5" borderId="8" xfId="0" applyFill="1" applyBorder="1"/>
    <xf numFmtId="0" fontId="7" fillId="2" borderId="0" xfId="0" applyFont="1" applyFill="1" applyProtection="1">
      <protection hidden="1"/>
    </xf>
    <xf numFmtId="10" fontId="0" fillId="0" borderId="0" xfId="2" applyNumberFormat="1" applyFont="1" applyProtection="1">
      <protection hidden="1"/>
    </xf>
    <xf numFmtId="0" fontId="2" fillId="8" borderId="0" xfId="0" applyFont="1" applyFill="1"/>
    <xf numFmtId="43" fontId="0" fillId="8" borderId="0" xfId="0" applyNumberFormat="1" applyFill="1"/>
    <xf numFmtId="9" fontId="0" fillId="8" borderId="0" xfId="0" applyNumberFormat="1" applyFill="1"/>
    <xf numFmtId="43" fontId="0" fillId="0" borderId="10" xfId="0" applyNumberFormat="1" applyBorder="1"/>
    <xf numFmtId="0" fontId="0" fillId="5" borderId="11" xfId="0" applyFill="1" applyBorder="1"/>
    <xf numFmtId="0" fontId="12" fillId="9" borderId="12" xfId="3" applyFont="1" applyFill="1" applyBorder="1" applyProtection="1"/>
    <xf numFmtId="0" fontId="12" fillId="9" borderId="13" xfId="3" applyFont="1" applyFill="1" applyBorder="1" applyProtection="1"/>
    <xf numFmtId="0" fontId="13" fillId="9" borderId="13" xfId="3" applyFont="1" applyFill="1" applyBorder="1" applyProtection="1"/>
    <xf numFmtId="0" fontId="12" fillId="9" borderId="14" xfId="3" applyFont="1" applyFill="1" applyBorder="1" applyProtection="1"/>
    <xf numFmtId="0" fontId="14" fillId="9" borderId="0" xfId="3" applyFont="1" applyFill="1" applyBorder="1" applyProtection="1">
      <protection hidden="1"/>
    </xf>
    <xf numFmtId="0" fontId="14" fillId="9" borderId="0" xfId="3" applyFont="1" applyFill="1" applyProtection="1">
      <protection hidden="1"/>
    </xf>
    <xf numFmtId="0" fontId="12" fillId="9" borderId="0" xfId="3" applyFont="1" applyFill="1"/>
    <xf numFmtId="0" fontId="12" fillId="9" borderId="15" xfId="3" applyFont="1" applyFill="1" applyBorder="1" applyProtection="1"/>
    <xf numFmtId="0" fontId="12" fillId="9" borderId="0" xfId="3" applyFont="1" applyFill="1" applyBorder="1" applyProtection="1"/>
    <xf numFmtId="0" fontId="12" fillId="9" borderId="16" xfId="3" applyFont="1" applyFill="1" applyBorder="1" applyProtection="1"/>
    <xf numFmtId="0" fontId="12" fillId="9" borderId="0" xfId="3" applyFont="1" applyFill="1" applyBorder="1" applyProtection="1">
      <protection locked="0"/>
    </xf>
    <xf numFmtId="0" fontId="15" fillId="9" borderId="0" xfId="3" applyFont="1" applyFill="1" applyBorder="1" applyProtection="1"/>
    <xf numFmtId="0" fontId="15" fillId="11" borderId="0" xfId="3" applyFont="1" applyFill="1" applyBorder="1" applyAlignment="1" applyProtection="1">
      <alignment horizontal="center" vertical="center" wrapText="1"/>
    </xf>
    <xf numFmtId="43" fontId="12" fillId="10" borderId="0" xfId="4" applyFont="1" applyFill="1" applyBorder="1" applyProtection="1">
      <protection locked="0"/>
    </xf>
    <xf numFmtId="10" fontId="12" fillId="10" borderId="0" xfId="5" applyNumberFormat="1" applyFont="1" applyFill="1" applyBorder="1" applyAlignment="1" applyProtection="1">
      <alignment horizontal="center"/>
      <protection locked="0"/>
    </xf>
    <xf numFmtId="0" fontId="12" fillId="10" borderId="0" xfId="5" applyNumberFormat="1" applyFont="1" applyFill="1" applyBorder="1" applyAlignment="1" applyProtection="1">
      <alignment horizontal="center"/>
      <protection locked="0"/>
    </xf>
    <xf numFmtId="8" fontId="12" fillId="9" borderId="0" xfId="4" applyNumberFormat="1" applyFont="1" applyFill="1" applyBorder="1" applyProtection="1"/>
    <xf numFmtId="43" fontId="12" fillId="12" borderId="0" xfId="4" applyFont="1" applyFill="1" applyBorder="1" applyProtection="1">
      <protection locked="0"/>
    </xf>
    <xf numFmtId="43" fontId="12" fillId="9" borderId="0" xfId="3" applyNumberFormat="1" applyFont="1" applyFill="1" applyBorder="1" applyProtection="1"/>
    <xf numFmtId="43" fontId="14" fillId="9" borderId="0" xfId="4" applyFont="1" applyFill="1" applyBorder="1" applyProtection="1">
      <protection hidden="1"/>
    </xf>
    <xf numFmtId="43" fontId="14" fillId="9" borderId="0" xfId="4" applyFont="1" applyFill="1" applyProtection="1">
      <protection hidden="1"/>
    </xf>
    <xf numFmtId="43" fontId="12" fillId="9" borderId="16" xfId="3" applyNumberFormat="1" applyFont="1" applyFill="1" applyBorder="1" applyProtection="1">
      <protection hidden="1"/>
    </xf>
    <xf numFmtId="0" fontId="16" fillId="9" borderId="0" xfId="3" applyFont="1" applyFill="1" applyBorder="1" applyProtection="1"/>
    <xf numFmtId="43" fontId="12" fillId="9" borderId="0" xfId="4" applyFont="1" applyFill="1" applyBorder="1" applyProtection="1"/>
    <xf numFmtId="10" fontId="12" fillId="9" borderId="0" xfId="5" applyNumberFormat="1" applyFont="1" applyFill="1" applyBorder="1" applyAlignment="1" applyProtection="1">
      <alignment horizontal="center"/>
    </xf>
    <xf numFmtId="0" fontId="12" fillId="9" borderId="0" xfId="5" applyNumberFormat="1" applyFont="1" applyFill="1" applyBorder="1" applyAlignment="1" applyProtection="1">
      <alignment horizontal="center"/>
    </xf>
    <xf numFmtId="43" fontId="16" fillId="9" borderId="19" xfId="4" applyFont="1" applyFill="1" applyBorder="1" applyProtection="1"/>
    <xf numFmtId="164" fontId="12" fillId="9" borderId="0" xfId="4" applyNumberFormat="1" applyFont="1" applyFill="1" applyBorder="1" applyProtection="1"/>
    <xf numFmtId="43" fontId="16" fillId="9" borderId="0" xfId="4" applyFont="1" applyFill="1" applyBorder="1" applyAlignment="1" applyProtection="1"/>
    <xf numFmtId="43" fontId="16" fillId="0" borderId="19" xfId="4" applyFont="1" applyFill="1" applyBorder="1" applyProtection="1"/>
    <xf numFmtId="0" fontId="14" fillId="9" borderId="0" xfId="3" applyFont="1" applyFill="1" applyBorder="1" applyProtection="1"/>
    <xf numFmtId="0" fontId="14" fillId="9" borderId="0" xfId="3" applyFont="1" applyFill="1" applyProtection="1"/>
    <xf numFmtId="0" fontId="12" fillId="9" borderId="0" xfId="3" applyFont="1" applyFill="1" applyProtection="1"/>
    <xf numFmtId="0" fontId="12" fillId="9" borderId="20" xfId="3" applyFont="1" applyFill="1" applyBorder="1" applyProtection="1"/>
    <xf numFmtId="0" fontId="12" fillId="9" borderId="21" xfId="3" applyFont="1" applyFill="1" applyBorder="1" applyProtection="1"/>
    <xf numFmtId="0" fontId="12" fillId="9" borderId="22" xfId="3" applyFont="1" applyFill="1" applyBorder="1" applyProtection="1"/>
    <xf numFmtId="0" fontId="3" fillId="5" borderId="1" xfId="0" applyFont="1" applyFill="1" applyBorder="1" applyAlignment="1"/>
    <xf numFmtId="0" fontId="0" fillId="0" borderId="0" xfId="0" applyAlignment="1">
      <alignment horizontal="center"/>
    </xf>
    <xf numFmtId="0" fontId="17" fillId="14" borderId="27" xfId="0" applyFont="1" applyFill="1" applyBorder="1" applyAlignment="1">
      <alignment horizontal="center" vertical="center" wrapText="1"/>
    </xf>
    <xf numFmtId="0" fontId="17" fillId="14" borderId="28" xfId="0" applyFont="1" applyFill="1" applyBorder="1" applyAlignment="1">
      <alignment horizontal="center" vertical="center" wrapText="1"/>
    </xf>
    <xf numFmtId="165" fontId="18" fillId="0" borderId="29" xfId="0" applyNumberFormat="1" applyFont="1" applyBorder="1" applyAlignment="1">
      <alignment horizontal="center" vertical="center" wrapText="1"/>
    </xf>
    <xf numFmtId="0" fontId="0" fillId="0" borderId="3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165" fontId="18" fillId="0" borderId="35" xfId="0" applyNumberFormat="1" applyFont="1" applyBorder="1" applyAlignment="1">
      <alignment horizontal="center" vertical="center" wrapText="1"/>
    </xf>
    <xf numFmtId="0" fontId="0" fillId="0" borderId="18" xfId="0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/>
      <protection hidden="1"/>
    </xf>
    <xf numFmtId="165" fontId="18" fillId="0" borderId="39" xfId="0" applyNumberFormat="1" applyFont="1" applyBorder="1" applyAlignment="1">
      <alignment horizontal="center" vertical="center" wrapText="1"/>
    </xf>
    <xf numFmtId="0" fontId="0" fillId="0" borderId="43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2" fillId="0" borderId="27" xfId="0" applyFont="1" applyBorder="1"/>
    <xf numFmtId="0" fontId="0" fillId="0" borderId="28" xfId="0" applyBorder="1" applyAlignment="1">
      <alignment horizontal="center"/>
    </xf>
    <xf numFmtId="3" fontId="2" fillId="0" borderId="0" xfId="0" applyNumberFormat="1" applyFont="1" applyBorder="1" applyAlignment="1" applyProtection="1">
      <alignment horizontal="center"/>
      <protection hidden="1"/>
    </xf>
    <xf numFmtId="0" fontId="0" fillId="0" borderId="0" xfId="0" applyFont="1"/>
    <xf numFmtId="4" fontId="18" fillId="0" borderId="30" xfId="0" applyNumberFormat="1" applyFont="1" applyBorder="1" applyAlignment="1">
      <alignment horizontal="center" vertical="center" wrapText="1"/>
    </xf>
    <xf numFmtId="4" fontId="18" fillId="0" borderId="36" xfId="0" applyNumberFormat="1" applyFont="1" applyBorder="1" applyAlignment="1">
      <alignment horizontal="center" vertical="center" wrapText="1"/>
    </xf>
    <xf numFmtId="4" fontId="18" fillId="0" borderId="40" xfId="0" applyNumberFormat="1" applyFont="1" applyBorder="1" applyAlignment="1">
      <alignment horizontal="center" vertical="center" wrapText="1"/>
    </xf>
    <xf numFmtId="4" fontId="18" fillId="0" borderId="31" xfId="0" applyNumberFormat="1" applyFont="1" applyBorder="1" applyAlignment="1">
      <alignment horizontal="center" vertical="center" wrapText="1"/>
    </xf>
    <xf numFmtId="4" fontId="18" fillId="0" borderId="37" xfId="0" applyNumberFormat="1" applyFont="1" applyBorder="1" applyAlignment="1">
      <alignment horizontal="center" vertical="center" wrapText="1"/>
    </xf>
    <xf numFmtId="4" fontId="18" fillId="0" borderId="41" xfId="0" applyNumberFormat="1" applyFont="1" applyBorder="1" applyAlignment="1">
      <alignment horizontal="center" vertical="center" wrapText="1"/>
    </xf>
    <xf numFmtId="4" fontId="0" fillId="0" borderId="32" xfId="0" applyNumberFormat="1" applyBorder="1" applyAlignment="1" applyProtection="1">
      <alignment horizontal="center"/>
      <protection hidden="1"/>
    </xf>
    <xf numFmtId="4" fontId="0" fillId="0" borderId="38" xfId="0" applyNumberFormat="1" applyBorder="1" applyAlignment="1" applyProtection="1">
      <alignment horizontal="center"/>
      <protection hidden="1"/>
    </xf>
    <xf numFmtId="4" fontId="0" fillId="0" borderId="42" xfId="0" applyNumberFormat="1" applyBorder="1" applyAlignment="1" applyProtection="1">
      <alignment horizontal="center"/>
      <protection hidden="1"/>
    </xf>
    <xf numFmtId="4" fontId="2" fillId="0" borderId="34" xfId="0" applyNumberFormat="1" applyFont="1" applyFill="1" applyBorder="1" applyAlignment="1" applyProtection="1">
      <alignment horizontal="center"/>
      <protection hidden="1"/>
    </xf>
    <xf numFmtId="4" fontId="2" fillId="0" borderId="38" xfId="0" applyNumberFormat="1" applyFont="1" applyFill="1" applyBorder="1" applyAlignment="1" applyProtection="1">
      <alignment horizontal="center"/>
      <protection hidden="1"/>
    </xf>
    <xf numFmtId="4" fontId="2" fillId="0" borderId="42" xfId="0" applyNumberFormat="1" applyFont="1" applyBorder="1" applyAlignment="1" applyProtection="1">
      <alignment horizontal="center"/>
      <protection hidden="1"/>
    </xf>
    <xf numFmtId="43" fontId="0" fillId="0" borderId="2" xfId="1" applyNumberFormat="1" applyFont="1" applyBorder="1"/>
    <xf numFmtId="43" fontId="0" fillId="0" borderId="3" xfId="1" applyNumberFormat="1" applyFont="1" applyBorder="1"/>
    <xf numFmtId="43" fontId="0" fillId="0" borderId="4" xfId="1" applyNumberFormat="1" applyFont="1" applyBorder="1"/>
    <xf numFmtId="0" fontId="17" fillId="14" borderId="4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9" fontId="2" fillId="0" borderId="0" xfId="0" applyNumberFormat="1" applyFont="1"/>
    <xf numFmtId="43" fontId="2" fillId="0" borderId="0" xfId="0" applyNumberFormat="1" applyFont="1"/>
    <xf numFmtId="0" fontId="3" fillId="0" borderId="0" xfId="6" applyFont="1" applyAlignment="1">
      <alignment vertical="top"/>
    </xf>
    <xf numFmtId="0" fontId="21" fillId="0" borderId="0" xfId="6" applyFont="1" applyAlignment="1">
      <alignment vertical="top"/>
    </xf>
    <xf numFmtId="0" fontId="21" fillId="0" borderId="0" xfId="6" applyFont="1" applyAlignment="1">
      <alignment horizontal="left" vertical="top"/>
    </xf>
    <xf numFmtId="0" fontId="22" fillId="0" borderId="0" xfId="6" applyFont="1" applyAlignment="1">
      <alignment vertical="top"/>
    </xf>
    <xf numFmtId="0" fontId="4" fillId="0" borderId="0" xfId="6" applyFont="1" applyAlignment="1">
      <alignment vertical="top"/>
    </xf>
    <xf numFmtId="0" fontId="19" fillId="0" borderId="0" xfId="6" applyFont="1" applyAlignment="1">
      <alignment vertical="top"/>
    </xf>
    <xf numFmtId="0" fontId="4" fillId="0" borderId="0" xfId="6" applyFont="1" applyFill="1" applyAlignment="1">
      <alignment vertical="top"/>
    </xf>
    <xf numFmtId="0" fontId="25" fillId="0" borderId="0" xfId="6" applyFont="1" applyAlignment="1">
      <alignment vertical="top"/>
    </xf>
    <xf numFmtId="43" fontId="2" fillId="0" borderId="0" xfId="1" applyFont="1"/>
    <xf numFmtId="43" fontId="0" fillId="0" borderId="0" xfId="1" applyFont="1" applyAlignment="1">
      <alignment horizontal="left"/>
    </xf>
    <xf numFmtId="43" fontId="2" fillId="0" borderId="0" xfId="1" applyFont="1" applyAlignment="1"/>
    <xf numFmtId="0" fontId="2" fillId="0" borderId="34" xfId="0" applyFont="1" applyBorder="1" applyAlignment="1" applyProtection="1">
      <alignment horizontal="center" vertical="center" wrapText="1"/>
      <protection hidden="1"/>
    </xf>
    <xf numFmtId="0" fontId="2" fillId="0" borderId="38" xfId="0" applyFont="1" applyBorder="1" applyAlignment="1" applyProtection="1">
      <alignment horizontal="center" vertical="center" wrapText="1"/>
      <protection hidden="1"/>
    </xf>
    <xf numFmtId="0" fontId="2" fillId="0" borderId="42" xfId="0" applyFont="1" applyBorder="1" applyAlignment="1" applyProtection="1">
      <alignment horizontal="center" vertical="center" wrapText="1"/>
      <protection hidden="1"/>
    </xf>
    <xf numFmtId="0" fontId="17" fillId="14" borderId="24" xfId="0" applyFont="1" applyFill="1" applyBorder="1" applyAlignment="1">
      <alignment horizontal="center" vertical="center" wrapText="1"/>
    </xf>
    <xf numFmtId="0" fontId="17" fillId="14" borderId="25" xfId="0" applyFont="1" applyFill="1" applyBorder="1" applyAlignment="1">
      <alignment horizontal="center" vertical="center" wrapText="1"/>
    </xf>
    <xf numFmtId="0" fontId="17" fillId="14" borderId="23" xfId="0" applyFont="1" applyFill="1" applyBorder="1" applyAlignment="1">
      <alignment horizontal="center" vertical="center" wrapText="1"/>
    </xf>
    <xf numFmtId="0" fontId="17" fillId="14" borderId="26" xfId="0" applyFont="1" applyFill="1" applyBorder="1" applyAlignment="1">
      <alignment horizontal="center" vertical="center" wrapText="1"/>
    </xf>
    <xf numFmtId="0" fontId="17" fillId="14" borderId="12" xfId="0" applyFont="1" applyFill="1" applyBorder="1" applyAlignment="1">
      <alignment horizontal="center" vertical="center" wrapText="1"/>
    </xf>
    <xf numFmtId="0" fontId="17" fillId="14" borderId="20" xfId="0" applyFont="1" applyFill="1" applyBorder="1" applyAlignment="1">
      <alignment horizontal="center" vertical="center" wrapText="1"/>
    </xf>
    <xf numFmtId="43" fontId="12" fillId="13" borderId="0" xfId="3" applyNumberFormat="1" applyFont="1" applyFill="1" applyBorder="1" applyAlignment="1" applyProtection="1">
      <alignment horizontal="center"/>
    </xf>
    <xf numFmtId="0" fontId="12" fillId="10" borderId="17" xfId="3" applyFont="1" applyFill="1" applyBorder="1" applyAlignment="1" applyProtection="1">
      <alignment horizontal="center"/>
      <protection locked="0"/>
    </xf>
    <xf numFmtId="0" fontId="12" fillId="10" borderId="18" xfId="3" applyFont="1" applyFill="1" applyBorder="1" applyAlignment="1" applyProtection="1">
      <alignment horizontal="center"/>
      <protection locked="0"/>
    </xf>
    <xf numFmtId="0" fontId="15" fillId="11" borderId="0" xfId="3" applyFont="1" applyFill="1" applyBorder="1" applyAlignment="1" applyProtection="1">
      <alignment horizontal="center" vertical="center" wrapText="1"/>
    </xf>
    <xf numFmtId="14" fontId="12" fillId="10" borderId="18" xfId="3" applyNumberFormat="1" applyFont="1" applyFill="1" applyBorder="1" applyAlignment="1" applyProtection="1">
      <alignment horizontal="center"/>
      <protection locked="0"/>
    </xf>
  </cellXfs>
  <cellStyles count="7">
    <cellStyle name="Comma" xfId="1" builtinId="3"/>
    <cellStyle name="Comma 2" xfId="4"/>
    <cellStyle name="Normal" xfId="0" builtinId="0"/>
    <cellStyle name="Normal 2" xfId="3"/>
    <cellStyle name="Normal 3" xfId="6"/>
    <cellStyle name="Percent" xfId="2" builtinId="5"/>
    <cellStyle name="Percent 2" xf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hbctrnetapp1\GRPLM\Policy%20and%20Guidelines\Loan%20Origination%20System\CREST-UAT%20verification\For%20IIF%20-%20Sector%20Codes%20Review\R_Sector_Mapping_production_Nov2019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_Sector_Mapping_working"/>
      <sheetName val="Sheet1"/>
      <sheetName val="related website"/>
      <sheetName val="HighRisk Sector"/>
      <sheetName val="Query"/>
    </sheetNames>
    <sheetDataSet>
      <sheetData sheetId="0" refreshError="1">
        <row r="2">
          <cell r="C2" t="str">
            <v>0112</v>
          </cell>
          <cell r="D2" t="str">
            <v>Rice</v>
          </cell>
          <cell r="E2" t="str">
            <v>T</v>
          </cell>
          <cell r="F2" t="str">
            <v>Y</v>
          </cell>
          <cell r="H2" t="str">
            <v>AG</v>
          </cell>
          <cell r="I2" t="str">
            <v>Y</v>
          </cell>
          <cell r="J2" t="str">
            <v>01120</v>
          </cell>
          <cell r="K2" t="str">
            <v>10</v>
          </cell>
          <cell r="L2" t="str">
            <v>T</v>
          </cell>
          <cell r="M2" t="str">
            <v>10</v>
          </cell>
          <cell r="N2" t="b">
            <v>1</v>
          </cell>
          <cell r="S2" t="str">
            <v>Crops &amp; animal productions, hunting &amp; related service activities</v>
          </cell>
        </row>
        <row r="3">
          <cell r="C3" t="str">
            <v>0161</v>
          </cell>
          <cell r="D3" t="str">
            <v>Vegetables and Melons</v>
          </cell>
          <cell r="E3" t="str">
            <v>T</v>
          </cell>
          <cell r="F3" t="str">
            <v>Y</v>
          </cell>
          <cell r="H3" t="str">
            <v>AG</v>
          </cell>
          <cell r="I3" t="str">
            <v>Y</v>
          </cell>
          <cell r="J3" t="str">
            <v>0113X</v>
          </cell>
          <cell r="K3" t="str">
            <v>10</v>
          </cell>
          <cell r="L3" t="str">
            <v>T</v>
          </cell>
          <cell r="M3" t="str">
            <v>10</v>
          </cell>
          <cell r="N3" t="b">
            <v>1</v>
          </cell>
          <cell r="S3" t="str">
            <v>Crops &amp; animal productions, hunting &amp; related service activities</v>
          </cell>
        </row>
        <row r="4">
          <cell r="C4" t="str">
            <v>0181</v>
          </cell>
          <cell r="D4" t="str">
            <v>Ornamental Floriculture Nursery Products</v>
          </cell>
          <cell r="E4" t="str">
            <v>T</v>
          </cell>
          <cell r="F4" t="str">
            <v>Y</v>
          </cell>
          <cell r="H4" t="str">
            <v>AG</v>
          </cell>
          <cell r="I4" t="str">
            <v>Y</v>
          </cell>
          <cell r="J4" t="str">
            <v>01299</v>
          </cell>
          <cell r="K4" t="str">
            <v>10</v>
          </cell>
          <cell r="L4" t="str">
            <v>T</v>
          </cell>
          <cell r="M4" t="str">
            <v>10</v>
          </cell>
          <cell r="N4" t="b">
            <v>1</v>
          </cell>
          <cell r="S4" t="str">
            <v>Crops &amp; animal productions, hunting &amp; related service activities</v>
          </cell>
        </row>
        <row r="5">
          <cell r="C5" t="str">
            <v>0175</v>
          </cell>
          <cell r="D5" t="str">
            <v>Deciduous Tree Fruits</v>
          </cell>
          <cell r="E5" t="str">
            <v>T</v>
          </cell>
          <cell r="F5" t="str">
            <v>Y</v>
          </cell>
          <cell r="H5" t="str">
            <v>AG</v>
          </cell>
          <cell r="I5" t="str">
            <v>Y</v>
          </cell>
          <cell r="J5" t="str">
            <v>0113X</v>
          </cell>
          <cell r="K5" t="str">
            <v>10</v>
          </cell>
          <cell r="L5" t="str">
            <v>T</v>
          </cell>
          <cell r="M5" t="str">
            <v>10</v>
          </cell>
          <cell r="N5" t="b">
            <v>1</v>
          </cell>
          <cell r="S5" t="str">
            <v>Crops &amp; animal productions, hunting &amp; related service activities</v>
          </cell>
        </row>
        <row r="6">
          <cell r="C6" t="str">
            <v>0172</v>
          </cell>
          <cell r="D6" t="str">
            <v>Grapes</v>
          </cell>
          <cell r="E6" t="str">
            <v>T</v>
          </cell>
          <cell r="F6" t="str">
            <v>Y</v>
          </cell>
          <cell r="H6" t="str">
            <v>AG</v>
          </cell>
          <cell r="I6" t="str">
            <v>Y</v>
          </cell>
          <cell r="J6" t="str">
            <v>0113X</v>
          </cell>
          <cell r="K6" t="str">
            <v>10</v>
          </cell>
          <cell r="L6" t="str">
            <v>T</v>
          </cell>
          <cell r="M6" t="str">
            <v>10</v>
          </cell>
          <cell r="N6" t="b">
            <v>1</v>
          </cell>
          <cell r="S6" t="str">
            <v>Crops &amp; animal productions, hunting &amp; related service activities</v>
          </cell>
        </row>
        <row r="7">
          <cell r="C7" t="str">
            <v>0174</v>
          </cell>
          <cell r="D7" t="str">
            <v>Citrus Fruits</v>
          </cell>
          <cell r="E7" t="str">
            <v>T</v>
          </cell>
          <cell r="F7" t="str">
            <v>Y</v>
          </cell>
          <cell r="H7" t="str">
            <v>AG</v>
          </cell>
          <cell r="I7" t="str">
            <v>Y</v>
          </cell>
          <cell r="J7" t="str">
            <v>0113X</v>
          </cell>
          <cell r="K7" t="str">
            <v>10</v>
          </cell>
          <cell r="L7" t="str">
            <v>T</v>
          </cell>
          <cell r="M7" t="str">
            <v>10</v>
          </cell>
          <cell r="N7" t="b">
            <v>1</v>
          </cell>
          <cell r="S7" t="str">
            <v>Crops &amp; animal productions, hunting &amp; related service activities</v>
          </cell>
        </row>
        <row r="8">
          <cell r="C8" t="str">
            <v>0173</v>
          </cell>
          <cell r="D8" t="str">
            <v>Tree Nuts</v>
          </cell>
          <cell r="E8" t="str">
            <v>T</v>
          </cell>
          <cell r="F8" t="str">
            <v>Y</v>
          </cell>
          <cell r="H8" t="str">
            <v>AG</v>
          </cell>
          <cell r="I8" t="str">
            <v>Y</v>
          </cell>
          <cell r="J8" t="str">
            <v>0113X</v>
          </cell>
          <cell r="K8" t="str">
            <v>10</v>
          </cell>
          <cell r="L8" t="str">
            <v>T</v>
          </cell>
          <cell r="M8" t="str">
            <v>10</v>
          </cell>
          <cell r="N8" t="b">
            <v>1</v>
          </cell>
          <cell r="S8" t="str">
            <v>Crops &amp; animal productions, hunting &amp; related service activities</v>
          </cell>
        </row>
        <row r="9">
          <cell r="C9" t="str">
            <v>0782</v>
          </cell>
          <cell r="D9" t="str">
            <v>Lawn and Garden Services</v>
          </cell>
          <cell r="E9" t="str">
            <v>N</v>
          </cell>
          <cell r="F9" t="str">
            <v>Y</v>
          </cell>
          <cell r="H9" t="str">
            <v>AG</v>
          </cell>
          <cell r="I9" t="str">
            <v>Y</v>
          </cell>
          <cell r="J9" t="str">
            <v>0113X</v>
          </cell>
          <cell r="K9" t="str">
            <v>10</v>
          </cell>
          <cell r="L9" t="str">
            <v>N</v>
          </cell>
          <cell r="M9" t="str">
            <v>0</v>
          </cell>
          <cell r="N9" t="b">
            <v>1</v>
          </cell>
          <cell r="S9" t="str">
            <v>Crops &amp; animal productions, hunting &amp; related service activities</v>
          </cell>
        </row>
        <row r="10">
          <cell r="C10" t="str">
            <v>0783</v>
          </cell>
          <cell r="D10" t="str">
            <v>Ornamental Shrub and Tree Services</v>
          </cell>
          <cell r="E10" t="str">
            <v>N</v>
          </cell>
          <cell r="F10" t="str">
            <v>Y</v>
          </cell>
          <cell r="H10" t="str">
            <v>AG</v>
          </cell>
          <cell r="I10" t="str">
            <v>Y</v>
          </cell>
          <cell r="J10" t="str">
            <v>0113X</v>
          </cell>
          <cell r="K10" t="str">
            <v>10</v>
          </cell>
          <cell r="L10" t="str">
            <v>N</v>
          </cell>
          <cell r="M10" t="str">
            <v>0</v>
          </cell>
          <cell r="N10" t="b">
            <v>1</v>
          </cell>
          <cell r="S10" t="str">
            <v>Crops &amp; animal productions, hunting &amp; related service activities</v>
          </cell>
        </row>
        <row r="11">
          <cell r="C11" t="str">
            <v>0171</v>
          </cell>
          <cell r="D11" t="str">
            <v>Berry Crops</v>
          </cell>
          <cell r="E11" t="str">
            <v>T</v>
          </cell>
          <cell r="F11" t="str">
            <v>Y</v>
          </cell>
          <cell r="H11" t="str">
            <v>AG</v>
          </cell>
          <cell r="I11" t="str">
            <v>Y</v>
          </cell>
          <cell r="J11" t="str">
            <v>0113X</v>
          </cell>
          <cell r="K11" t="str">
            <v>10</v>
          </cell>
          <cell r="L11" t="str">
            <v>T</v>
          </cell>
          <cell r="M11" t="str">
            <v>10</v>
          </cell>
          <cell r="N11" t="b">
            <v>1</v>
          </cell>
          <cell r="S11" t="str">
            <v>Crops &amp; animal productions, hunting &amp; related service activities</v>
          </cell>
        </row>
        <row r="12">
          <cell r="C12" t="str">
            <v>0113X</v>
          </cell>
          <cell r="D12" t="str">
            <v>Pepper</v>
          </cell>
          <cell r="E12" t="str">
            <v>T</v>
          </cell>
          <cell r="F12" t="str">
            <v>Y</v>
          </cell>
          <cell r="H12" t="str">
            <v>AG</v>
          </cell>
          <cell r="I12" t="str">
            <v>Y</v>
          </cell>
          <cell r="J12" t="str">
            <v>0113X</v>
          </cell>
          <cell r="K12" t="str">
            <v>10</v>
          </cell>
          <cell r="L12" t="str">
            <v>T</v>
          </cell>
          <cell r="M12" t="str">
            <v>10</v>
          </cell>
          <cell r="N12" t="b">
            <v>1</v>
          </cell>
          <cell r="S12" t="str">
            <v>Crops &amp; animal productions, hunting &amp; related service activities</v>
          </cell>
        </row>
        <row r="13">
          <cell r="C13" t="str">
            <v>0133</v>
          </cell>
          <cell r="D13" t="str">
            <v>Sugarcane and Sugar Beets</v>
          </cell>
          <cell r="E13" t="str">
            <v>T</v>
          </cell>
          <cell r="F13" t="str">
            <v>Y</v>
          </cell>
          <cell r="H13" t="str">
            <v>AG</v>
          </cell>
          <cell r="I13" t="str">
            <v>Y</v>
          </cell>
          <cell r="J13" t="str">
            <v>01140</v>
          </cell>
          <cell r="K13" t="str">
            <v>10</v>
          </cell>
          <cell r="L13" t="str">
            <v>T</v>
          </cell>
          <cell r="M13" t="str">
            <v>10</v>
          </cell>
          <cell r="N13" t="b">
            <v>1</v>
          </cell>
          <cell r="S13" t="str">
            <v>Crops &amp; animal productions, hunting &amp; related service activities</v>
          </cell>
        </row>
        <row r="14">
          <cell r="C14" t="str">
            <v>01261</v>
          </cell>
          <cell r="D14" t="str">
            <v>Oil palm (estate)</v>
          </cell>
          <cell r="E14" t="str">
            <v>T</v>
          </cell>
          <cell r="F14" t="str">
            <v>Y</v>
          </cell>
          <cell r="H14" t="str">
            <v>AG</v>
          </cell>
          <cell r="I14" t="str">
            <v>Y</v>
          </cell>
          <cell r="J14" t="str">
            <v>01261</v>
          </cell>
          <cell r="K14" t="str">
            <v>10</v>
          </cell>
          <cell r="L14" t="str">
            <v>T</v>
          </cell>
          <cell r="M14" t="str">
            <v>10</v>
          </cell>
          <cell r="N14" t="b">
            <v>1</v>
          </cell>
          <cell r="S14" t="str">
            <v>Crops &amp; animal productions, hunting &amp; related service activities</v>
          </cell>
        </row>
        <row r="15">
          <cell r="C15" t="str">
            <v>01262</v>
          </cell>
          <cell r="D15" t="str">
            <v>Oil palm (smallholdings)</v>
          </cell>
          <cell r="E15" t="str">
            <v>T</v>
          </cell>
          <cell r="F15" t="str">
            <v>Y</v>
          </cell>
          <cell r="H15" t="str">
            <v>AG</v>
          </cell>
          <cell r="I15" t="str">
            <v>Y</v>
          </cell>
          <cell r="J15" t="str">
            <v>01262</v>
          </cell>
          <cell r="K15" t="str">
            <v>10</v>
          </cell>
          <cell r="L15" t="str">
            <v>T</v>
          </cell>
          <cell r="M15" t="str">
            <v>10</v>
          </cell>
          <cell r="N15" t="b">
            <v>1</v>
          </cell>
          <cell r="S15" t="str">
            <v>Crops &amp; animal productions, hunting &amp; related service activities</v>
          </cell>
        </row>
        <row r="16">
          <cell r="C16" t="str">
            <v>01263</v>
          </cell>
          <cell r="D16" t="str">
            <v>Coconut (estate &amp; smallholdings)</v>
          </cell>
          <cell r="E16" t="str">
            <v>T</v>
          </cell>
          <cell r="F16" t="str">
            <v>Y</v>
          </cell>
          <cell r="H16" t="str">
            <v>AG</v>
          </cell>
          <cell r="I16" t="str">
            <v>Y</v>
          </cell>
          <cell r="J16" t="str">
            <v>01263</v>
          </cell>
          <cell r="K16" t="str">
            <v>10</v>
          </cell>
          <cell r="L16" t="str">
            <v>T</v>
          </cell>
          <cell r="M16" t="str">
            <v>10</v>
          </cell>
          <cell r="N16" t="b">
            <v>1</v>
          </cell>
          <cell r="S16" t="str">
            <v>Crops &amp; animal productions, hunting &amp; related service activities</v>
          </cell>
        </row>
        <row r="17">
          <cell r="C17" t="str">
            <v>01269</v>
          </cell>
          <cell r="D17" t="str">
            <v>Other oleaginous fruits n.e.c.</v>
          </cell>
          <cell r="E17" t="str">
            <v>T</v>
          </cell>
          <cell r="F17" t="str">
            <v>Y</v>
          </cell>
          <cell r="H17" t="str">
            <v>AG</v>
          </cell>
          <cell r="I17" t="str">
            <v>Y</v>
          </cell>
          <cell r="J17" t="str">
            <v>01269</v>
          </cell>
          <cell r="K17" t="str">
            <v>10</v>
          </cell>
          <cell r="L17" t="str">
            <v>T</v>
          </cell>
          <cell r="M17" t="str">
            <v>10</v>
          </cell>
          <cell r="N17" t="b">
            <v>1</v>
          </cell>
          <cell r="S17" t="str">
            <v>Crops &amp; animal productions, hunting &amp; related service activities</v>
          </cell>
        </row>
        <row r="18">
          <cell r="C18" t="str">
            <v>01273</v>
          </cell>
          <cell r="D18" t="str">
            <v>Cocoa</v>
          </cell>
          <cell r="E18" t="str">
            <v>T</v>
          </cell>
          <cell r="F18" t="str">
            <v>Y</v>
          </cell>
          <cell r="H18" t="str">
            <v>AG</v>
          </cell>
          <cell r="I18" t="str">
            <v>Y</v>
          </cell>
          <cell r="J18" t="str">
            <v>01273</v>
          </cell>
          <cell r="K18" t="str">
            <v>10</v>
          </cell>
          <cell r="L18" t="str">
            <v>T</v>
          </cell>
          <cell r="M18" t="str">
            <v>10</v>
          </cell>
          <cell r="N18" t="b">
            <v>1</v>
          </cell>
          <cell r="S18" t="str">
            <v>Crops &amp; animal productions, hunting &amp; related service activities</v>
          </cell>
        </row>
        <row r="19">
          <cell r="C19" t="str">
            <v>01279</v>
          </cell>
          <cell r="D19" t="str">
            <v>Other beverage crops n.e.c.</v>
          </cell>
          <cell r="E19" t="str">
            <v>T</v>
          </cell>
          <cell r="F19" t="str">
            <v>Y</v>
          </cell>
          <cell r="H19" t="str">
            <v>AG</v>
          </cell>
          <cell r="I19" t="str">
            <v>Y</v>
          </cell>
          <cell r="J19" t="str">
            <v>01279</v>
          </cell>
          <cell r="K19" t="str">
            <v>10</v>
          </cell>
          <cell r="L19" t="str">
            <v>T</v>
          </cell>
          <cell r="M19" t="str">
            <v>10</v>
          </cell>
          <cell r="N19" t="b">
            <v>1</v>
          </cell>
          <cell r="S19" t="str">
            <v>Crops &amp; animal productions, hunting &amp; related service activities</v>
          </cell>
        </row>
        <row r="20">
          <cell r="C20" t="str">
            <v>01291</v>
          </cell>
          <cell r="D20" t="str">
            <v>Rubber trees</v>
          </cell>
          <cell r="E20" t="str">
            <v>T</v>
          </cell>
          <cell r="F20" t="str">
            <v>Y</v>
          </cell>
          <cell r="H20" t="str">
            <v>AG</v>
          </cell>
          <cell r="I20" t="str">
            <v>Y</v>
          </cell>
          <cell r="J20" t="str">
            <v>01291</v>
          </cell>
          <cell r="K20" t="str">
            <v>10</v>
          </cell>
          <cell r="L20" t="str">
            <v>T</v>
          </cell>
          <cell r="M20" t="str">
            <v>10</v>
          </cell>
          <cell r="N20" t="b">
            <v>1</v>
          </cell>
          <cell r="S20" t="str">
            <v>Crops &amp; animal productions, hunting &amp; related service activities</v>
          </cell>
        </row>
        <row r="21">
          <cell r="C21" t="str">
            <v>0116</v>
          </cell>
          <cell r="D21" t="str">
            <v>Soybeans</v>
          </cell>
          <cell r="E21" t="str">
            <v>T</v>
          </cell>
          <cell r="F21" t="str">
            <v>Y</v>
          </cell>
          <cell r="H21" t="str">
            <v>AG</v>
          </cell>
          <cell r="I21" t="str">
            <v>Y</v>
          </cell>
          <cell r="J21" t="str">
            <v>01299</v>
          </cell>
          <cell r="K21" t="str">
            <v>10</v>
          </cell>
          <cell r="L21" t="str">
            <v>T</v>
          </cell>
          <cell r="M21" t="str">
            <v>10</v>
          </cell>
          <cell r="N21" t="b">
            <v>1</v>
          </cell>
          <cell r="S21" t="str">
            <v>Crops &amp; animal productions, hunting &amp; related service activities</v>
          </cell>
        </row>
        <row r="22">
          <cell r="C22" t="str">
            <v>0134</v>
          </cell>
          <cell r="D22" t="str">
            <v>Irish Potatoes</v>
          </cell>
          <cell r="E22" t="str">
            <v>T</v>
          </cell>
          <cell r="F22" t="str">
            <v>Y</v>
          </cell>
          <cell r="H22" t="str">
            <v>AG</v>
          </cell>
          <cell r="I22" t="str">
            <v>Y</v>
          </cell>
          <cell r="J22" t="str">
            <v>01299</v>
          </cell>
          <cell r="K22" t="str">
            <v>10</v>
          </cell>
          <cell r="L22" t="str">
            <v>T</v>
          </cell>
          <cell r="M22" t="str">
            <v>10</v>
          </cell>
          <cell r="N22" t="b">
            <v>1</v>
          </cell>
          <cell r="S22" t="str">
            <v>Crops &amp; animal productions, hunting &amp; related service activities</v>
          </cell>
        </row>
        <row r="23">
          <cell r="C23" t="str">
            <v>0131</v>
          </cell>
          <cell r="D23" t="str">
            <v>Cotton</v>
          </cell>
          <cell r="E23" t="str">
            <v>T</v>
          </cell>
          <cell r="F23" t="str">
            <v>Y</v>
          </cell>
          <cell r="H23" t="str">
            <v>AG</v>
          </cell>
          <cell r="I23" t="str">
            <v>Y</v>
          </cell>
          <cell r="J23" t="str">
            <v>01299</v>
          </cell>
          <cell r="K23" t="str">
            <v>10</v>
          </cell>
          <cell r="L23" t="str">
            <v>T</v>
          </cell>
          <cell r="M23" t="str">
            <v>10</v>
          </cell>
          <cell r="N23" t="b">
            <v>1</v>
          </cell>
          <cell r="S23" t="str">
            <v>Crops &amp; animal productions, hunting &amp; related service activities</v>
          </cell>
        </row>
        <row r="24">
          <cell r="C24" t="str">
            <v>0115</v>
          </cell>
          <cell r="D24" t="str">
            <v>Corn</v>
          </cell>
          <cell r="E24" t="str">
            <v>T</v>
          </cell>
          <cell r="F24" t="str">
            <v>Y</v>
          </cell>
          <cell r="H24" t="str">
            <v>AG</v>
          </cell>
          <cell r="I24" t="str">
            <v>Y</v>
          </cell>
          <cell r="J24" t="str">
            <v>01299</v>
          </cell>
          <cell r="K24" t="str">
            <v>10</v>
          </cell>
          <cell r="L24" t="str">
            <v>T</v>
          </cell>
          <cell r="M24" t="str">
            <v>10</v>
          </cell>
          <cell r="N24" t="b">
            <v>1</v>
          </cell>
          <cell r="S24" t="str">
            <v>Crops &amp; animal productions, hunting &amp; related service activities</v>
          </cell>
        </row>
        <row r="25">
          <cell r="C25" t="str">
            <v>0179</v>
          </cell>
          <cell r="D25" t="str">
            <v>Fruits and Tree Nuts, N.E.C.</v>
          </cell>
          <cell r="E25" t="str">
            <v>T</v>
          </cell>
          <cell r="F25" t="str">
            <v>Y</v>
          </cell>
          <cell r="H25" t="str">
            <v>AG</v>
          </cell>
          <cell r="I25" t="str">
            <v>Y</v>
          </cell>
          <cell r="J25" t="str">
            <v>01299</v>
          </cell>
          <cell r="K25" t="str">
            <v>10</v>
          </cell>
          <cell r="L25" t="str">
            <v>T</v>
          </cell>
          <cell r="M25" t="str">
            <v>10</v>
          </cell>
          <cell r="N25" t="b">
            <v>1</v>
          </cell>
          <cell r="S25" t="str">
            <v>Crops &amp; animal productions, hunting &amp; related service activities</v>
          </cell>
        </row>
        <row r="26">
          <cell r="C26" t="str">
            <v>0182</v>
          </cell>
          <cell r="D26" t="str">
            <v>Food Crops Grown Under Cover</v>
          </cell>
          <cell r="E26" t="str">
            <v>T</v>
          </cell>
          <cell r="F26" t="str">
            <v>Y</v>
          </cell>
          <cell r="H26" t="str">
            <v>AG</v>
          </cell>
          <cell r="I26" t="str">
            <v>Y</v>
          </cell>
          <cell r="J26" t="str">
            <v>01299</v>
          </cell>
          <cell r="K26" t="str">
            <v>10</v>
          </cell>
          <cell r="L26" t="str">
            <v>T</v>
          </cell>
          <cell r="M26" t="str">
            <v>10</v>
          </cell>
          <cell r="N26" t="b">
            <v>1</v>
          </cell>
          <cell r="S26" t="str">
            <v>Crops &amp; animal productions, hunting &amp; related service activities</v>
          </cell>
        </row>
        <row r="27">
          <cell r="C27" t="str">
            <v>0119</v>
          </cell>
          <cell r="D27" t="str">
            <v>Cash Grains, N.E.C</v>
          </cell>
          <cell r="E27" t="str">
            <v>T</v>
          </cell>
          <cell r="F27" t="str">
            <v>Y</v>
          </cell>
          <cell r="H27" t="str">
            <v>AG</v>
          </cell>
          <cell r="I27" t="str">
            <v>Y</v>
          </cell>
          <cell r="J27" t="str">
            <v>01299</v>
          </cell>
          <cell r="K27" t="str">
            <v>10</v>
          </cell>
          <cell r="L27" t="str">
            <v>T</v>
          </cell>
          <cell r="M27" t="str">
            <v>10</v>
          </cell>
          <cell r="N27" t="b">
            <v>1</v>
          </cell>
          <cell r="S27" t="str">
            <v>Crops &amp; animal productions, hunting &amp; related service activities</v>
          </cell>
        </row>
        <row r="28">
          <cell r="C28" t="str">
            <v>0132</v>
          </cell>
          <cell r="D28" t="str">
            <v>Tobacco</v>
          </cell>
          <cell r="E28" t="str">
            <v>T</v>
          </cell>
          <cell r="F28" t="str">
            <v>N</v>
          </cell>
          <cell r="H28" t="str">
            <v>AG</v>
          </cell>
          <cell r="I28" t="str">
            <v>Y</v>
          </cell>
          <cell r="J28" t="str">
            <v>01299</v>
          </cell>
          <cell r="K28" t="str">
            <v>10</v>
          </cell>
          <cell r="L28" t="str">
            <v>T</v>
          </cell>
          <cell r="M28" t="str">
            <v>10</v>
          </cell>
          <cell r="N28" t="b">
            <v>1</v>
          </cell>
          <cell r="S28" t="str">
            <v>Crops &amp; animal productions, hunting &amp; related service activities</v>
          </cell>
        </row>
        <row r="29">
          <cell r="C29" t="str">
            <v>0139</v>
          </cell>
          <cell r="D29" t="str">
            <v>Field Crops, Except Cash Grains, N.E.C</v>
          </cell>
          <cell r="E29" t="str">
            <v>T</v>
          </cell>
          <cell r="F29" t="str">
            <v>Y</v>
          </cell>
          <cell r="H29" t="str">
            <v>AG</v>
          </cell>
          <cell r="I29" t="str">
            <v>Y</v>
          </cell>
          <cell r="J29" t="str">
            <v>01299</v>
          </cell>
          <cell r="K29" t="str">
            <v>10</v>
          </cell>
          <cell r="L29" t="str">
            <v>T</v>
          </cell>
          <cell r="M29" t="str">
            <v>10</v>
          </cell>
          <cell r="N29" t="b">
            <v>1</v>
          </cell>
          <cell r="S29" t="str">
            <v>Crops &amp; animal productions, hunting &amp; related service activities</v>
          </cell>
        </row>
        <row r="30">
          <cell r="C30" t="str">
            <v>0191</v>
          </cell>
          <cell r="D30" t="str">
            <v>General Farms, Primarily Crop</v>
          </cell>
          <cell r="E30" t="str">
            <v>T</v>
          </cell>
          <cell r="F30" t="str">
            <v>Y</v>
          </cell>
          <cell r="H30" t="str">
            <v>AG</v>
          </cell>
          <cell r="I30" t="str">
            <v>Y</v>
          </cell>
          <cell r="J30" t="str">
            <v>01299</v>
          </cell>
          <cell r="K30" t="str">
            <v>10</v>
          </cell>
          <cell r="L30" t="str">
            <v>T</v>
          </cell>
          <cell r="M30" t="str">
            <v>10</v>
          </cell>
          <cell r="N30" t="b">
            <v>1</v>
          </cell>
          <cell r="S30" t="str">
            <v>Crops &amp; animal productions, hunting &amp; related service activities</v>
          </cell>
        </row>
        <row r="31">
          <cell r="C31" t="str">
            <v>0119X</v>
          </cell>
          <cell r="D31" t="str">
            <v>Growing of other  non-perennial crops</v>
          </cell>
          <cell r="E31" t="str">
            <v>T</v>
          </cell>
          <cell r="F31" t="str">
            <v>Y</v>
          </cell>
          <cell r="H31" t="str">
            <v>AG</v>
          </cell>
          <cell r="I31" t="str">
            <v>Y</v>
          </cell>
          <cell r="J31" t="str">
            <v>0119X</v>
          </cell>
          <cell r="K31" t="str">
            <v>10</v>
          </cell>
          <cell r="L31" t="str">
            <v>T</v>
          </cell>
          <cell r="M31" t="str">
            <v>10</v>
          </cell>
          <cell r="N31" t="b">
            <v>1</v>
          </cell>
          <cell r="S31" t="str">
            <v>Crops &amp; animal productions, hunting &amp; related service activities</v>
          </cell>
        </row>
        <row r="32">
          <cell r="C32" t="str">
            <v>0111</v>
          </cell>
          <cell r="D32" t="str">
            <v>Wheat</v>
          </cell>
          <cell r="E32" t="str">
            <v>T</v>
          </cell>
          <cell r="F32" t="str">
            <v>Y</v>
          </cell>
          <cell r="H32" t="str">
            <v>AG</v>
          </cell>
          <cell r="I32" t="str">
            <v>Y</v>
          </cell>
          <cell r="J32" t="str">
            <v>01299</v>
          </cell>
          <cell r="K32" t="str">
            <v>10</v>
          </cell>
          <cell r="L32" t="str">
            <v>T</v>
          </cell>
          <cell r="M32" t="str">
            <v>10</v>
          </cell>
          <cell r="N32" t="b">
            <v>1</v>
          </cell>
          <cell r="S32" t="str">
            <v>Crops &amp; animal productions, hunting &amp; related service activities</v>
          </cell>
        </row>
        <row r="33">
          <cell r="C33" t="str">
            <v>0130X</v>
          </cell>
          <cell r="D33" t="str">
            <v>Plant propagation</v>
          </cell>
          <cell r="E33" t="str">
            <v>T</v>
          </cell>
          <cell r="F33" t="str">
            <v>Y</v>
          </cell>
          <cell r="H33" t="str">
            <v>AG</v>
          </cell>
          <cell r="I33" t="str">
            <v>Y</v>
          </cell>
          <cell r="J33" t="str">
            <v>0130X</v>
          </cell>
          <cell r="K33" t="str">
            <v>10</v>
          </cell>
          <cell r="L33" t="str">
            <v>T</v>
          </cell>
          <cell r="M33" t="str">
            <v>10</v>
          </cell>
          <cell r="N33" t="b">
            <v>1</v>
          </cell>
          <cell r="S33" t="str">
            <v>Crops &amp; animal productions, hunting &amp; related service activities</v>
          </cell>
        </row>
        <row r="34">
          <cell r="C34" t="str">
            <v>0212</v>
          </cell>
          <cell r="D34" t="str">
            <v>Beef Cattle, Except Feedlots</v>
          </cell>
          <cell r="E34" t="str">
            <v>T</v>
          </cell>
          <cell r="F34" t="str">
            <v>Y</v>
          </cell>
          <cell r="H34" t="str">
            <v>AG</v>
          </cell>
          <cell r="I34" t="str">
            <v>Y</v>
          </cell>
          <cell r="J34" t="str">
            <v>0141X</v>
          </cell>
          <cell r="K34" t="str">
            <v>10</v>
          </cell>
          <cell r="L34" t="str">
            <v>T</v>
          </cell>
          <cell r="M34" t="str">
            <v>10</v>
          </cell>
          <cell r="N34" t="b">
            <v>1</v>
          </cell>
          <cell r="S34" t="str">
            <v>Crops &amp; animal productions, hunting &amp; related service activities</v>
          </cell>
        </row>
        <row r="35">
          <cell r="C35" t="str">
            <v>0214</v>
          </cell>
          <cell r="D35" t="str">
            <v>Sheep and Goats</v>
          </cell>
          <cell r="E35" t="str">
            <v>T</v>
          </cell>
          <cell r="F35" t="str">
            <v>Y</v>
          </cell>
          <cell r="H35" t="str">
            <v>AG</v>
          </cell>
          <cell r="I35" t="str">
            <v>Y</v>
          </cell>
          <cell r="J35" t="str">
            <v>0144X</v>
          </cell>
          <cell r="K35" t="str">
            <v>10</v>
          </cell>
          <cell r="L35" t="str">
            <v>T</v>
          </cell>
          <cell r="M35" t="str">
            <v>10</v>
          </cell>
          <cell r="N35" t="b">
            <v>1</v>
          </cell>
          <cell r="S35" t="str">
            <v>Crops &amp; animal productions, hunting &amp; related service activities</v>
          </cell>
        </row>
        <row r="36">
          <cell r="C36" t="str">
            <v>0213</v>
          </cell>
          <cell r="D36" t="str">
            <v>Hogs</v>
          </cell>
          <cell r="E36" t="str">
            <v>T</v>
          </cell>
          <cell r="F36" t="str">
            <v>N</v>
          </cell>
          <cell r="H36" t="str">
            <v>AG</v>
          </cell>
          <cell r="I36" t="str">
            <v>Y</v>
          </cell>
          <cell r="J36" t="str">
            <v>0145X</v>
          </cell>
          <cell r="K36" t="str">
            <v>10</v>
          </cell>
          <cell r="L36" t="str">
            <v>T</v>
          </cell>
          <cell r="M36" t="str">
            <v>10</v>
          </cell>
          <cell r="N36" t="b">
            <v>1</v>
          </cell>
          <cell r="S36" t="str">
            <v>Crops &amp; animal productions, hunting &amp; related service activities</v>
          </cell>
        </row>
        <row r="37">
          <cell r="C37" t="str">
            <v>0259</v>
          </cell>
          <cell r="D37" t="str">
            <v>Poultry and Eggs, N.E.C.</v>
          </cell>
          <cell r="E37" t="str">
            <v>T</v>
          </cell>
          <cell r="F37" t="str">
            <v>Y</v>
          </cell>
          <cell r="H37" t="str">
            <v>AG</v>
          </cell>
          <cell r="I37" t="str">
            <v>Y</v>
          </cell>
          <cell r="J37" t="str">
            <v>0146X</v>
          </cell>
          <cell r="K37" t="str">
            <v>10</v>
          </cell>
          <cell r="L37" t="str">
            <v>T</v>
          </cell>
          <cell r="M37" t="str">
            <v>10</v>
          </cell>
          <cell r="N37" t="b">
            <v>1</v>
          </cell>
          <cell r="S37" t="str">
            <v>Crops &amp; animal productions, hunting &amp; related service activities</v>
          </cell>
        </row>
        <row r="38">
          <cell r="C38" t="str">
            <v>0254</v>
          </cell>
          <cell r="D38" t="str">
            <v>Poultry Hatcheries</v>
          </cell>
          <cell r="E38" t="str">
            <v>T</v>
          </cell>
          <cell r="F38" t="str">
            <v>Y</v>
          </cell>
          <cell r="H38" t="str">
            <v>AG</v>
          </cell>
          <cell r="I38" t="str">
            <v>Y</v>
          </cell>
          <cell r="J38" t="str">
            <v>0149X</v>
          </cell>
          <cell r="K38" t="str">
            <v>10</v>
          </cell>
          <cell r="L38" t="str">
            <v>T</v>
          </cell>
          <cell r="M38" t="str">
            <v>10</v>
          </cell>
          <cell r="N38" t="b">
            <v>1</v>
          </cell>
          <cell r="S38" t="str">
            <v>Crops &amp; animal productions, hunting &amp; related service activities</v>
          </cell>
        </row>
        <row r="39">
          <cell r="C39" t="str">
            <v>0291</v>
          </cell>
          <cell r="D39" t="str">
            <v>General Farms, Primarily Livestock and Animal Specialties</v>
          </cell>
          <cell r="E39" t="str">
            <v>T</v>
          </cell>
          <cell r="F39" t="str">
            <v>Y</v>
          </cell>
          <cell r="H39" t="str">
            <v>AG</v>
          </cell>
          <cell r="I39" t="str">
            <v>Y</v>
          </cell>
          <cell r="J39" t="str">
            <v>0149X</v>
          </cell>
          <cell r="K39" t="str">
            <v>10</v>
          </cell>
          <cell r="L39" t="str">
            <v>T</v>
          </cell>
          <cell r="M39" t="str">
            <v>10</v>
          </cell>
          <cell r="N39" t="b">
            <v>1</v>
          </cell>
          <cell r="S39" t="str">
            <v>Crops &amp; animal productions, hunting &amp; related service activities</v>
          </cell>
        </row>
        <row r="40">
          <cell r="C40" t="str">
            <v>0253</v>
          </cell>
          <cell r="D40" t="str">
            <v>Turkeys and Turkey Eggs</v>
          </cell>
          <cell r="E40" t="str">
            <v>T</v>
          </cell>
          <cell r="F40" t="str">
            <v>Y</v>
          </cell>
          <cell r="H40" t="str">
            <v>AG</v>
          </cell>
          <cell r="I40" t="str">
            <v>Y</v>
          </cell>
          <cell r="J40" t="str">
            <v>0149X</v>
          </cell>
          <cell r="K40" t="str">
            <v>10</v>
          </cell>
          <cell r="L40" t="str">
            <v>T</v>
          </cell>
          <cell r="M40" t="str">
            <v>10</v>
          </cell>
          <cell r="N40" t="b">
            <v>1</v>
          </cell>
          <cell r="S40" t="str">
            <v>Crops &amp; animal productions, hunting &amp; related service activities</v>
          </cell>
        </row>
        <row r="41">
          <cell r="C41" t="str">
            <v>0272</v>
          </cell>
          <cell r="D41" t="str">
            <v>Horses and Other Equines</v>
          </cell>
          <cell r="E41" t="str">
            <v>T</v>
          </cell>
          <cell r="F41" t="str">
            <v>Y</v>
          </cell>
          <cell r="H41" t="str">
            <v>AG</v>
          </cell>
          <cell r="I41" t="str">
            <v>Y</v>
          </cell>
          <cell r="J41" t="str">
            <v>0149X</v>
          </cell>
          <cell r="K41" t="str">
            <v>10</v>
          </cell>
          <cell r="L41" t="str">
            <v>T</v>
          </cell>
          <cell r="M41" t="str">
            <v>10</v>
          </cell>
          <cell r="N41" t="b">
            <v>1</v>
          </cell>
          <cell r="S41" t="str">
            <v>Crops &amp; animal productions, hunting &amp; related service activities</v>
          </cell>
        </row>
        <row r="42">
          <cell r="C42" t="str">
            <v>0211</v>
          </cell>
          <cell r="D42" t="str">
            <v>Beef Cattle Feedlots (Custom)</v>
          </cell>
          <cell r="E42" t="str">
            <v>T</v>
          </cell>
          <cell r="F42" t="str">
            <v>Y</v>
          </cell>
          <cell r="H42" t="str">
            <v>AG</v>
          </cell>
          <cell r="I42" t="str">
            <v>Y</v>
          </cell>
          <cell r="J42" t="str">
            <v>0149X</v>
          </cell>
          <cell r="K42" t="str">
            <v>10</v>
          </cell>
          <cell r="L42" t="str">
            <v>T</v>
          </cell>
          <cell r="M42" t="str">
            <v>10</v>
          </cell>
          <cell r="N42" t="b">
            <v>1</v>
          </cell>
          <cell r="S42" t="str">
            <v>Crops &amp; animal productions, hunting &amp; related service activities</v>
          </cell>
        </row>
        <row r="43">
          <cell r="C43" t="str">
            <v>0252</v>
          </cell>
          <cell r="D43" t="str">
            <v>Chicken Eggs</v>
          </cell>
          <cell r="E43" t="str">
            <v>T</v>
          </cell>
          <cell r="F43" t="str">
            <v>Y</v>
          </cell>
          <cell r="H43" t="str">
            <v>AG</v>
          </cell>
          <cell r="I43" t="str">
            <v>Y</v>
          </cell>
          <cell r="J43" t="str">
            <v>0149X</v>
          </cell>
          <cell r="K43" t="str">
            <v>10</v>
          </cell>
          <cell r="L43" t="str">
            <v>T</v>
          </cell>
          <cell r="M43" t="str">
            <v>10</v>
          </cell>
          <cell r="N43" t="b">
            <v>1</v>
          </cell>
          <cell r="S43" t="str">
            <v>Crops &amp; animal productions, hunting &amp; related service activities</v>
          </cell>
        </row>
        <row r="44">
          <cell r="C44" t="str">
            <v>0251</v>
          </cell>
          <cell r="D44" t="str">
            <v>Broiler, Fryer, and Roaster Chickens</v>
          </cell>
          <cell r="E44" t="str">
            <v>T</v>
          </cell>
          <cell r="F44" t="str">
            <v>Y</v>
          </cell>
          <cell r="H44" t="str">
            <v>AG</v>
          </cell>
          <cell r="I44" t="str">
            <v>Y</v>
          </cell>
          <cell r="J44" t="str">
            <v>0149X</v>
          </cell>
          <cell r="K44" t="str">
            <v>10</v>
          </cell>
          <cell r="L44" t="str">
            <v>T</v>
          </cell>
          <cell r="M44" t="str">
            <v>10</v>
          </cell>
          <cell r="N44" t="b">
            <v>1</v>
          </cell>
          <cell r="S44" t="str">
            <v>Crops &amp; animal productions, hunting &amp; related service activities</v>
          </cell>
        </row>
        <row r="45">
          <cell r="C45" t="str">
            <v>0219</v>
          </cell>
          <cell r="D45" t="str">
            <v>General Livestock, Except Dairy and Poultry</v>
          </cell>
          <cell r="E45" t="str">
            <v>T</v>
          </cell>
          <cell r="F45" t="str">
            <v>Y</v>
          </cell>
          <cell r="H45" t="str">
            <v>AG</v>
          </cell>
          <cell r="I45" t="str">
            <v>Y</v>
          </cell>
          <cell r="J45" t="str">
            <v>0149X</v>
          </cell>
          <cell r="K45" t="str">
            <v>10</v>
          </cell>
          <cell r="L45" t="str">
            <v>T</v>
          </cell>
          <cell r="M45" t="str">
            <v>10</v>
          </cell>
          <cell r="N45" t="b">
            <v>1</v>
          </cell>
          <cell r="S45" t="str">
            <v>Crops &amp; animal productions, hunting &amp; related service activities</v>
          </cell>
        </row>
        <row r="46">
          <cell r="C46" t="str">
            <v>0241</v>
          </cell>
          <cell r="D46" t="str">
            <v>Dairy Farms</v>
          </cell>
          <cell r="E46" t="str">
            <v>T</v>
          </cell>
          <cell r="F46" t="str">
            <v>Y</v>
          </cell>
          <cell r="H46" t="str">
            <v>AG</v>
          </cell>
          <cell r="I46" t="str">
            <v>Y</v>
          </cell>
          <cell r="J46" t="str">
            <v>0149X</v>
          </cell>
          <cell r="K46" t="str">
            <v>10</v>
          </cell>
          <cell r="L46" t="str">
            <v>T</v>
          </cell>
          <cell r="M46" t="str">
            <v>10</v>
          </cell>
          <cell r="N46" t="b">
            <v>1</v>
          </cell>
          <cell r="S46" t="str">
            <v>Crops &amp; animal productions, hunting &amp; related service activities</v>
          </cell>
        </row>
        <row r="47">
          <cell r="C47" t="str">
            <v>0271</v>
          </cell>
          <cell r="D47" t="str">
            <v>Fur-Bearing Animals and Rabbits</v>
          </cell>
          <cell r="E47" t="str">
            <v>T</v>
          </cell>
          <cell r="F47" t="str">
            <v>Y</v>
          </cell>
          <cell r="H47" t="str">
            <v>AG</v>
          </cell>
          <cell r="I47" t="str">
            <v>Y</v>
          </cell>
          <cell r="J47" t="str">
            <v>0149X</v>
          </cell>
          <cell r="K47" t="str">
            <v>10</v>
          </cell>
          <cell r="L47" t="str">
            <v>T</v>
          </cell>
          <cell r="M47" t="str">
            <v>10</v>
          </cell>
          <cell r="N47" t="b">
            <v>1</v>
          </cell>
          <cell r="S47" t="str">
            <v>Crops &amp; animal productions, hunting &amp; related service activities</v>
          </cell>
        </row>
        <row r="48">
          <cell r="C48" t="str">
            <v>01500</v>
          </cell>
          <cell r="D48" t="str">
            <v>Agricltural and animal husbandry service activites except veterinary activities</v>
          </cell>
          <cell r="E48" t="str">
            <v>T</v>
          </cell>
          <cell r="F48" t="str">
            <v>Y</v>
          </cell>
          <cell r="H48" t="str">
            <v>AG</v>
          </cell>
          <cell r="I48" t="str">
            <v>Y</v>
          </cell>
          <cell r="J48" t="str">
            <v>01500</v>
          </cell>
          <cell r="K48" t="str">
            <v>10</v>
          </cell>
          <cell r="L48" t="str">
            <v>T</v>
          </cell>
          <cell r="M48" t="str">
            <v>10</v>
          </cell>
          <cell r="N48" t="b">
            <v>1</v>
          </cell>
          <cell r="S48" t="str">
            <v>Crops &amp; animal productions, hunting &amp; related service activities</v>
          </cell>
        </row>
        <row r="49">
          <cell r="C49" t="str">
            <v>01501</v>
          </cell>
          <cell r="D49" t="str">
            <v>Growing of crops combined with farming of livestock</v>
          </cell>
          <cell r="E49" t="str">
            <v>T</v>
          </cell>
          <cell r="F49" t="str">
            <v>Y</v>
          </cell>
          <cell r="H49" t="str">
            <v>AG</v>
          </cell>
          <cell r="I49" t="str">
            <v>Y</v>
          </cell>
          <cell r="J49" t="str">
            <v>01500</v>
          </cell>
          <cell r="K49" t="str">
            <v>10</v>
          </cell>
          <cell r="L49" t="str">
            <v>T</v>
          </cell>
          <cell r="M49" t="str">
            <v>10</v>
          </cell>
          <cell r="N49" t="b">
            <v>1</v>
          </cell>
          <cell r="S49" t="str">
            <v>Crops &amp; animal productions, hunting &amp; related service activities</v>
          </cell>
        </row>
        <row r="50">
          <cell r="C50" t="str">
            <v>0741</v>
          </cell>
          <cell r="D50" t="str">
            <v>Veterinary Services for Livestock</v>
          </cell>
          <cell r="E50" t="str">
            <v>T</v>
          </cell>
          <cell r="F50" t="str">
            <v>Y</v>
          </cell>
          <cell r="H50" t="str">
            <v>AG</v>
          </cell>
          <cell r="I50" t="str">
            <v>Y</v>
          </cell>
          <cell r="J50" t="str">
            <v>01500</v>
          </cell>
          <cell r="K50" t="str">
            <v>10</v>
          </cell>
          <cell r="L50" t="str">
            <v>T</v>
          </cell>
          <cell r="M50" t="str">
            <v>10</v>
          </cell>
          <cell r="N50" t="b">
            <v>1</v>
          </cell>
          <cell r="O50" t="str">
            <v>Y</v>
          </cell>
          <cell r="R50" t="str">
            <v>Should this tagged under "75000 - Veterinary activities"??</v>
          </cell>
          <cell r="S50" t="str">
            <v>Crops &amp; animal productions, hunting &amp; related service activities</v>
          </cell>
        </row>
        <row r="51">
          <cell r="C51" t="str">
            <v>0724</v>
          </cell>
          <cell r="D51" t="str">
            <v>Cotton Ginning</v>
          </cell>
          <cell r="E51" t="str">
            <v>N</v>
          </cell>
          <cell r="F51" t="str">
            <v>Y</v>
          </cell>
          <cell r="H51" t="str">
            <v>AG</v>
          </cell>
          <cell r="I51" t="str">
            <v>Y</v>
          </cell>
          <cell r="J51" t="str">
            <v>01500</v>
          </cell>
          <cell r="K51" t="str">
            <v>10</v>
          </cell>
          <cell r="L51" t="str">
            <v>N</v>
          </cell>
          <cell r="M51" t="str">
            <v>0</v>
          </cell>
          <cell r="N51" t="b">
            <v>1</v>
          </cell>
          <cell r="S51" t="str">
            <v>Crops &amp; animal productions, hunting &amp; related service activities</v>
          </cell>
        </row>
        <row r="52">
          <cell r="C52" t="str">
            <v>0279</v>
          </cell>
          <cell r="D52" t="str">
            <v>Animal Specialties, N.E.C</v>
          </cell>
          <cell r="E52" t="str">
            <v>T</v>
          </cell>
          <cell r="F52" t="str">
            <v>Y</v>
          </cell>
          <cell r="H52" t="str">
            <v>AG</v>
          </cell>
          <cell r="I52" t="str">
            <v>Y</v>
          </cell>
          <cell r="J52" t="str">
            <v>01500</v>
          </cell>
          <cell r="K52" t="str">
            <v>10</v>
          </cell>
          <cell r="L52" t="str">
            <v>T</v>
          </cell>
          <cell r="M52" t="str">
            <v>10</v>
          </cell>
          <cell r="N52" t="b">
            <v>1</v>
          </cell>
          <cell r="S52" t="str">
            <v>Crops &amp; animal productions, hunting &amp; related service activities</v>
          </cell>
        </row>
        <row r="53">
          <cell r="C53" t="str">
            <v>0711</v>
          </cell>
          <cell r="D53" t="str">
            <v>Soil Preparation Services</v>
          </cell>
          <cell r="E53" t="str">
            <v>T</v>
          </cell>
          <cell r="F53" t="str">
            <v>Y</v>
          </cell>
          <cell r="H53" t="str">
            <v>AG</v>
          </cell>
          <cell r="I53" t="str">
            <v>Y</v>
          </cell>
          <cell r="J53" t="str">
            <v>01500</v>
          </cell>
          <cell r="K53" t="str">
            <v>10</v>
          </cell>
          <cell r="L53" t="str">
            <v>T</v>
          </cell>
          <cell r="M53" t="str">
            <v>10</v>
          </cell>
          <cell r="N53" t="b">
            <v>1</v>
          </cell>
          <cell r="S53" t="str">
            <v>Crops &amp; animal productions, hunting &amp; related service activities</v>
          </cell>
        </row>
        <row r="54">
          <cell r="C54" t="str">
            <v>0781</v>
          </cell>
          <cell r="D54" t="str">
            <v>Landscape Counseling and Planning</v>
          </cell>
          <cell r="E54" t="str">
            <v>T</v>
          </cell>
          <cell r="F54" t="str">
            <v>Y</v>
          </cell>
          <cell r="H54" t="str">
            <v>AG</v>
          </cell>
          <cell r="I54" t="str">
            <v>Y</v>
          </cell>
          <cell r="J54" t="str">
            <v>01500</v>
          </cell>
          <cell r="K54" t="str">
            <v>10</v>
          </cell>
          <cell r="L54" t="str">
            <v>T</v>
          </cell>
          <cell r="M54" t="str">
            <v>10</v>
          </cell>
          <cell r="N54" t="b">
            <v>1</v>
          </cell>
          <cell r="O54" t="str">
            <v>Y</v>
          </cell>
          <cell r="S54" t="str">
            <v>Crops &amp; animal productions, hunting &amp; related service activities</v>
          </cell>
        </row>
        <row r="55">
          <cell r="C55" t="str">
            <v>0723</v>
          </cell>
          <cell r="D55" t="str">
            <v>Crop Preparation Service for Market, Except Cotton Ginning</v>
          </cell>
          <cell r="E55" t="str">
            <v>N</v>
          </cell>
          <cell r="F55" t="str">
            <v>Y</v>
          </cell>
          <cell r="H55" t="str">
            <v>AG</v>
          </cell>
          <cell r="I55" t="str">
            <v>Y</v>
          </cell>
          <cell r="J55" t="str">
            <v>01500</v>
          </cell>
          <cell r="K55" t="str">
            <v>10</v>
          </cell>
          <cell r="L55" t="str">
            <v>N</v>
          </cell>
          <cell r="M55" t="str">
            <v>0</v>
          </cell>
          <cell r="N55" t="b">
            <v>1</v>
          </cell>
          <cell r="S55" t="str">
            <v>Crops &amp; animal productions, hunting &amp; related service activities</v>
          </cell>
        </row>
        <row r="56">
          <cell r="C56" t="str">
            <v>0761</v>
          </cell>
          <cell r="D56" t="str">
            <v>Farm Labor Contractors and Crew Leaders</v>
          </cell>
          <cell r="E56" t="str">
            <v>N</v>
          </cell>
          <cell r="F56" t="str">
            <v>Y</v>
          </cell>
          <cell r="H56" t="str">
            <v>AG</v>
          </cell>
          <cell r="I56" t="str">
            <v>Y</v>
          </cell>
          <cell r="J56" t="str">
            <v>01500</v>
          </cell>
          <cell r="K56" t="str">
            <v>10</v>
          </cell>
          <cell r="L56" t="str">
            <v>N</v>
          </cell>
          <cell r="M56" t="str">
            <v>0</v>
          </cell>
          <cell r="N56" t="b">
            <v>1</v>
          </cell>
          <cell r="S56" t="str">
            <v>Crops &amp; animal productions, hunting &amp; related service activities</v>
          </cell>
        </row>
        <row r="57">
          <cell r="C57" t="str">
            <v>0722</v>
          </cell>
          <cell r="D57" t="str">
            <v>Crop Harvesting, Primarily by Machine</v>
          </cell>
          <cell r="E57" t="str">
            <v>N</v>
          </cell>
          <cell r="F57" t="str">
            <v>Y</v>
          </cell>
          <cell r="H57" t="str">
            <v>AG</v>
          </cell>
          <cell r="I57" t="str">
            <v>Y</v>
          </cell>
          <cell r="J57" t="str">
            <v>01500</v>
          </cell>
          <cell r="K57" t="str">
            <v>10</v>
          </cell>
          <cell r="L57" t="str">
            <v>N</v>
          </cell>
          <cell r="M57" t="str">
            <v>0</v>
          </cell>
          <cell r="N57" t="b">
            <v>1</v>
          </cell>
          <cell r="S57" t="str">
            <v>Crops &amp; animal productions, hunting &amp; related service activities</v>
          </cell>
        </row>
        <row r="58">
          <cell r="C58" t="str">
            <v>0762</v>
          </cell>
          <cell r="D58" t="str">
            <v>Farm Management Services</v>
          </cell>
          <cell r="E58" t="str">
            <v>N</v>
          </cell>
          <cell r="F58" t="str">
            <v>Y</v>
          </cell>
          <cell r="H58" t="str">
            <v>AG</v>
          </cell>
          <cell r="I58" t="str">
            <v>Y</v>
          </cell>
          <cell r="J58" t="str">
            <v>01500</v>
          </cell>
          <cell r="K58" t="str">
            <v>10</v>
          </cell>
          <cell r="L58" t="str">
            <v>N</v>
          </cell>
          <cell r="M58" t="str">
            <v>0</v>
          </cell>
          <cell r="N58" t="b">
            <v>1</v>
          </cell>
          <cell r="S58" t="str">
            <v>Crops &amp; animal productions, hunting &amp; related service activities</v>
          </cell>
        </row>
        <row r="59">
          <cell r="C59" t="str">
            <v>0721</v>
          </cell>
          <cell r="D59" t="str">
            <v>Crop Planting, Cultivating, and Protecting</v>
          </cell>
          <cell r="E59" t="str">
            <v>T</v>
          </cell>
          <cell r="F59" t="str">
            <v>Y</v>
          </cell>
          <cell r="H59" t="str">
            <v>AG</v>
          </cell>
          <cell r="I59" t="str">
            <v>Y</v>
          </cell>
          <cell r="J59" t="str">
            <v>01500</v>
          </cell>
          <cell r="K59" t="str">
            <v>10</v>
          </cell>
          <cell r="L59" t="str">
            <v>T</v>
          </cell>
          <cell r="M59" t="str">
            <v>10</v>
          </cell>
          <cell r="N59" t="b">
            <v>1</v>
          </cell>
          <cell r="O59" t="str">
            <v>Y</v>
          </cell>
          <cell r="S59" t="str">
            <v>Crops &amp; animal productions, hunting &amp; related service activities</v>
          </cell>
        </row>
        <row r="60">
          <cell r="C60" t="str">
            <v>016XX</v>
          </cell>
          <cell r="D60" t="str">
            <v>Support activities to agriculture and post-harvest crops activities</v>
          </cell>
          <cell r="E60" t="str">
            <v>N</v>
          </cell>
          <cell r="F60" t="str">
            <v>Y</v>
          </cell>
          <cell r="H60" t="str">
            <v>AG</v>
          </cell>
          <cell r="I60" t="str">
            <v>Y</v>
          </cell>
          <cell r="J60" t="str">
            <v>016XX</v>
          </cell>
          <cell r="K60" t="str">
            <v>10</v>
          </cell>
          <cell r="L60" t="str">
            <v>N</v>
          </cell>
          <cell r="M60" t="str">
            <v>0</v>
          </cell>
          <cell r="N60" t="b">
            <v>1</v>
          </cell>
          <cell r="S60" t="str">
            <v>Crops &amp; animal productions, hunting &amp; related service activities</v>
          </cell>
        </row>
        <row r="61">
          <cell r="C61" t="str">
            <v>0751</v>
          </cell>
          <cell r="D61" t="str">
            <v>Livestock Services, Except Veterinary</v>
          </cell>
          <cell r="E61" t="str">
            <v>N</v>
          </cell>
          <cell r="F61" t="str">
            <v>Y</v>
          </cell>
          <cell r="H61" t="str">
            <v>AG</v>
          </cell>
          <cell r="I61" t="str">
            <v>Y</v>
          </cell>
          <cell r="J61" t="str">
            <v>01500</v>
          </cell>
          <cell r="K61" t="str">
            <v>10</v>
          </cell>
          <cell r="L61" t="str">
            <v>N</v>
          </cell>
          <cell r="M61" t="str">
            <v>0</v>
          </cell>
          <cell r="N61" t="b">
            <v>1</v>
          </cell>
          <cell r="S61" t="str">
            <v>Crops &amp; animal productions, hunting &amp; related service activities</v>
          </cell>
        </row>
        <row r="62">
          <cell r="C62" t="str">
            <v>0971</v>
          </cell>
          <cell r="D62" t="str">
            <v>Hunting and Trapping, and Game Propagation</v>
          </cell>
          <cell r="E62" t="str">
            <v>N</v>
          </cell>
          <cell r="F62" t="str">
            <v>N</v>
          </cell>
          <cell r="H62" t="str">
            <v>AG</v>
          </cell>
          <cell r="I62" t="str">
            <v>Y</v>
          </cell>
          <cell r="J62" t="str">
            <v>0170X</v>
          </cell>
          <cell r="K62" t="str">
            <v>10</v>
          </cell>
          <cell r="L62" t="str">
            <v>N</v>
          </cell>
          <cell r="M62" t="str">
            <v>0</v>
          </cell>
          <cell r="N62" t="b">
            <v>1</v>
          </cell>
          <cell r="S62" t="str">
            <v>Crops &amp; animal productions, hunting &amp; related service activities</v>
          </cell>
        </row>
        <row r="63">
          <cell r="C63" t="str">
            <v>0831</v>
          </cell>
          <cell r="D63" t="str">
            <v>Forest Nurseries and Gathering of Forest Products</v>
          </cell>
          <cell r="E63" t="str">
            <v>T</v>
          </cell>
          <cell r="F63" t="str">
            <v>Y</v>
          </cell>
          <cell r="H63" t="str">
            <v>AG</v>
          </cell>
          <cell r="I63" t="str">
            <v>Y</v>
          </cell>
          <cell r="J63" t="str">
            <v>0210X</v>
          </cell>
          <cell r="K63" t="str">
            <v>10</v>
          </cell>
          <cell r="L63" t="str">
            <v>T</v>
          </cell>
          <cell r="M63" t="str">
            <v>10</v>
          </cell>
          <cell r="N63" t="b">
            <v>1</v>
          </cell>
          <cell r="S63" t="str">
            <v>Forestry/ Logging</v>
          </cell>
        </row>
        <row r="64">
          <cell r="C64" t="str">
            <v>0851</v>
          </cell>
          <cell r="D64" t="str">
            <v>Forestry Services</v>
          </cell>
          <cell r="E64" t="str">
            <v>T</v>
          </cell>
          <cell r="F64" t="str">
            <v>Y</v>
          </cell>
          <cell r="H64" t="str">
            <v>AG</v>
          </cell>
          <cell r="I64" t="str">
            <v>Y</v>
          </cell>
          <cell r="J64" t="str">
            <v>0210X</v>
          </cell>
          <cell r="K64" t="str">
            <v>10</v>
          </cell>
          <cell r="L64" t="str">
            <v>T</v>
          </cell>
          <cell r="M64" t="str">
            <v>10</v>
          </cell>
          <cell r="N64" t="b">
            <v>1</v>
          </cell>
          <cell r="S64" t="str">
            <v>Forestry/ Logging</v>
          </cell>
        </row>
        <row r="65">
          <cell r="C65" t="str">
            <v>0811</v>
          </cell>
          <cell r="D65" t="str">
            <v>Timber Tracts</v>
          </cell>
          <cell r="E65" t="str">
            <v>T</v>
          </cell>
          <cell r="F65" t="str">
            <v>Y</v>
          </cell>
          <cell r="H65" t="str">
            <v>AG</v>
          </cell>
          <cell r="I65" t="str">
            <v>Y</v>
          </cell>
          <cell r="J65" t="str">
            <v>0210X</v>
          </cell>
          <cell r="K65" t="str">
            <v>10</v>
          </cell>
          <cell r="L65" t="str">
            <v>T</v>
          </cell>
          <cell r="M65" t="str">
            <v>10</v>
          </cell>
          <cell r="N65" t="b">
            <v>1</v>
          </cell>
          <cell r="S65" t="str">
            <v>Forestry/ Logging</v>
          </cell>
        </row>
        <row r="66">
          <cell r="C66" t="str">
            <v>0210X</v>
          </cell>
          <cell r="D66" t="str">
            <v>Other related activities n.e.c</v>
          </cell>
          <cell r="E66" t="str">
            <v>T</v>
          </cell>
          <cell r="F66" t="str">
            <v>Y</v>
          </cell>
          <cell r="H66" t="str">
            <v>AG</v>
          </cell>
          <cell r="I66" t="str">
            <v>Y</v>
          </cell>
          <cell r="J66" t="str">
            <v>0210X</v>
          </cell>
          <cell r="K66" t="str">
            <v>10</v>
          </cell>
          <cell r="L66" t="str">
            <v>T</v>
          </cell>
          <cell r="M66" t="str">
            <v>10</v>
          </cell>
          <cell r="N66" t="b">
            <v>1</v>
          </cell>
          <cell r="S66" t="str">
            <v>Forestry/ Logging</v>
          </cell>
        </row>
        <row r="67">
          <cell r="C67" t="str">
            <v>2411</v>
          </cell>
          <cell r="D67" t="str">
            <v>Logging</v>
          </cell>
          <cell r="E67" t="str">
            <v>N</v>
          </cell>
          <cell r="F67" t="str">
            <v>Y</v>
          </cell>
          <cell r="H67" t="str">
            <v>AG</v>
          </cell>
          <cell r="I67" t="str">
            <v>Y</v>
          </cell>
          <cell r="J67" t="str">
            <v>0220X</v>
          </cell>
          <cell r="K67" t="str">
            <v>10</v>
          </cell>
          <cell r="L67" t="str">
            <v>N</v>
          </cell>
          <cell r="M67" t="str">
            <v>0</v>
          </cell>
          <cell r="N67" t="b">
            <v>1</v>
          </cell>
          <cell r="S67" t="str">
            <v>Forestry/ Logging</v>
          </cell>
        </row>
        <row r="68">
          <cell r="C68" t="str">
            <v>0230X</v>
          </cell>
          <cell r="D68" t="str">
            <v>Gathering non-wood forest products</v>
          </cell>
          <cell r="E68" t="str">
            <v>N</v>
          </cell>
          <cell r="F68" t="str">
            <v>Y</v>
          </cell>
          <cell r="H68" t="str">
            <v>AG</v>
          </cell>
          <cell r="I68" t="str">
            <v>Y</v>
          </cell>
          <cell r="J68" t="str">
            <v>0230X</v>
          </cell>
          <cell r="K68" t="str">
            <v>10</v>
          </cell>
          <cell r="L68" t="str">
            <v>N</v>
          </cell>
          <cell r="M68" t="str">
            <v>0</v>
          </cell>
          <cell r="N68" t="b">
            <v>1</v>
          </cell>
          <cell r="S68" t="str">
            <v>Forestry/ Logging</v>
          </cell>
        </row>
        <row r="69">
          <cell r="C69" t="str">
            <v>0240X</v>
          </cell>
          <cell r="D69" t="str">
            <v>Support service to forestry</v>
          </cell>
          <cell r="E69" t="str">
            <v>N</v>
          </cell>
          <cell r="F69" t="str">
            <v>Y</v>
          </cell>
          <cell r="H69" t="str">
            <v>AG</v>
          </cell>
          <cell r="I69" t="str">
            <v>Y</v>
          </cell>
          <cell r="J69" t="str">
            <v>0240X</v>
          </cell>
          <cell r="K69" t="str">
            <v>10</v>
          </cell>
          <cell r="L69" t="str">
            <v>N</v>
          </cell>
          <cell r="M69" t="str">
            <v>0</v>
          </cell>
          <cell r="N69" t="b">
            <v>1</v>
          </cell>
          <cell r="S69" t="str">
            <v>Forestry/ Logging</v>
          </cell>
        </row>
        <row r="70">
          <cell r="C70" t="str">
            <v>031XX</v>
          </cell>
          <cell r="D70" t="str">
            <v>Fish-Ocean, Coastal</v>
          </cell>
          <cell r="E70" t="str">
            <v>N</v>
          </cell>
          <cell r="F70" t="str">
            <v>Y</v>
          </cell>
          <cell r="H70" t="str">
            <v>AG</v>
          </cell>
          <cell r="I70" t="str">
            <v>Y</v>
          </cell>
          <cell r="J70" t="str">
            <v>031XX</v>
          </cell>
          <cell r="K70" t="str">
            <v>10</v>
          </cell>
          <cell r="L70" t="str">
            <v>N</v>
          </cell>
          <cell r="M70" t="str">
            <v>0</v>
          </cell>
          <cell r="N70" t="b">
            <v>1</v>
          </cell>
          <cell r="R70" t="str">
            <v>2 SIC codes under but different description - "Fish-Ocean, Coastal" &amp; "Other service activities incidential to fishing"</v>
          </cell>
          <cell r="S70" t="str">
            <v>Fishing &amp; Aquaculture</v>
          </cell>
        </row>
        <row r="71">
          <cell r="C71" t="str">
            <v>0921</v>
          </cell>
          <cell r="D71" t="str">
            <v>Fish Hatcheries and Preserves</v>
          </cell>
          <cell r="E71" t="str">
            <v>N</v>
          </cell>
          <cell r="F71" t="str">
            <v>Y</v>
          </cell>
          <cell r="H71" t="str">
            <v>AG</v>
          </cell>
          <cell r="I71" t="str">
            <v>Y</v>
          </cell>
          <cell r="J71" t="str">
            <v>031XX</v>
          </cell>
          <cell r="K71" t="str">
            <v>10</v>
          </cell>
          <cell r="L71" t="str">
            <v>N</v>
          </cell>
          <cell r="M71" t="str">
            <v>0</v>
          </cell>
          <cell r="N71" t="b">
            <v>1</v>
          </cell>
          <cell r="S71" t="str">
            <v>Fishing &amp; Aquaculture</v>
          </cell>
        </row>
        <row r="72">
          <cell r="C72" t="str">
            <v>0912</v>
          </cell>
          <cell r="D72" t="str">
            <v>Finfish</v>
          </cell>
          <cell r="E72" t="str">
            <v>N</v>
          </cell>
          <cell r="F72" t="str">
            <v>Y</v>
          </cell>
          <cell r="H72" t="str">
            <v>AG</v>
          </cell>
          <cell r="I72" t="str">
            <v>Y</v>
          </cell>
          <cell r="J72" t="str">
            <v>031XX</v>
          </cell>
          <cell r="K72" t="str">
            <v>10</v>
          </cell>
          <cell r="L72" t="str">
            <v>N</v>
          </cell>
          <cell r="M72" t="str">
            <v>0</v>
          </cell>
          <cell r="N72" t="b">
            <v>1</v>
          </cell>
          <cell r="S72" t="str">
            <v>Fishing &amp; Aquaculture</v>
          </cell>
        </row>
        <row r="73">
          <cell r="C73" t="str">
            <v>0919</v>
          </cell>
          <cell r="D73" t="str">
            <v>Miscellaneous Marine Products</v>
          </cell>
          <cell r="E73" t="str">
            <v>N</v>
          </cell>
          <cell r="F73" t="str">
            <v>Y</v>
          </cell>
          <cell r="H73" t="str">
            <v>AG</v>
          </cell>
          <cell r="I73" t="str">
            <v>Y</v>
          </cell>
          <cell r="J73" t="str">
            <v>031XX</v>
          </cell>
          <cell r="K73" t="str">
            <v>10</v>
          </cell>
          <cell r="L73" t="str">
            <v>N</v>
          </cell>
          <cell r="M73" t="str">
            <v>0</v>
          </cell>
          <cell r="N73" t="b">
            <v>1</v>
          </cell>
          <cell r="S73" t="str">
            <v>Fishing &amp; Aquaculture</v>
          </cell>
        </row>
        <row r="74">
          <cell r="C74" t="str">
            <v>0913</v>
          </cell>
          <cell r="D74" t="str">
            <v>Shellfish</v>
          </cell>
          <cell r="E74" t="str">
            <v>N</v>
          </cell>
          <cell r="F74" t="str">
            <v>Y</v>
          </cell>
          <cell r="H74" t="str">
            <v>AG</v>
          </cell>
          <cell r="I74" t="str">
            <v>Y</v>
          </cell>
          <cell r="J74" t="str">
            <v>031XX</v>
          </cell>
          <cell r="K74" t="str">
            <v>10</v>
          </cell>
          <cell r="L74" t="str">
            <v>N</v>
          </cell>
          <cell r="M74" t="str">
            <v>0</v>
          </cell>
          <cell r="N74" t="b">
            <v>1</v>
          </cell>
          <cell r="S74" t="str">
            <v>Fishing &amp; Aquaculture</v>
          </cell>
        </row>
        <row r="75">
          <cell r="C75" t="str">
            <v>031XX</v>
          </cell>
          <cell r="D75" t="str">
            <v>Other service activities incidential to fishing</v>
          </cell>
          <cell r="E75" t="str">
            <v>N</v>
          </cell>
          <cell r="F75" t="str">
            <v>Y</v>
          </cell>
          <cell r="H75" t="str">
            <v>AG</v>
          </cell>
          <cell r="I75" t="str">
            <v>Y</v>
          </cell>
          <cell r="J75" t="str">
            <v>031XX</v>
          </cell>
          <cell r="K75" t="str">
            <v>10</v>
          </cell>
          <cell r="L75" t="str">
            <v>N</v>
          </cell>
          <cell r="M75" t="str">
            <v>0</v>
          </cell>
          <cell r="N75" t="b">
            <v>1</v>
          </cell>
          <cell r="R75" t="str">
            <v>2 SIC codes under but different description - "Fish-Ocean, Coastal" &amp; "Other service activities incidential to fishing"</v>
          </cell>
          <cell r="S75" t="str">
            <v>Fishing &amp; Aquaculture</v>
          </cell>
        </row>
        <row r="76">
          <cell r="C76" t="str">
            <v>0273</v>
          </cell>
          <cell r="D76" t="str">
            <v>Animal Aquaculture</v>
          </cell>
          <cell r="E76" t="str">
            <v>T</v>
          </cell>
          <cell r="F76" t="str">
            <v>Y</v>
          </cell>
          <cell r="H76" t="str">
            <v>AG</v>
          </cell>
          <cell r="I76" t="str">
            <v>Y</v>
          </cell>
          <cell r="J76" t="str">
            <v>032XX</v>
          </cell>
          <cell r="K76" t="str">
            <v>10</v>
          </cell>
          <cell r="L76" t="str">
            <v>T</v>
          </cell>
          <cell r="M76" t="str">
            <v>10</v>
          </cell>
          <cell r="N76" t="b">
            <v>1</v>
          </cell>
          <cell r="S76" t="str">
            <v>Fishing &amp; Aquaculture</v>
          </cell>
        </row>
        <row r="77">
          <cell r="C77" t="str">
            <v>05XXX</v>
          </cell>
          <cell r="D77" t="str">
            <v>Mining of coal and lignite; extraction of peat</v>
          </cell>
          <cell r="E77" t="str">
            <v>N</v>
          </cell>
          <cell r="F77" t="str">
            <v>Y</v>
          </cell>
          <cell r="H77" t="str">
            <v>MQ</v>
          </cell>
          <cell r="I77" t="str">
            <v>N</v>
          </cell>
          <cell r="J77" t="str">
            <v>05XXX</v>
          </cell>
          <cell r="K77" t="str">
            <v>0</v>
          </cell>
          <cell r="L77" t="str">
            <v>N</v>
          </cell>
          <cell r="M77" t="str">
            <v>0</v>
          </cell>
          <cell r="N77" t="b">
            <v>1</v>
          </cell>
          <cell r="S77" t="str">
            <v>Mining &amp; Quarrying</v>
          </cell>
        </row>
        <row r="78">
          <cell r="C78" t="str">
            <v>1311</v>
          </cell>
          <cell r="D78" t="str">
            <v>Crude petroleum and natural gas</v>
          </cell>
          <cell r="E78" t="str">
            <v>N</v>
          </cell>
          <cell r="F78" t="str">
            <v>Y</v>
          </cell>
          <cell r="H78" t="str">
            <v>MQ</v>
          </cell>
          <cell r="I78" t="str">
            <v>N</v>
          </cell>
          <cell r="J78" t="str">
            <v>0610X</v>
          </cell>
          <cell r="K78" t="str">
            <v>0</v>
          </cell>
          <cell r="L78" t="str">
            <v>N</v>
          </cell>
          <cell r="M78" t="str">
            <v>0</v>
          </cell>
          <cell r="N78" t="b">
            <v>1</v>
          </cell>
          <cell r="S78" t="str">
            <v>Mining &amp; Quarrying</v>
          </cell>
        </row>
        <row r="79">
          <cell r="C79" t="str">
            <v>1321</v>
          </cell>
          <cell r="D79" t="str">
            <v>Natural gas liquids</v>
          </cell>
          <cell r="E79" t="str">
            <v>N</v>
          </cell>
          <cell r="F79" t="str">
            <v>Y</v>
          </cell>
          <cell r="H79" t="str">
            <v>MQ</v>
          </cell>
          <cell r="I79" t="str">
            <v>N</v>
          </cell>
          <cell r="J79" t="str">
            <v>0620X</v>
          </cell>
          <cell r="K79" t="str">
            <v>0</v>
          </cell>
          <cell r="L79" t="str">
            <v>N</v>
          </cell>
          <cell r="M79" t="str">
            <v>0</v>
          </cell>
          <cell r="N79" t="b">
            <v>1</v>
          </cell>
          <cell r="S79" t="str">
            <v>Mining &amp; Quarrying</v>
          </cell>
        </row>
        <row r="80">
          <cell r="C80" t="str">
            <v>1099</v>
          </cell>
          <cell r="D80" t="str">
            <v>Metal ores</v>
          </cell>
          <cell r="E80" t="str">
            <v>T</v>
          </cell>
          <cell r="F80" t="str">
            <v>Y</v>
          </cell>
          <cell r="G80" t="str">
            <v>N</v>
          </cell>
          <cell r="H80" t="str">
            <v>MQ</v>
          </cell>
          <cell r="I80" t="str">
            <v>N</v>
          </cell>
          <cell r="J80" t="str">
            <v>0710X</v>
          </cell>
          <cell r="K80" t="str">
            <v>0</v>
          </cell>
          <cell r="L80" t="str">
            <v>T</v>
          </cell>
          <cell r="M80" t="str">
            <v>0</v>
          </cell>
          <cell r="N80" t="b">
            <v>1</v>
          </cell>
          <cell r="S80" t="str">
            <v>Mining &amp; Quarrying</v>
          </cell>
        </row>
        <row r="81">
          <cell r="C81" t="str">
            <v>1081</v>
          </cell>
          <cell r="D81" t="str">
            <v>Metal mining services</v>
          </cell>
          <cell r="E81" t="str">
            <v>T</v>
          </cell>
          <cell r="F81" t="str">
            <v>Y</v>
          </cell>
          <cell r="G81" t="str">
            <v>N</v>
          </cell>
          <cell r="H81" t="str">
            <v>MQ</v>
          </cell>
          <cell r="I81" t="str">
            <v>N</v>
          </cell>
          <cell r="J81" t="str">
            <v>0710X</v>
          </cell>
          <cell r="K81" t="str">
            <v>0</v>
          </cell>
          <cell r="L81" t="str">
            <v>T</v>
          </cell>
          <cell r="M81" t="str">
            <v>0</v>
          </cell>
          <cell r="N81" t="b">
            <v>1</v>
          </cell>
          <cell r="S81" t="str">
            <v>Mining &amp; Quarrying</v>
          </cell>
        </row>
        <row r="82">
          <cell r="C82" t="str">
            <v>1011</v>
          </cell>
          <cell r="D82" t="str">
            <v>Iron ores</v>
          </cell>
          <cell r="E82" t="str">
            <v>T</v>
          </cell>
          <cell r="F82" t="str">
            <v>Y</v>
          </cell>
          <cell r="G82" t="str">
            <v>N</v>
          </cell>
          <cell r="H82" t="str">
            <v>MQ</v>
          </cell>
          <cell r="I82" t="str">
            <v>N</v>
          </cell>
          <cell r="J82" t="str">
            <v>0710X</v>
          </cell>
          <cell r="K82" t="str">
            <v>0</v>
          </cell>
          <cell r="L82" t="str">
            <v>T</v>
          </cell>
          <cell r="M82" t="str">
            <v>0</v>
          </cell>
          <cell r="N82" t="b">
            <v>1</v>
          </cell>
          <cell r="S82" t="str">
            <v>Mining &amp; Quarrying</v>
          </cell>
        </row>
        <row r="83">
          <cell r="C83" t="str">
            <v>1094</v>
          </cell>
          <cell r="D83" t="str">
            <v>Uranium-radium-vanadium ores</v>
          </cell>
          <cell r="E83" t="str">
            <v>T</v>
          </cell>
          <cell r="F83" t="str">
            <v>Y</v>
          </cell>
          <cell r="G83" t="str">
            <v>N</v>
          </cell>
          <cell r="H83" t="str">
            <v>MQ</v>
          </cell>
          <cell r="I83" t="str">
            <v>N</v>
          </cell>
          <cell r="J83" t="str">
            <v>07210</v>
          </cell>
          <cell r="K83" t="str">
            <v>0</v>
          </cell>
          <cell r="L83" t="str">
            <v>T</v>
          </cell>
          <cell r="M83" t="str">
            <v>0</v>
          </cell>
          <cell r="N83" t="b">
            <v>1</v>
          </cell>
          <cell r="S83" t="str">
            <v>Mining &amp; Quarrying</v>
          </cell>
        </row>
        <row r="84">
          <cell r="C84" t="str">
            <v>07291</v>
          </cell>
          <cell r="D84" t="str">
            <v>Tin Mining</v>
          </cell>
          <cell r="E84" t="str">
            <v>T</v>
          </cell>
          <cell r="F84" t="str">
            <v>Y</v>
          </cell>
          <cell r="G84" t="str">
            <v>N</v>
          </cell>
          <cell r="H84" t="str">
            <v>MQ</v>
          </cell>
          <cell r="I84" t="str">
            <v>N</v>
          </cell>
          <cell r="J84" t="str">
            <v>07291</v>
          </cell>
          <cell r="K84" t="str">
            <v>0</v>
          </cell>
          <cell r="L84" t="str">
            <v>T</v>
          </cell>
          <cell r="M84" t="str">
            <v>0</v>
          </cell>
          <cell r="N84" t="b">
            <v>1</v>
          </cell>
          <cell r="S84" t="str">
            <v>Mining &amp; Quarrying</v>
          </cell>
        </row>
        <row r="85">
          <cell r="C85" t="str">
            <v>1021</v>
          </cell>
          <cell r="D85" t="str">
            <v>Copper ores</v>
          </cell>
          <cell r="E85" t="str">
            <v>T</v>
          </cell>
          <cell r="F85" t="str">
            <v>Y</v>
          </cell>
          <cell r="G85" t="str">
            <v>N</v>
          </cell>
          <cell r="H85" t="str">
            <v>MQ</v>
          </cell>
          <cell r="I85" t="str">
            <v>N</v>
          </cell>
          <cell r="J85" t="str">
            <v>07299</v>
          </cell>
          <cell r="K85" t="str">
            <v>0</v>
          </cell>
          <cell r="L85" t="str">
            <v>T</v>
          </cell>
          <cell r="M85" t="str">
            <v>0</v>
          </cell>
          <cell r="N85" t="b">
            <v>1</v>
          </cell>
          <cell r="S85" t="str">
            <v>Mining &amp; Quarrying</v>
          </cell>
        </row>
        <row r="86">
          <cell r="C86" t="str">
            <v>1222</v>
          </cell>
          <cell r="D86" t="str">
            <v>Bituminous coal - underground</v>
          </cell>
          <cell r="E86" t="str">
            <v>N</v>
          </cell>
          <cell r="F86" t="str">
            <v>Y</v>
          </cell>
          <cell r="H86" t="str">
            <v>MQ</v>
          </cell>
          <cell r="I86" t="str">
            <v>N</v>
          </cell>
          <cell r="J86" t="str">
            <v>07299</v>
          </cell>
          <cell r="K86" t="str">
            <v>0</v>
          </cell>
          <cell r="L86" t="str">
            <v>N</v>
          </cell>
          <cell r="M86" t="str">
            <v>0</v>
          </cell>
          <cell r="N86" t="b">
            <v>1</v>
          </cell>
          <cell r="S86" t="str">
            <v>Mining &amp; Quarrying</v>
          </cell>
        </row>
        <row r="87">
          <cell r="C87" t="str">
            <v>1041</v>
          </cell>
          <cell r="D87" t="str">
            <v>Gold ores</v>
          </cell>
          <cell r="E87" t="str">
            <v>T</v>
          </cell>
          <cell r="F87" t="str">
            <v>Y</v>
          </cell>
          <cell r="G87" t="str">
            <v>N</v>
          </cell>
          <cell r="H87" t="str">
            <v>MQ</v>
          </cell>
          <cell r="I87" t="str">
            <v>N</v>
          </cell>
          <cell r="J87" t="str">
            <v>07299</v>
          </cell>
          <cell r="K87" t="str">
            <v>0</v>
          </cell>
          <cell r="L87" t="str">
            <v>T</v>
          </cell>
          <cell r="M87" t="str">
            <v>0</v>
          </cell>
          <cell r="N87" t="b">
            <v>1</v>
          </cell>
          <cell r="S87" t="str">
            <v>Mining &amp; Quarrying</v>
          </cell>
        </row>
        <row r="88">
          <cell r="C88" t="str">
            <v>1221</v>
          </cell>
          <cell r="D88" t="str">
            <v>Bituminous coal and lignite - surface</v>
          </cell>
          <cell r="E88" t="str">
            <v>T</v>
          </cell>
          <cell r="F88" t="str">
            <v>Y</v>
          </cell>
          <cell r="G88" t="str">
            <v>N</v>
          </cell>
          <cell r="H88" t="str">
            <v>MQ</v>
          </cell>
          <cell r="I88" t="str">
            <v>N</v>
          </cell>
          <cell r="J88" t="str">
            <v>07299</v>
          </cell>
          <cell r="K88" t="str">
            <v>0</v>
          </cell>
          <cell r="L88" t="str">
            <v>T</v>
          </cell>
          <cell r="M88" t="str">
            <v>0</v>
          </cell>
          <cell r="N88" t="b">
            <v>1</v>
          </cell>
          <cell r="S88" t="str">
            <v>Mining &amp; Quarrying</v>
          </cell>
        </row>
        <row r="89">
          <cell r="C89" t="str">
            <v>1231</v>
          </cell>
          <cell r="D89" t="str">
            <v>Anthracite mining</v>
          </cell>
          <cell r="E89" t="str">
            <v>N</v>
          </cell>
          <cell r="F89" t="str">
            <v>Y</v>
          </cell>
          <cell r="H89" t="str">
            <v>MQ</v>
          </cell>
          <cell r="I89" t="str">
            <v>N</v>
          </cell>
          <cell r="J89" t="str">
            <v>07299</v>
          </cell>
          <cell r="K89" t="str">
            <v>0</v>
          </cell>
          <cell r="L89" t="str">
            <v>N</v>
          </cell>
          <cell r="M89" t="str">
            <v>0</v>
          </cell>
          <cell r="N89" t="b">
            <v>1</v>
          </cell>
          <cell r="S89" t="str">
            <v>Mining &amp; Quarrying</v>
          </cell>
        </row>
        <row r="90">
          <cell r="C90" t="str">
            <v>1241</v>
          </cell>
          <cell r="D90" t="str">
            <v>Coal mining services</v>
          </cell>
          <cell r="E90" t="str">
            <v>N</v>
          </cell>
          <cell r="F90" t="str">
            <v>Y</v>
          </cell>
          <cell r="H90" t="str">
            <v>MQ</v>
          </cell>
          <cell r="I90" t="str">
            <v>N</v>
          </cell>
          <cell r="J90" t="str">
            <v>07299</v>
          </cell>
          <cell r="K90" t="str">
            <v>0</v>
          </cell>
          <cell r="L90" t="str">
            <v>N</v>
          </cell>
          <cell r="M90" t="str">
            <v>0</v>
          </cell>
          <cell r="N90" t="b">
            <v>1</v>
          </cell>
          <cell r="S90" t="str">
            <v>Mining &amp; Quarrying</v>
          </cell>
        </row>
        <row r="91">
          <cell r="C91" t="str">
            <v>1031</v>
          </cell>
          <cell r="D91" t="str">
            <v>Lead and zinc ores</v>
          </cell>
          <cell r="E91" t="str">
            <v>T</v>
          </cell>
          <cell r="F91" t="str">
            <v>Y</v>
          </cell>
          <cell r="G91" t="str">
            <v>N</v>
          </cell>
          <cell r="H91" t="str">
            <v>MQ</v>
          </cell>
          <cell r="I91" t="str">
            <v>N</v>
          </cell>
          <cell r="J91" t="str">
            <v>07299</v>
          </cell>
          <cell r="K91" t="str">
            <v>0</v>
          </cell>
          <cell r="L91" t="str">
            <v>T</v>
          </cell>
          <cell r="M91" t="str">
            <v>0</v>
          </cell>
          <cell r="N91" t="b">
            <v>1</v>
          </cell>
          <cell r="S91" t="str">
            <v>Mining &amp; Quarrying</v>
          </cell>
        </row>
        <row r="92">
          <cell r="C92" t="str">
            <v>1061</v>
          </cell>
          <cell r="D92" t="str">
            <v>Ferroalloy ores, except vanadium</v>
          </cell>
          <cell r="E92" t="str">
            <v>T</v>
          </cell>
          <cell r="F92" t="str">
            <v>Y</v>
          </cell>
          <cell r="G92" t="str">
            <v>N</v>
          </cell>
          <cell r="H92" t="str">
            <v>MQ</v>
          </cell>
          <cell r="I92" t="str">
            <v>N</v>
          </cell>
          <cell r="J92" t="str">
            <v>07299</v>
          </cell>
          <cell r="K92" t="str">
            <v>0</v>
          </cell>
          <cell r="L92" t="str">
            <v>T</v>
          </cell>
          <cell r="M92" t="str">
            <v>0</v>
          </cell>
          <cell r="N92" t="b">
            <v>1</v>
          </cell>
          <cell r="S92" t="str">
            <v>Mining &amp; Quarrying</v>
          </cell>
        </row>
        <row r="93">
          <cell r="C93" t="str">
            <v>1044</v>
          </cell>
          <cell r="D93" t="str">
            <v>Silver ores</v>
          </cell>
          <cell r="E93" t="str">
            <v>T</v>
          </cell>
          <cell r="F93" t="str">
            <v>Y</v>
          </cell>
          <cell r="G93" t="str">
            <v>N</v>
          </cell>
          <cell r="H93" t="str">
            <v>MQ</v>
          </cell>
          <cell r="I93" t="str">
            <v>N</v>
          </cell>
          <cell r="J93" t="str">
            <v>07299</v>
          </cell>
          <cell r="K93" t="str">
            <v>0</v>
          </cell>
          <cell r="L93" t="str">
            <v>T</v>
          </cell>
          <cell r="M93" t="str">
            <v>0</v>
          </cell>
          <cell r="N93" t="b">
            <v>1</v>
          </cell>
          <cell r="S93" t="str">
            <v>Mining &amp; Quarrying</v>
          </cell>
        </row>
        <row r="94">
          <cell r="C94" t="str">
            <v>1459</v>
          </cell>
          <cell r="D94" t="str">
            <v>Clay and related minerals</v>
          </cell>
          <cell r="E94" t="str">
            <v>N</v>
          </cell>
          <cell r="F94" t="str">
            <v>Y</v>
          </cell>
          <cell r="H94" t="str">
            <v>MQ</v>
          </cell>
          <cell r="I94" t="str">
            <v>N</v>
          </cell>
          <cell r="J94" t="str">
            <v>08XXX</v>
          </cell>
          <cell r="K94" t="str">
            <v>0</v>
          </cell>
          <cell r="L94" t="str">
            <v>N</v>
          </cell>
          <cell r="M94" t="str">
            <v>0</v>
          </cell>
          <cell r="N94" t="b">
            <v>1</v>
          </cell>
          <cell r="S94" t="str">
            <v>Mining &amp; Quarrying</v>
          </cell>
        </row>
        <row r="95">
          <cell r="C95" t="str">
            <v>1446</v>
          </cell>
          <cell r="D95" t="str">
            <v>Industrial sand</v>
          </cell>
          <cell r="E95" t="str">
            <v>N</v>
          </cell>
          <cell r="F95" t="str">
            <v>Y</v>
          </cell>
          <cell r="H95" t="str">
            <v>MQ</v>
          </cell>
          <cell r="I95" t="str">
            <v>N</v>
          </cell>
          <cell r="J95" t="str">
            <v>08XXX</v>
          </cell>
          <cell r="K95" t="str">
            <v>0</v>
          </cell>
          <cell r="L95" t="str">
            <v>N</v>
          </cell>
          <cell r="M95" t="str">
            <v>0</v>
          </cell>
          <cell r="N95" t="b">
            <v>1</v>
          </cell>
          <cell r="S95" t="str">
            <v>Mining &amp; Quarrying</v>
          </cell>
        </row>
        <row r="96">
          <cell r="C96" t="str">
            <v>1423</v>
          </cell>
          <cell r="D96" t="str">
            <v>Crushed and broken granite</v>
          </cell>
          <cell r="E96" t="str">
            <v>N</v>
          </cell>
          <cell r="F96" t="str">
            <v>Y</v>
          </cell>
          <cell r="H96" t="str">
            <v>MQ</v>
          </cell>
          <cell r="I96" t="str">
            <v>N</v>
          </cell>
          <cell r="J96" t="str">
            <v>08XXX</v>
          </cell>
          <cell r="K96" t="str">
            <v>0</v>
          </cell>
          <cell r="L96" t="str">
            <v>N</v>
          </cell>
          <cell r="M96" t="str">
            <v>0</v>
          </cell>
          <cell r="N96" t="b">
            <v>1</v>
          </cell>
          <cell r="S96" t="str">
            <v>Mining &amp; Quarrying</v>
          </cell>
        </row>
        <row r="97">
          <cell r="C97" t="str">
            <v>1429</v>
          </cell>
          <cell r="D97" t="str">
            <v>Crushed and broken stone</v>
          </cell>
          <cell r="E97" t="str">
            <v>N</v>
          </cell>
          <cell r="F97" t="str">
            <v>Y</v>
          </cell>
          <cell r="H97" t="str">
            <v>MQ</v>
          </cell>
          <cell r="I97" t="str">
            <v>N</v>
          </cell>
          <cell r="J97" t="str">
            <v>08XXX</v>
          </cell>
          <cell r="K97" t="str">
            <v>0</v>
          </cell>
          <cell r="L97" t="str">
            <v>N</v>
          </cell>
          <cell r="M97" t="str">
            <v>0</v>
          </cell>
          <cell r="N97" t="b">
            <v>1</v>
          </cell>
          <cell r="S97" t="str">
            <v>Mining &amp; Quarrying</v>
          </cell>
        </row>
        <row r="98">
          <cell r="C98" t="str">
            <v>1455</v>
          </cell>
          <cell r="D98" t="str">
            <v>Kaolin and ball clay</v>
          </cell>
          <cell r="E98" t="str">
            <v>N</v>
          </cell>
          <cell r="F98" t="str">
            <v>Y</v>
          </cell>
          <cell r="H98" t="str">
            <v>MQ</v>
          </cell>
          <cell r="I98" t="str">
            <v>N</v>
          </cell>
          <cell r="J98" t="str">
            <v>08XXX</v>
          </cell>
          <cell r="K98" t="str">
            <v>0</v>
          </cell>
          <cell r="L98" t="str">
            <v>N</v>
          </cell>
          <cell r="M98" t="str">
            <v>0</v>
          </cell>
          <cell r="N98" t="b">
            <v>1</v>
          </cell>
          <cell r="S98" t="str">
            <v>Mining &amp; Quarrying</v>
          </cell>
        </row>
        <row r="99">
          <cell r="C99" t="str">
            <v>1442</v>
          </cell>
          <cell r="D99" t="str">
            <v>Construction sand and gravel</v>
          </cell>
          <cell r="E99" t="str">
            <v>N</v>
          </cell>
          <cell r="F99" t="str">
            <v>Y</v>
          </cell>
          <cell r="H99" t="str">
            <v>MQ</v>
          </cell>
          <cell r="I99" t="str">
            <v>N</v>
          </cell>
          <cell r="J99" t="str">
            <v>08XXX</v>
          </cell>
          <cell r="K99" t="str">
            <v>0</v>
          </cell>
          <cell r="L99" t="str">
            <v>N</v>
          </cell>
          <cell r="M99" t="str">
            <v>0</v>
          </cell>
          <cell r="N99" t="b">
            <v>1</v>
          </cell>
          <cell r="S99" t="str">
            <v>Mining &amp; Quarrying</v>
          </cell>
        </row>
        <row r="100">
          <cell r="C100" t="str">
            <v>1479</v>
          </cell>
          <cell r="D100" t="str">
            <v>Chemical and fertilizer mining</v>
          </cell>
          <cell r="E100" t="str">
            <v>N</v>
          </cell>
          <cell r="F100" t="str">
            <v>Y</v>
          </cell>
          <cell r="H100" t="str">
            <v>MQ</v>
          </cell>
          <cell r="I100" t="str">
            <v>N</v>
          </cell>
          <cell r="J100" t="str">
            <v>08XXX</v>
          </cell>
          <cell r="K100" t="str">
            <v>0</v>
          </cell>
          <cell r="L100" t="str">
            <v>N</v>
          </cell>
          <cell r="M100" t="str">
            <v>0</v>
          </cell>
          <cell r="N100" t="b">
            <v>1</v>
          </cell>
          <cell r="S100" t="str">
            <v>Mining &amp; Quarrying</v>
          </cell>
        </row>
        <row r="101">
          <cell r="C101" t="str">
            <v>1481</v>
          </cell>
          <cell r="D101" t="str">
            <v>Nonmetallic minerals services</v>
          </cell>
          <cell r="E101" t="str">
            <v>N</v>
          </cell>
          <cell r="F101" t="str">
            <v>Y</v>
          </cell>
          <cell r="H101" t="str">
            <v>MQ</v>
          </cell>
          <cell r="I101" t="str">
            <v>N</v>
          </cell>
          <cell r="J101" t="str">
            <v>08XXX</v>
          </cell>
          <cell r="K101" t="str">
            <v>0</v>
          </cell>
          <cell r="L101" t="str">
            <v>N</v>
          </cell>
          <cell r="M101" t="str">
            <v>0</v>
          </cell>
          <cell r="N101" t="b">
            <v>1</v>
          </cell>
          <cell r="S101" t="str">
            <v>Mining &amp; Quarrying</v>
          </cell>
        </row>
        <row r="102">
          <cell r="C102" t="str">
            <v>08XXX</v>
          </cell>
          <cell r="D102" t="str">
            <v>Salt Mining</v>
          </cell>
          <cell r="E102" t="str">
            <v>N</v>
          </cell>
          <cell r="F102" t="str">
            <v>Y</v>
          </cell>
          <cell r="H102" t="str">
            <v>MQ</v>
          </cell>
          <cell r="I102" t="str">
            <v>N</v>
          </cell>
          <cell r="J102" t="str">
            <v>08XXX</v>
          </cell>
          <cell r="K102" t="str">
            <v>0</v>
          </cell>
          <cell r="L102" t="str">
            <v>N</v>
          </cell>
          <cell r="M102" t="str">
            <v>0</v>
          </cell>
          <cell r="N102" t="b">
            <v>1</v>
          </cell>
          <cell r="S102" t="str">
            <v>Mining &amp; Quarrying</v>
          </cell>
        </row>
        <row r="103">
          <cell r="C103" t="str">
            <v>1475</v>
          </cell>
          <cell r="D103" t="str">
            <v>Phosphate rock</v>
          </cell>
          <cell r="E103" t="str">
            <v>N</v>
          </cell>
          <cell r="F103" t="str">
            <v>Y</v>
          </cell>
          <cell r="H103" t="str">
            <v>MQ</v>
          </cell>
          <cell r="I103" t="str">
            <v>N</v>
          </cell>
          <cell r="J103" t="str">
            <v>08XXX</v>
          </cell>
          <cell r="K103" t="str">
            <v>0</v>
          </cell>
          <cell r="L103" t="str">
            <v>N</v>
          </cell>
          <cell r="M103" t="str">
            <v>0</v>
          </cell>
          <cell r="N103" t="b">
            <v>1</v>
          </cell>
          <cell r="S103" t="str">
            <v>Mining &amp; Quarrying</v>
          </cell>
        </row>
        <row r="104">
          <cell r="C104" t="str">
            <v>1474</v>
          </cell>
          <cell r="D104" t="str">
            <v>Potash, soda, and borate minerals</v>
          </cell>
          <cell r="E104" t="str">
            <v>N</v>
          </cell>
          <cell r="F104" t="str">
            <v>Y</v>
          </cell>
          <cell r="H104" t="str">
            <v>MQ</v>
          </cell>
          <cell r="I104" t="str">
            <v>N</v>
          </cell>
          <cell r="J104" t="str">
            <v>08XXX</v>
          </cell>
          <cell r="K104" t="str">
            <v>0</v>
          </cell>
          <cell r="L104" t="str">
            <v>N</v>
          </cell>
          <cell r="M104" t="str">
            <v>0</v>
          </cell>
          <cell r="N104" t="b">
            <v>1</v>
          </cell>
          <cell r="S104" t="str">
            <v>Mining &amp; Quarrying</v>
          </cell>
        </row>
        <row r="105">
          <cell r="C105" t="str">
            <v>1411</v>
          </cell>
          <cell r="D105" t="str">
            <v>Dimension stone</v>
          </cell>
          <cell r="E105" t="str">
            <v>N</v>
          </cell>
          <cell r="F105" t="str">
            <v>Y</v>
          </cell>
          <cell r="H105" t="str">
            <v>MQ</v>
          </cell>
          <cell r="I105" t="str">
            <v>N</v>
          </cell>
          <cell r="J105" t="str">
            <v>08XXX</v>
          </cell>
          <cell r="K105" t="str">
            <v>0</v>
          </cell>
          <cell r="L105" t="str">
            <v>N</v>
          </cell>
          <cell r="M105" t="str">
            <v>0</v>
          </cell>
          <cell r="N105" t="b">
            <v>1</v>
          </cell>
          <cell r="S105" t="str">
            <v>Mining &amp; Quarrying</v>
          </cell>
        </row>
        <row r="106">
          <cell r="C106" t="str">
            <v>1422</v>
          </cell>
          <cell r="D106" t="str">
            <v>Crushed and broken limestone</v>
          </cell>
          <cell r="E106" t="str">
            <v>N</v>
          </cell>
          <cell r="F106" t="str">
            <v>Y</v>
          </cell>
          <cell r="H106" t="str">
            <v>MQ</v>
          </cell>
          <cell r="I106" t="str">
            <v>N</v>
          </cell>
          <cell r="J106" t="str">
            <v>08XXX</v>
          </cell>
          <cell r="K106" t="str">
            <v>0</v>
          </cell>
          <cell r="L106" t="str">
            <v>N</v>
          </cell>
          <cell r="M106" t="str">
            <v>0</v>
          </cell>
          <cell r="N106" t="b">
            <v>1</v>
          </cell>
          <cell r="S106" t="str">
            <v>Mining &amp; Quarrying</v>
          </cell>
        </row>
        <row r="107">
          <cell r="C107" t="str">
            <v>1499</v>
          </cell>
          <cell r="D107" t="str">
            <v>Miscellaneous nonmetallic minerals</v>
          </cell>
          <cell r="E107" t="str">
            <v>N</v>
          </cell>
          <cell r="F107" t="str">
            <v>Y</v>
          </cell>
          <cell r="H107" t="str">
            <v>MQ</v>
          </cell>
          <cell r="I107" t="str">
            <v>N</v>
          </cell>
          <cell r="J107" t="str">
            <v>08XXX</v>
          </cell>
          <cell r="K107" t="str">
            <v>0</v>
          </cell>
          <cell r="L107" t="str">
            <v>N</v>
          </cell>
          <cell r="M107" t="str">
            <v>0</v>
          </cell>
          <cell r="N107" t="b">
            <v>1</v>
          </cell>
          <cell r="S107" t="str">
            <v>Mining &amp; Quarrying</v>
          </cell>
        </row>
        <row r="108">
          <cell r="C108" t="str">
            <v>1381</v>
          </cell>
          <cell r="D108" t="str">
            <v>Drilling oil and gas wells</v>
          </cell>
          <cell r="E108" t="str">
            <v>N</v>
          </cell>
          <cell r="F108" t="str">
            <v>Y</v>
          </cell>
          <cell r="H108" t="str">
            <v>MQ</v>
          </cell>
          <cell r="I108" t="str">
            <v>N</v>
          </cell>
          <cell r="J108" t="str">
            <v>0910X</v>
          </cell>
          <cell r="K108" t="str">
            <v>0</v>
          </cell>
          <cell r="L108" t="str">
            <v>N</v>
          </cell>
          <cell r="M108" t="str">
            <v>0</v>
          </cell>
          <cell r="N108" t="b">
            <v>1</v>
          </cell>
          <cell r="S108" t="str">
            <v>Mining &amp; Quarrying</v>
          </cell>
        </row>
        <row r="109">
          <cell r="C109" t="str">
            <v>1389</v>
          </cell>
          <cell r="D109" t="str">
            <v>Oil and gas field services</v>
          </cell>
          <cell r="E109" t="str">
            <v>N</v>
          </cell>
          <cell r="F109" t="str">
            <v>Y</v>
          </cell>
          <cell r="H109" t="str">
            <v>MQ</v>
          </cell>
          <cell r="I109" t="str">
            <v>N</v>
          </cell>
          <cell r="J109" t="str">
            <v>0910X</v>
          </cell>
          <cell r="K109" t="str">
            <v>0</v>
          </cell>
          <cell r="L109" t="str">
            <v>N</v>
          </cell>
          <cell r="M109" t="str">
            <v>0</v>
          </cell>
          <cell r="N109" t="b">
            <v>1</v>
          </cell>
          <cell r="S109" t="str">
            <v>Mining &amp; Quarrying</v>
          </cell>
        </row>
        <row r="110">
          <cell r="C110" t="str">
            <v>1382</v>
          </cell>
          <cell r="D110" t="str">
            <v>Oil and gas exploration services</v>
          </cell>
          <cell r="E110" t="str">
            <v>N</v>
          </cell>
          <cell r="F110" t="str">
            <v>Y</v>
          </cell>
          <cell r="H110" t="str">
            <v>MQ</v>
          </cell>
          <cell r="I110" t="str">
            <v>N</v>
          </cell>
          <cell r="J110" t="str">
            <v>0910X</v>
          </cell>
          <cell r="K110" t="str">
            <v>0</v>
          </cell>
          <cell r="L110" t="str">
            <v>N</v>
          </cell>
          <cell r="M110" t="str">
            <v>0</v>
          </cell>
          <cell r="N110" t="b">
            <v>1</v>
          </cell>
          <cell r="S110" t="str">
            <v>Mining &amp; Quarrying</v>
          </cell>
        </row>
        <row r="111">
          <cell r="C111" t="str">
            <v>09900</v>
          </cell>
          <cell r="D111" t="str">
            <v>Support activities for other mining and quarrying</v>
          </cell>
          <cell r="E111" t="str">
            <v>N</v>
          </cell>
          <cell r="F111" t="str">
            <v>Y</v>
          </cell>
          <cell r="H111" t="str">
            <v>MQ</v>
          </cell>
          <cell r="I111" t="str">
            <v>N</v>
          </cell>
          <cell r="J111" t="str">
            <v>09900</v>
          </cell>
          <cell r="K111" t="str">
            <v>0</v>
          </cell>
          <cell r="L111" t="str">
            <v>N</v>
          </cell>
          <cell r="M111" t="str">
            <v>0</v>
          </cell>
          <cell r="N111" t="b">
            <v>1</v>
          </cell>
          <cell r="S111" t="str">
            <v>Mining &amp; Quarrying</v>
          </cell>
        </row>
        <row r="112">
          <cell r="C112" t="str">
            <v>2013</v>
          </cell>
          <cell r="D112" t="str">
            <v>Sausages and Other Prepared Meat Products</v>
          </cell>
          <cell r="E112" t="str">
            <v>T</v>
          </cell>
          <cell r="F112" t="str">
            <v>Y</v>
          </cell>
          <cell r="H112" t="str">
            <v>MA</v>
          </cell>
          <cell r="I112" t="str">
            <v>N</v>
          </cell>
          <cell r="J112" t="str">
            <v>1010X</v>
          </cell>
          <cell r="K112" t="str">
            <v>12</v>
          </cell>
          <cell r="L112" t="str">
            <v>T</v>
          </cell>
          <cell r="M112" t="str">
            <v>12</v>
          </cell>
          <cell r="N112" t="b">
            <v>1</v>
          </cell>
          <cell r="S112" t="str">
            <v>Manufacture of F&amp;B products</v>
          </cell>
        </row>
        <row r="113">
          <cell r="C113" t="str">
            <v>2015</v>
          </cell>
          <cell r="D113" t="str">
            <v>Poultry Slaughtering and Processing</v>
          </cell>
          <cell r="E113" t="str">
            <v>T</v>
          </cell>
          <cell r="F113" t="str">
            <v>Y</v>
          </cell>
          <cell r="H113" t="str">
            <v>MA</v>
          </cell>
          <cell r="I113" t="str">
            <v>N</v>
          </cell>
          <cell r="J113" t="str">
            <v>1010X</v>
          </cell>
          <cell r="K113" t="str">
            <v>12</v>
          </cell>
          <cell r="L113" t="str">
            <v>T</v>
          </cell>
          <cell r="M113" t="str">
            <v>12</v>
          </cell>
          <cell r="N113" t="b">
            <v>1</v>
          </cell>
          <cell r="S113" t="str">
            <v>Manufacture of F&amp;B products</v>
          </cell>
        </row>
        <row r="114">
          <cell r="C114" t="str">
            <v>2011</v>
          </cell>
          <cell r="D114" t="str">
            <v>Meat Packing Plants</v>
          </cell>
          <cell r="E114" t="str">
            <v>T</v>
          </cell>
          <cell r="F114" t="str">
            <v>Y</v>
          </cell>
          <cell r="H114" t="str">
            <v>MA</v>
          </cell>
          <cell r="I114" t="str">
            <v>N</v>
          </cell>
          <cell r="J114" t="str">
            <v>1010X</v>
          </cell>
          <cell r="K114" t="str">
            <v>12</v>
          </cell>
          <cell r="L114" t="str">
            <v>T</v>
          </cell>
          <cell r="M114" t="str">
            <v>12</v>
          </cell>
          <cell r="N114" t="b">
            <v>1</v>
          </cell>
          <cell r="S114" t="str">
            <v>Manufacture of F&amp;B products</v>
          </cell>
        </row>
        <row r="115">
          <cell r="C115" t="str">
            <v>2038</v>
          </cell>
          <cell r="D115" t="str">
            <v>Frozen Specialties, N.E.C.</v>
          </cell>
          <cell r="E115" t="str">
            <v>T</v>
          </cell>
          <cell r="F115" t="str">
            <v>Y</v>
          </cell>
          <cell r="H115" t="str">
            <v>MA</v>
          </cell>
          <cell r="I115" t="str">
            <v>N</v>
          </cell>
          <cell r="J115" t="str">
            <v>1010X</v>
          </cell>
          <cell r="K115" t="str">
            <v>12</v>
          </cell>
          <cell r="L115" t="str">
            <v>T</v>
          </cell>
          <cell r="M115" t="str">
            <v>12</v>
          </cell>
          <cell r="N115" t="b">
            <v>1</v>
          </cell>
          <cell r="S115" t="str">
            <v>Manufacture of F&amp;B products</v>
          </cell>
        </row>
        <row r="116">
          <cell r="C116" t="str">
            <v>2092</v>
          </cell>
          <cell r="D116" t="str">
            <v>Prepared Fresh or Frozen Fish and Seafoods</v>
          </cell>
          <cell r="E116" t="str">
            <v>T</v>
          </cell>
          <cell r="F116" t="str">
            <v>Y</v>
          </cell>
          <cell r="H116" t="str">
            <v>MA</v>
          </cell>
          <cell r="I116" t="str">
            <v>N</v>
          </cell>
          <cell r="J116" t="str">
            <v>1020X</v>
          </cell>
          <cell r="K116" t="str">
            <v>12</v>
          </cell>
          <cell r="L116" t="str">
            <v>T</v>
          </cell>
          <cell r="M116" t="str">
            <v>12</v>
          </cell>
          <cell r="N116" t="b">
            <v>1</v>
          </cell>
          <cell r="S116" t="str">
            <v>Manufacture of F&amp;B products</v>
          </cell>
        </row>
        <row r="117">
          <cell r="C117" t="str">
            <v>2091</v>
          </cell>
          <cell r="D117" t="str">
            <v>Canned and Cured Fish and Seafoods</v>
          </cell>
          <cell r="E117" t="str">
            <v>T</v>
          </cell>
          <cell r="F117" t="str">
            <v>Y</v>
          </cell>
          <cell r="H117" t="str">
            <v>MA</v>
          </cell>
          <cell r="I117" t="str">
            <v>N</v>
          </cell>
          <cell r="J117" t="str">
            <v>1020X</v>
          </cell>
          <cell r="K117" t="str">
            <v>12</v>
          </cell>
          <cell r="L117" t="str">
            <v>T</v>
          </cell>
          <cell r="M117" t="str">
            <v>12</v>
          </cell>
          <cell r="N117" t="b">
            <v>1</v>
          </cell>
          <cell r="S117" t="str">
            <v>Manufacture of F&amp;B products</v>
          </cell>
        </row>
        <row r="118">
          <cell r="C118" t="str">
            <v>2033</v>
          </cell>
          <cell r="D118" t="str">
            <v>Canned Fruits, Vegetables, Preserves, Jams, and Jellies</v>
          </cell>
          <cell r="E118" t="str">
            <v>T</v>
          </cell>
          <cell r="F118" t="str">
            <v>Y</v>
          </cell>
          <cell r="H118" t="str">
            <v>MA</v>
          </cell>
          <cell r="I118" t="str">
            <v>N</v>
          </cell>
          <cell r="J118" t="str">
            <v>1030X</v>
          </cell>
          <cell r="K118" t="str">
            <v>12</v>
          </cell>
          <cell r="L118" t="str">
            <v>T</v>
          </cell>
          <cell r="M118" t="str">
            <v>12</v>
          </cell>
          <cell r="N118" t="b">
            <v>1</v>
          </cell>
          <cell r="S118" t="str">
            <v>Manufacture of F&amp;B products</v>
          </cell>
        </row>
        <row r="119">
          <cell r="C119" t="str">
            <v>2035</v>
          </cell>
          <cell r="D119" t="str">
            <v>Pickled Fruits and Vegetables, Vegetable Sauces and Seasonings, and Salad Dressings</v>
          </cell>
          <cell r="E119" t="str">
            <v>T</v>
          </cell>
          <cell r="F119" t="str">
            <v>Y</v>
          </cell>
          <cell r="H119" t="str">
            <v>MA</v>
          </cell>
          <cell r="I119" t="str">
            <v>N</v>
          </cell>
          <cell r="J119" t="str">
            <v>1030X</v>
          </cell>
          <cell r="K119" t="str">
            <v>12</v>
          </cell>
          <cell r="L119" t="str">
            <v>T</v>
          </cell>
          <cell r="M119" t="str">
            <v>12</v>
          </cell>
          <cell r="N119" t="b">
            <v>1</v>
          </cell>
          <cell r="S119" t="str">
            <v>Manufacture of F&amp;B products</v>
          </cell>
        </row>
        <row r="120">
          <cell r="C120" t="str">
            <v>2037</v>
          </cell>
          <cell r="D120" t="str">
            <v>Frozen Fruits, Fruit Juices, and Vegetables</v>
          </cell>
          <cell r="E120" t="str">
            <v>T</v>
          </cell>
          <cell r="F120" t="str">
            <v>Y</v>
          </cell>
          <cell r="H120" t="str">
            <v>MA</v>
          </cell>
          <cell r="I120" t="str">
            <v>N</v>
          </cell>
          <cell r="J120" t="str">
            <v>1030X</v>
          </cell>
          <cell r="K120" t="str">
            <v>12</v>
          </cell>
          <cell r="L120" t="str">
            <v>T</v>
          </cell>
          <cell r="M120" t="str">
            <v>12</v>
          </cell>
          <cell r="N120" t="b">
            <v>1</v>
          </cell>
          <cell r="S120" t="str">
            <v>Manufacture of F&amp;B products</v>
          </cell>
        </row>
        <row r="121">
          <cell r="C121" t="str">
            <v>2034</v>
          </cell>
          <cell r="D121" t="str">
            <v>Dried and Dehydrated Fruits, Vegetables, and Soup Mixes</v>
          </cell>
          <cell r="E121" t="str">
            <v>T</v>
          </cell>
          <cell r="F121" t="str">
            <v>Y</v>
          </cell>
          <cell r="H121" t="str">
            <v>MA</v>
          </cell>
          <cell r="I121" t="str">
            <v>N</v>
          </cell>
          <cell r="J121" t="str">
            <v>1030X</v>
          </cell>
          <cell r="K121" t="str">
            <v>12</v>
          </cell>
          <cell r="L121" t="str">
            <v>T</v>
          </cell>
          <cell r="M121" t="str">
            <v>12</v>
          </cell>
          <cell r="N121" t="b">
            <v>1</v>
          </cell>
          <cell r="S121" t="str">
            <v>Manufacture of F&amp;B products</v>
          </cell>
        </row>
        <row r="122">
          <cell r="C122" t="str">
            <v>10401</v>
          </cell>
          <cell r="D122" t="str">
            <v>Processing - Palm Oil - Edible</v>
          </cell>
          <cell r="E122" t="str">
            <v>T</v>
          </cell>
          <cell r="F122" t="str">
            <v>Y</v>
          </cell>
          <cell r="H122" t="str">
            <v>MA</v>
          </cell>
          <cell r="I122" t="str">
            <v>N</v>
          </cell>
          <cell r="J122" t="str">
            <v>10401</v>
          </cell>
          <cell r="K122" t="str">
            <v>12</v>
          </cell>
          <cell r="L122" t="str">
            <v>N</v>
          </cell>
          <cell r="M122" t="str">
            <v>0</v>
          </cell>
          <cell r="N122" t="b">
            <v>0</v>
          </cell>
          <cell r="R122" t="str">
            <v>Should it standardized the tagging?</v>
          </cell>
          <cell r="S122" t="str">
            <v>Manufacture of F&amp;B products</v>
          </cell>
        </row>
        <row r="123">
          <cell r="C123" t="str">
            <v>10403</v>
          </cell>
          <cell r="D123" t="str">
            <v>Processing - Palm Oil - Non-Edible</v>
          </cell>
          <cell r="E123" t="str">
            <v>T</v>
          </cell>
          <cell r="F123" t="str">
            <v>Y</v>
          </cell>
          <cell r="H123" t="str">
            <v>MA</v>
          </cell>
          <cell r="I123" t="str">
            <v>N</v>
          </cell>
          <cell r="J123" t="str">
            <v>10401</v>
          </cell>
          <cell r="K123" t="str">
            <v>12</v>
          </cell>
          <cell r="L123" t="str">
            <v>N</v>
          </cell>
          <cell r="M123" t="str">
            <v>0</v>
          </cell>
          <cell r="N123" t="b">
            <v>0</v>
          </cell>
          <cell r="R123" t="str">
            <v>Should it standardized the tagging?</v>
          </cell>
          <cell r="S123" t="str">
            <v>Manufacture of F&amp;B products</v>
          </cell>
        </row>
        <row r="124">
          <cell r="C124" t="str">
            <v>10402</v>
          </cell>
          <cell r="D124" t="str">
            <v>Manufacture of refined palm oil</v>
          </cell>
          <cell r="E124" t="str">
            <v>T</v>
          </cell>
          <cell r="F124" t="str">
            <v>Y</v>
          </cell>
          <cell r="H124" t="str">
            <v>MA</v>
          </cell>
          <cell r="I124" t="str">
            <v>N</v>
          </cell>
          <cell r="J124" t="str">
            <v>10402</v>
          </cell>
          <cell r="K124" t="str">
            <v>12</v>
          </cell>
          <cell r="L124" t="str">
            <v>N</v>
          </cell>
          <cell r="M124" t="str">
            <v>0</v>
          </cell>
          <cell r="N124" t="b">
            <v>0</v>
          </cell>
          <cell r="R124" t="str">
            <v>Should it standardized the tagging?</v>
          </cell>
          <cell r="S124" t="str">
            <v>Manufacture of chemicals related/ Coke &amp; refined petroleum products</v>
          </cell>
        </row>
        <row r="125">
          <cell r="C125" t="str">
            <v>2079</v>
          </cell>
          <cell r="D125" t="str">
            <v>Shortening, Table Oils, Margarine, and Other Edible Fats and Oils, N.E.C.</v>
          </cell>
          <cell r="E125" t="str">
            <v>T</v>
          </cell>
          <cell r="F125" t="str">
            <v>Y</v>
          </cell>
          <cell r="H125" t="str">
            <v>MA</v>
          </cell>
          <cell r="I125" t="str">
            <v>N</v>
          </cell>
          <cell r="J125" t="str">
            <v>10499</v>
          </cell>
          <cell r="K125" t="str">
            <v>12</v>
          </cell>
          <cell r="L125" t="str">
            <v>T</v>
          </cell>
          <cell r="M125" t="str">
            <v>12</v>
          </cell>
          <cell r="N125" t="b">
            <v>1</v>
          </cell>
          <cell r="S125" t="str">
            <v>Manufacture of F&amp;B products</v>
          </cell>
        </row>
        <row r="126">
          <cell r="C126" t="str">
            <v>2076</v>
          </cell>
          <cell r="D126" t="str">
            <v>Vegetable Oil Mills, Except Corn, Cottonseed, and Soybean</v>
          </cell>
          <cell r="E126" t="str">
            <v>T</v>
          </cell>
          <cell r="F126" t="str">
            <v>Y</v>
          </cell>
          <cell r="H126" t="str">
            <v>MA</v>
          </cell>
          <cell r="I126" t="str">
            <v>N</v>
          </cell>
          <cell r="J126" t="str">
            <v>10499</v>
          </cell>
          <cell r="K126" t="str">
            <v>12</v>
          </cell>
          <cell r="L126" t="str">
            <v>T</v>
          </cell>
          <cell r="M126" t="str">
            <v>12</v>
          </cell>
          <cell r="N126" t="b">
            <v>1</v>
          </cell>
          <cell r="S126" t="str">
            <v>Manufacture of F&amp;B products</v>
          </cell>
        </row>
        <row r="127">
          <cell r="C127" t="str">
            <v>2075</v>
          </cell>
          <cell r="D127" t="str">
            <v>Soybean Oil Mills</v>
          </cell>
          <cell r="E127" t="str">
            <v>T</v>
          </cell>
          <cell r="F127" t="str">
            <v>Y</v>
          </cell>
          <cell r="H127" t="str">
            <v>MA</v>
          </cell>
          <cell r="I127" t="str">
            <v>N</v>
          </cell>
          <cell r="J127" t="str">
            <v>10499</v>
          </cell>
          <cell r="K127" t="str">
            <v>12</v>
          </cell>
          <cell r="L127" t="str">
            <v>T</v>
          </cell>
          <cell r="M127" t="str">
            <v>12</v>
          </cell>
          <cell r="N127" t="b">
            <v>1</v>
          </cell>
          <cell r="S127" t="str">
            <v>Manufacture of F&amp;B products</v>
          </cell>
        </row>
        <row r="128">
          <cell r="C128" t="str">
            <v>2077</v>
          </cell>
          <cell r="D128" t="str">
            <v>Animal and Marine Fats and Oils</v>
          </cell>
          <cell r="E128" t="str">
            <v>T</v>
          </cell>
          <cell r="F128" t="str">
            <v>Y</v>
          </cell>
          <cell r="H128" t="str">
            <v>MA</v>
          </cell>
          <cell r="I128" t="str">
            <v>N</v>
          </cell>
          <cell r="J128" t="str">
            <v>10499</v>
          </cell>
          <cell r="K128" t="str">
            <v>12</v>
          </cell>
          <cell r="L128" t="str">
            <v>T</v>
          </cell>
          <cell r="M128" t="str">
            <v>12</v>
          </cell>
          <cell r="N128" t="b">
            <v>1</v>
          </cell>
          <cell r="S128" t="str">
            <v>Manufacture of F&amp;B products</v>
          </cell>
        </row>
        <row r="129">
          <cell r="C129" t="str">
            <v>2074</v>
          </cell>
          <cell r="D129" t="str">
            <v>Cottonseed Oil Mills</v>
          </cell>
          <cell r="E129" t="str">
            <v>T</v>
          </cell>
          <cell r="F129" t="str">
            <v>Y</v>
          </cell>
          <cell r="H129" t="str">
            <v>MA</v>
          </cell>
          <cell r="I129" t="str">
            <v>N</v>
          </cell>
          <cell r="J129" t="str">
            <v>10499</v>
          </cell>
          <cell r="K129" t="str">
            <v>12</v>
          </cell>
          <cell r="L129" t="str">
            <v>T</v>
          </cell>
          <cell r="M129" t="str">
            <v>12</v>
          </cell>
          <cell r="N129" t="b">
            <v>1</v>
          </cell>
          <cell r="S129" t="str">
            <v>Manufacture of F&amp;B products</v>
          </cell>
        </row>
        <row r="130">
          <cell r="C130" t="str">
            <v>2023</v>
          </cell>
          <cell r="D130" t="str">
            <v>Dry, Condensed, and Evaporated Dairy Products</v>
          </cell>
          <cell r="E130" t="str">
            <v>T</v>
          </cell>
          <cell r="F130" t="str">
            <v>Y</v>
          </cell>
          <cell r="H130" t="str">
            <v>MA</v>
          </cell>
          <cell r="I130" t="str">
            <v>N</v>
          </cell>
          <cell r="J130" t="str">
            <v>1050X</v>
          </cell>
          <cell r="K130" t="str">
            <v>12</v>
          </cell>
          <cell r="L130" t="str">
            <v>T</v>
          </cell>
          <cell r="M130" t="str">
            <v>12</v>
          </cell>
          <cell r="N130" t="b">
            <v>1</v>
          </cell>
          <cell r="S130" t="str">
            <v>Manufacture of F&amp;B products</v>
          </cell>
        </row>
        <row r="131">
          <cell r="C131" t="str">
            <v>2044</v>
          </cell>
          <cell r="D131" t="str">
            <v>Rice Milling</v>
          </cell>
          <cell r="E131" t="str">
            <v>T</v>
          </cell>
          <cell r="F131" t="str">
            <v>Y</v>
          </cell>
          <cell r="H131" t="str">
            <v>MA</v>
          </cell>
          <cell r="I131" t="str">
            <v>N</v>
          </cell>
          <cell r="J131" t="str">
            <v>106XX</v>
          </cell>
          <cell r="K131" t="str">
            <v>12</v>
          </cell>
          <cell r="L131" t="str">
            <v>T</v>
          </cell>
          <cell r="M131" t="str">
            <v>12</v>
          </cell>
          <cell r="N131" t="b">
            <v>1</v>
          </cell>
          <cell r="S131" t="str">
            <v>Manufacture of F&amp;B products</v>
          </cell>
        </row>
        <row r="132">
          <cell r="C132" t="str">
            <v>2046</v>
          </cell>
          <cell r="D132" t="str">
            <v>Wet Corn Milling</v>
          </cell>
          <cell r="E132" t="str">
            <v>T</v>
          </cell>
          <cell r="F132" t="str">
            <v>Y</v>
          </cell>
          <cell r="H132" t="str">
            <v>MA</v>
          </cell>
          <cell r="I132" t="str">
            <v>N</v>
          </cell>
          <cell r="J132" t="str">
            <v>106XX</v>
          </cell>
          <cell r="K132" t="str">
            <v>12</v>
          </cell>
          <cell r="L132" t="str">
            <v>T</v>
          </cell>
          <cell r="M132" t="str">
            <v>12</v>
          </cell>
          <cell r="N132" t="b">
            <v>1</v>
          </cell>
          <cell r="S132" t="str">
            <v>Manufacture of F&amp;B products</v>
          </cell>
        </row>
        <row r="133">
          <cell r="C133" t="str">
            <v>2041</v>
          </cell>
          <cell r="D133" t="str">
            <v>Flour and Other Grain Mill Products</v>
          </cell>
          <cell r="E133" t="str">
            <v>T</v>
          </cell>
          <cell r="F133" t="str">
            <v>Y</v>
          </cell>
          <cell r="H133" t="str">
            <v>MA</v>
          </cell>
          <cell r="I133" t="str">
            <v>N</v>
          </cell>
          <cell r="J133" t="str">
            <v>106XX</v>
          </cell>
          <cell r="K133" t="str">
            <v>12</v>
          </cell>
          <cell r="L133" t="str">
            <v>T</v>
          </cell>
          <cell r="M133" t="str">
            <v>12</v>
          </cell>
          <cell r="N133" t="b">
            <v>1</v>
          </cell>
          <cell r="S133" t="str">
            <v>Manufacture of F&amp;B products</v>
          </cell>
        </row>
        <row r="134">
          <cell r="C134" t="str">
            <v>2045</v>
          </cell>
          <cell r="D134" t="str">
            <v>Prepared Flour Mixes and Doughs</v>
          </cell>
          <cell r="E134" t="str">
            <v>T</v>
          </cell>
          <cell r="F134" t="str">
            <v>Y</v>
          </cell>
          <cell r="H134" t="str">
            <v>MA</v>
          </cell>
          <cell r="I134" t="str">
            <v>N</v>
          </cell>
          <cell r="J134" t="str">
            <v>106XX</v>
          </cell>
          <cell r="K134" t="str">
            <v>12</v>
          </cell>
          <cell r="L134" t="str">
            <v>T</v>
          </cell>
          <cell r="M134" t="str">
            <v>12</v>
          </cell>
          <cell r="N134" t="b">
            <v>1</v>
          </cell>
          <cell r="S134" t="str">
            <v>Manufacture of F&amp;B products</v>
          </cell>
        </row>
        <row r="135">
          <cell r="C135" t="str">
            <v>2052</v>
          </cell>
          <cell r="D135" t="str">
            <v>Cookies and Crackers</v>
          </cell>
          <cell r="E135" t="str">
            <v>T</v>
          </cell>
          <cell r="F135" t="str">
            <v>Y</v>
          </cell>
          <cell r="H135" t="str">
            <v>MA</v>
          </cell>
          <cell r="I135" t="str">
            <v>N</v>
          </cell>
          <cell r="J135" t="str">
            <v>107XX</v>
          </cell>
          <cell r="K135" t="str">
            <v>12</v>
          </cell>
          <cell r="L135" t="str">
            <v>T</v>
          </cell>
          <cell r="M135" t="str">
            <v>12</v>
          </cell>
          <cell r="N135" t="b">
            <v>1</v>
          </cell>
          <cell r="S135" t="str">
            <v>Manufacture of F&amp;B products</v>
          </cell>
        </row>
        <row r="136">
          <cell r="C136" t="str">
            <v>2051</v>
          </cell>
          <cell r="D136" t="str">
            <v>Bread and Other Bakery Products, Except Cookies and Crackers</v>
          </cell>
          <cell r="E136" t="str">
            <v>T</v>
          </cell>
          <cell r="F136" t="str">
            <v>Y</v>
          </cell>
          <cell r="H136" t="str">
            <v>MA</v>
          </cell>
          <cell r="I136" t="str">
            <v>N</v>
          </cell>
          <cell r="J136" t="str">
            <v>107XX</v>
          </cell>
          <cell r="K136" t="str">
            <v>12</v>
          </cell>
          <cell r="L136" t="str">
            <v>T</v>
          </cell>
          <cell r="M136" t="str">
            <v>12</v>
          </cell>
          <cell r="N136" t="b">
            <v>1</v>
          </cell>
          <cell r="S136" t="str">
            <v>Manufacture of F&amp;B products</v>
          </cell>
        </row>
        <row r="137">
          <cell r="C137" t="str">
            <v>2062</v>
          </cell>
          <cell r="D137" t="str">
            <v>Cane Sugar Refining</v>
          </cell>
          <cell r="E137" t="str">
            <v>T</v>
          </cell>
          <cell r="F137" t="str">
            <v>Y</v>
          </cell>
          <cell r="H137" t="str">
            <v>MA</v>
          </cell>
          <cell r="I137" t="str">
            <v>N</v>
          </cell>
          <cell r="J137" t="str">
            <v>107XX</v>
          </cell>
          <cell r="K137" t="str">
            <v>12</v>
          </cell>
          <cell r="L137" t="str">
            <v>T</v>
          </cell>
          <cell r="M137" t="str">
            <v>12</v>
          </cell>
          <cell r="N137" t="b">
            <v>1</v>
          </cell>
          <cell r="S137" t="str">
            <v>Manufacture of F&amp;B products</v>
          </cell>
        </row>
        <row r="138">
          <cell r="C138" t="str">
            <v>2061</v>
          </cell>
          <cell r="D138" t="str">
            <v>Cane Sugar, Except Refining</v>
          </cell>
          <cell r="E138" t="str">
            <v>T</v>
          </cell>
          <cell r="F138" t="str">
            <v>Y</v>
          </cell>
          <cell r="H138" t="str">
            <v>MA</v>
          </cell>
          <cell r="I138" t="str">
            <v>N</v>
          </cell>
          <cell r="J138" t="str">
            <v>107XX</v>
          </cell>
          <cell r="K138" t="str">
            <v>12</v>
          </cell>
          <cell r="L138" t="str">
            <v>T</v>
          </cell>
          <cell r="M138" t="str">
            <v>12</v>
          </cell>
          <cell r="N138" t="b">
            <v>1</v>
          </cell>
          <cell r="S138" t="str">
            <v>Manufacture of F&amp;B products</v>
          </cell>
        </row>
        <row r="139">
          <cell r="C139" t="str">
            <v>2063</v>
          </cell>
          <cell r="D139" t="str">
            <v>Beet Sugar</v>
          </cell>
          <cell r="E139" t="str">
            <v>T</v>
          </cell>
          <cell r="F139" t="str">
            <v>Y</v>
          </cell>
          <cell r="H139" t="str">
            <v>MA</v>
          </cell>
          <cell r="I139" t="str">
            <v>N</v>
          </cell>
          <cell r="J139" t="str">
            <v>107XX</v>
          </cell>
          <cell r="K139" t="str">
            <v>12</v>
          </cell>
          <cell r="L139" t="str">
            <v>T</v>
          </cell>
          <cell r="M139" t="str">
            <v>12</v>
          </cell>
          <cell r="N139" t="b">
            <v>1</v>
          </cell>
          <cell r="S139" t="str">
            <v>Manufacture of F&amp;B products</v>
          </cell>
        </row>
        <row r="140">
          <cell r="C140" t="str">
            <v>2064</v>
          </cell>
          <cell r="D140" t="str">
            <v>Candy and Other Confectionery Products</v>
          </cell>
          <cell r="E140" t="str">
            <v>T</v>
          </cell>
          <cell r="F140" t="str">
            <v>Y</v>
          </cell>
          <cell r="H140" t="str">
            <v>MA</v>
          </cell>
          <cell r="I140" t="str">
            <v>N</v>
          </cell>
          <cell r="J140" t="str">
            <v>107XX</v>
          </cell>
          <cell r="K140" t="str">
            <v>12</v>
          </cell>
          <cell r="L140" t="str">
            <v>T</v>
          </cell>
          <cell r="M140" t="str">
            <v>12</v>
          </cell>
          <cell r="N140" t="b">
            <v>1</v>
          </cell>
          <cell r="S140" t="str">
            <v>Manufacture of F&amp;B products</v>
          </cell>
        </row>
        <row r="141">
          <cell r="C141" t="str">
            <v>2066</v>
          </cell>
          <cell r="D141" t="str">
            <v>Chocolate and Cocoa Products</v>
          </cell>
          <cell r="E141" t="str">
            <v>T</v>
          </cell>
          <cell r="F141" t="str">
            <v>Y</v>
          </cell>
          <cell r="H141" t="str">
            <v>MA</v>
          </cell>
          <cell r="I141" t="str">
            <v>N</v>
          </cell>
          <cell r="J141" t="str">
            <v>107XX</v>
          </cell>
          <cell r="K141" t="str">
            <v>12</v>
          </cell>
          <cell r="L141" t="str">
            <v>T</v>
          </cell>
          <cell r="M141" t="str">
            <v>12</v>
          </cell>
          <cell r="N141" t="b">
            <v>1</v>
          </cell>
          <cell r="S141" t="str">
            <v>Manufacture of F&amp;B products</v>
          </cell>
        </row>
        <row r="142">
          <cell r="C142" t="str">
            <v>2099</v>
          </cell>
          <cell r="D142" t="str">
            <v>Food Preparations, N.E.C.</v>
          </cell>
          <cell r="E142" t="str">
            <v>T</v>
          </cell>
          <cell r="F142" t="str">
            <v>Y</v>
          </cell>
          <cell r="H142" t="str">
            <v>MA</v>
          </cell>
          <cell r="I142" t="str">
            <v>N</v>
          </cell>
          <cell r="J142" t="str">
            <v>107XX</v>
          </cell>
          <cell r="K142" t="str">
            <v>12</v>
          </cell>
          <cell r="L142" t="str">
            <v>T</v>
          </cell>
          <cell r="M142" t="str">
            <v>12</v>
          </cell>
          <cell r="N142" t="b">
            <v>1</v>
          </cell>
          <cell r="S142" t="str">
            <v>Manufacture of F&amp;B products</v>
          </cell>
        </row>
        <row r="143">
          <cell r="C143" t="str">
            <v>2098</v>
          </cell>
          <cell r="D143" t="str">
            <v>Macaroni, Spaghetti, Vermicelli, and Noodles</v>
          </cell>
          <cell r="E143" t="str">
            <v>T</v>
          </cell>
          <cell r="F143" t="str">
            <v>Y</v>
          </cell>
          <cell r="H143" t="str">
            <v>MA</v>
          </cell>
          <cell r="I143" t="str">
            <v>N</v>
          </cell>
          <cell r="J143" t="str">
            <v>107XX</v>
          </cell>
          <cell r="K143" t="str">
            <v>12</v>
          </cell>
          <cell r="L143" t="str">
            <v>T</v>
          </cell>
          <cell r="M143" t="str">
            <v>12</v>
          </cell>
          <cell r="N143" t="b">
            <v>1</v>
          </cell>
          <cell r="S143" t="str">
            <v>Manufacture of F&amp;B products</v>
          </cell>
        </row>
        <row r="144">
          <cell r="C144" t="str">
            <v>2053</v>
          </cell>
          <cell r="D144" t="str">
            <v>Frozen Bakery Products, Except Bread</v>
          </cell>
          <cell r="E144" t="str">
            <v>T</v>
          </cell>
          <cell r="F144" t="str">
            <v>Y</v>
          </cell>
          <cell r="H144" t="str">
            <v>MA</v>
          </cell>
          <cell r="I144" t="str">
            <v>N</v>
          </cell>
          <cell r="J144" t="str">
            <v>107XX</v>
          </cell>
          <cell r="K144" t="str">
            <v>12</v>
          </cell>
          <cell r="L144" t="str">
            <v>T</v>
          </cell>
          <cell r="M144" t="str">
            <v>12</v>
          </cell>
          <cell r="N144" t="b">
            <v>1</v>
          </cell>
          <cell r="S144" t="str">
            <v>Manufacture of F&amp;B products</v>
          </cell>
        </row>
        <row r="145">
          <cell r="C145" t="str">
            <v>2097</v>
          </cell>
          <cell r="D145" t="str">
            <v>Manufactured Ice</v>
          </cell>
          <cell r="E145" t="str">
            <v>T</v>
          </cell>
          <cell r="F145" t="str">
            <v>Y</v>
          </cell>
          <cell r="H145" t="str">
            <v>MA</v>
          </cell>
          <cell r="I145" t="str">
            <v>N</v>
          </cell>
          <cell r="J145" t="str">
            <v>107XX</v>
          </cell>
          <cell r="K145" t="str">
            <v>12</v>
          </cell>
          <cell r="L145" t="str">
            <v>T</v>
          </cell>
          <cell r="M145" t="str">
            <v>12</v>
          </cell>
          <cell r="N145" t="b">
            <v>1</v>
          </cell>
          <cell r="S145" t="str">
            <v>Manufacture of F&amp;B products</v>
          </cell>
        </row>
        <row r="146">
          <cell r="C146" t="str">
            <v>2095</v>
          </cell>
          <cell r="D146" t="str">
            <v>Roasted Coffee</v>
          </cell>
          <cell r="E146" t="str">
            <v>T</v>
          </cell>
          <cell r="F146" t="str">
            <v>Y</v>
          </cell>
          <cell r="H146" t="str">
            <v>MA</v>
          </cell>
          <cell r="I146" t="str">
            <v>N</v>
          </cell>
          <cell r="J146" t="str">
            <v>107XX</v>
          </cell>
          <cell r="K146" t="str">
            <v>12</v>
          </cell>
          <cell r="L146" t="str">
            <v>T</v>
          </cell>
          <cell r="M146" t="str">
            <v>12</v>
          </cell>
          <cell r="N146" t="b">
            <v>1</v>
          </cell>
          <cell r="S146" t="str">
            <v>Manufacture of F&amp;B products</v>
          </cell>
        </row>
        <row r="147">
          <cell r="C147" t="str">
            <v>2096</v>
          </cell>
          <cell r="D147" t="str">
            <v>Potato Chips, Corn Chips, and Similar Snacks</v>
          </cell>
          <cell r="E147" t="str">
            <v>T</v>
          </cell>
          <cell r="F147" t="str">
            <v>Y</v>
          </cell>
          <cell r="H147" t="str">
            <v>MA</v>
          </cell>
          <cell r="I147" t="str">
            <v>N</v>
          </cell>
          <cell r="J147" t="str">
            <v>107XX</v>
          </cell>
          <cell r="K147" t="str">
            <v>12</v>
          </cell>
          <cell r="L147" t="str">
            <v>T</v>
          </cell>
          <cell r="M147" t="str">
            <v>12</v>
          </cell>
          <cell r="N147" t="b">
            <v>1</v>
          </cell>
          <cell r="S147" t="str">
            <v>Manufacture of F&amp;B products</v>
          </cell>
        </row>
        <row r="148">
          <cell r="C148" t="str">
            <v>2067</v>
          </cell>
          <cell r="D148" t="str">
            <v>Chewing Gum</v>
          </cell>
          <cell r="E148" t="str">
            <v>T</v>
          </cell>
          <cell r="F148" t="str">
            <v>Y</v>
          </cell>
          <cell r="H148" t="str">
            <v>MA</v>
          </cell>
          <cell r="I148" t="str">
            <v>N</v>
          </cell>
          <cell r="J148" t="str">
            <v>107XX</v>
          </cell>
          <cell r="K148" t="str">
            <v>12</v>
          </cell>
          <cell r="L148" t="str">
            <v>T</v>
          </cell>
          <cell r="M148" t="str">
            <v>12</v>
          </cell>
          <cell r="N148" t="b">
            <v>1</v>
          </cell>
          <cell r="S148" t="str">
            <v>Manufacture of F&amp;B products</v>
          </cell>
        </row>
        <row r="149">
          <cell r="C149" t="str">
            <v>2068</v>
          </cell>
          <cell r="D149" t="str">
            <v>Salted and Roasted Nuts and Seeds</v>
          </cell>
          <cell r="E149" t="str">
            <v>T</v>
          </cell>
          <cell r="F149" t="str">
            <v>Y</v>
          </cell>
          <cell r="H149" t="str">
            <v>MA</v>
          </cell>
          <cell r="I149" t="str">
            <v>N</v>
          </cell>
          <cell r="J149" t="str">
            <v>107XX</v>
          </cell>
          <cell r="K149" t="str">
            <v>12</v>
          </cell>
          <cell r="L149" t="str">
            <v>T</v>
          </cell>
          <cell r="M149" t="str">
            <v>12</v>
          </cell>
          <cell r="N149" t="b">
            <v>1</v>
          </cell>
          <cell r="S149" t="str">
            <v>Manufacture of F&amp;B products</v>
          </cell>
        </row>
        <row r="150">
          <cell r="C150" t="str">
            <v>2043</v>
          </cell>
          <cell r="D150" t="str">
            <v>Cereal Breakfast Foods</v>
          </cell>
          <cell r="E150" t="str">
            <v>T</v>
          </cell>
          <cell r="F150" t="str">
            <v>Y</v>
          </cell>
          <cell r="H150" t="str">
            <v>MA</v>
          </cell>
          <cell r="I150" t="str">
            <v>N</v>
          </cell>
          <cell r="J150" t="str">
            <v>107XX</v>
          </cell>
          <cell r="K150" t="str">
            <v>12</v>
          </cell>
          <cell r="L150" t="str">
            <v>T</v>
          </cell>
          <cell r="M150" t="str">
            <v>12</v>
          </cell>
          <cell r="N150" t="b">
            <v>1</v>
          </cell>
          <cell r="S150" t="str">
            <v>Manufacture of F&amp;B products</v>
          </cell>
        </row>
        <row r="151">
          <cell r="C151" t="str">
            <v>2047</v>
          </cell>
          <cell r="D151" t="str">
            <v>Dog and Cat Food</v>
          </cell>
          <cell r="E151" t="str">
            <v>T</v>
          </cell>
          <cell r="F151" t="str">
            <v>Y</v>
          </cell>
          <cell r="H151" t="str">
            <v>MA</v>
          </cell>
          <cell r="I151" t="str">
            <v>N</v>
          </cell>
          <cell r="J151" t="str">
            <v>10800</v>
          </cell>
          <cell r="K151" t="str">
            <v>12</v>
          </cell>
          <cell r="L151" t="str">
            <v>T</v>
          </cell>
          <cell r="M151" t="str">
            <v>12</v>
          </cell>
          <cell r="N151" t="b">
            <v>1</v>
          </cell>
          <cell r="S151" t="str">
            <v>Manufacture of F&amp;B products</v>
          </cell>
        </row>
        <row r="152">
          <cell r="C152" t="str">
            <v>2048</v>
          </cell>
          <cell r="D152" t="str">
            <v>Prepared Feeds and Feed Ingredients for Animals and Fowls, Except Dogs and Cats</v>
          </cell>
          <cell r="E152" t="str">
            <v>T</v>
          </cell>
          <cell r="F152" t="str">
            <v>Y</v>
          </cell>
          <cell r="H152" t="str">
            <v>MA</v>
          </cell>
          <cell r="I152" t="str">
            <v>N</v>
          </cell>
          <cell r="J152" t="str">
            <v>10800</v>
          </cell>
          <cell r="K152" t="str">
            <v>12</v>
          </cell>
          <cell r="L152" t="str">
            <v>T</v>
          </cell>
          <cell r="M152" t="str">
            <v>12</v>
          </cell>
          <cell r="N152" t="b">
            <v>1</v>
          </cell>
          <cell r="S152" t="str">
            <v>Manufacture of F&amp;B products</v>
          </cell>
        </row>
        <row r="153">
          <cell r="C153" t="str">
            <v>2085</v>
          </cell>
          <cell r="D153" t="str">
            <v>Distilled and Blended Liquors</v>
          </cell>
          <cell r="E153" t="str">
            <v>T</v>
          </cell>
          <cell r="F153" t="str">
            <v>N</v>
          </cell>
          <cell r="H153" t="str">
            <v>MA</v>
          </cell>
          <cell r="I153" t="str">
            <v>N</v>
          </cell>
          <cell r="J153" t="str">
            <v>110XX</v>
          </cell>
          <cell r="K153" t="str">
            <v>12</v>
          </cell>
          <cell r="L153" t="str">
            <v>T</v>
          </cell>
          <cell r="M153" t="str">
            <v>12</v>
          </cell>
          <cell r="N153" t="b">
            <v>1</v>
          </cell>
          <cell r="S153" t="str">
            <v>Manufacture of F&amp;B products</v>
          </cell>
        </row>
        <row r="154">
          <cell r="C154" t="str">
            <v>2084</v>
          </cell>
          <cell r="D154" t="str">
            <v>Wines, Brandy, and Brandy Spirits</v>
          </cell>
          <cell r="E154" t="str">
            <v>T</v>
          </cell>
          <cell r="F154" t="str">
            <v>N</v>
          </cell>
          <cell r="H154" t="str">
            <v>MA</v>
          </cell>
          <cell r="I154" t="str">
            <v>N</v>
          </cell>
          <cell r="J154" t="str">
            <v>110XX</v>
          </cell>
          <cell r="K154" t="str">
            <v>12</v>
          </cell>
          <cell r="L154" t="str">
            <v>T</v>
          </cell>
          <cell r="M154" t="str">
            <v>12</v>
          </cell>
          <cell r="N154" t="b">
            <v>1</v>
          </cell>
          <cell r="S154" t="str">
            <v>Manufacture of F&amp;B products</v>
          </cell>
        </row>
        <row r="155">
          <cell r="C155" t="str">
            <v>110XX</v>
          </cell>
          <cell r="D155" t="str">
            <v>Wine industries</v>
          </cell>
          <cell r="E155" t="str">
            <v>T</v>
          </cell>
          <cell r="F155" t="str">
            <v>N</v>
          </cell>
          <cell r="H155" t="str">
            <v>MA</v>
          </cell>
          <cell r="I155" t="str">
            <v>N</v>
          </cell>
          <cell r="J155" t="str">
            <v>110XX</v>
          </cell>
          <cell r="K155" t="str">
            <v>12</v>
          </cell>
          <cell r="L155" t="str">
            <v>T</v>
          </cell>
          <cell r="M155" t="str">
            <v>12</v>
          </cell>
          <cell r="N155" t="b">
            <v>1</v>
          </cell>
          <cell r="S155" t="str">
            <v>Manufacture of F&amp;B products</v>
          </cell>
        </row>
        <row r="156">
          <cell r="C156" t="str">
            <v>2083</v>
          </cell>
          <cell r="D156" t="str">
            <v>Malt</v>
          </cell>
          <cell r="E156" t="str">
            <v>T</v>
          </cell>
          <cell r="F156" t="str">
            <v>Y</v>
          </cell>
          <cell r="H156" t="str">
            <v>MA</v>
          </cell>
          <cell r="I156" t="str">
            <v>N</v>
          </cell>
          <cell r="J156" t="str">
            <v>110XX</v>
          </cell>
          <cell r="K156" t="str">
            <v>12</v>
          </cell>
          <cell r="L156" t="str">
            <v>T</v>
          </cell>
          <cell r="M156" t="str">
            <v>12</v>
          </cell>
          <cell r="N156" t="b">
            <v>1</v>
          </cell>
          <cell r="S156" t="str">
            <v>Manufacture of F&amp;B products</v>
          </cell>
        </row>
        <row r="157">
          <cell r="C157" t="str">
            <v>2082</v>
          </cell>
          <cell r="D157" t="str">
            <v>Malt Beverages</v>
          </cell>
          <cell r="E157" t="str">
            <v>T</v>
          </cell>
          <cell r="F157" t="str">
            <v>N</v>
          </cell>
          <cell r="H157" t="str">
            <v>MA</v>
          </cell>
          <cell r="I157" t="str">
            <v>N</v>
          </cell>
          <cell r="J157" t="str">
            <v>110XX</v>
          </cell>
          <cell r="K157" t="str">
            <v>12</v>
          </cell>
          <cell r="L157" t="str">
            <v>T</v>
          </cell>
          <cell r="M157" t="str">
            <v>12</v>
          </cell>
          <cell r="N157" t="b">
            <v>1</v>
          </cell>
          <cell r="S157" t="str">
            <v>Manufacture of F&amp;B products</v>
          </cell>
        </row>
        <row r="158">
          <cell r="C158" t="str">
            <v>2086</v>
          </cell>
          <cell r="D158" t="str">
            <v>Bottled and Canned Soft Drinks and Carbonated Waters</v>
          </cell>
          <cell r="E158" t="str">
            <v>T</v>
          </cell>
          <cell r="F158" t="str">
            <v>Y</v>
          </cell>
          <cell r="H158" t="str">
            <v>MA</v>
          </cell>
          <cell r="I158" t="str">
            <v>N</v>
          </cell>
          <cell r="J158" t="str">
            <v>110XX</v>
          </cell>
          <cell r="K158" t="str">
            <v>12</v>
          </cell>
          <cell r="L158" t="str">
            <v>T</v>
          </cell>
          <cell r="M158" t="str">
            <v>12</v>
          </cell>
          <cell r="N158" t="b">
            <v>1</v>
          </cell>
          <cell r="S158" t="str">
            <v>Manufacture of F&amp;B products</v>
          </cell>
        </row>
        <row r="159">
          <cell r="C159" t="str">
            <v>2087</v>
          </cell>
          <cell r="D159" t="str">
            <v>Flavoring Extracts and Flavoring Syrups, N.E.C.</v>
          </cell>
          <cell r="E159" t="str">
            <v>T</v>
          </cell>
          <cell r="F159" t="str">
            <v>Y</v>
          </cell>
          <cell r="H159" t="str">
            <v>MA</v>
          </cell>
          <cell r="I159" t="str">
            <v>N</v>
          </cell>
          <cell r="J159" t="str">
            <v>110XX</v>
          </cell>
          <cell r="K159" t="str">
            <v>12</v>
          </cell>
          <cell r="L159" t="str">
            <v>T</v>
          </cell>
          <cell r="M159" t="str">
            <v>12</v>
          </cell>
          <cell r="N159" t="b">
            <v>1</v>
          </cell>
          <cell r="S159" t="str">
            <v>Manufacture of F&amp;B products</v>
          </cell>
        </row>
        <row r="160">
          <cell r="C160" t="str">
            <v>2141</v>
          </cell>
          <cell r="D160" t="str">
            <v>Tobacco Stemming and Redrying</v>
          </cell>
          <cell r="E160" t="str">
            <v>T</v>
          </cell>
          <cell r="F160" t="str">
            <v>N</v>
          </cell>
          <cell r="H160" t="str">
            <v>MA</v>
          </cell>
          <cell r="I160" t="str">
            <v>N</v>
          </cell>
          <cell r="J160" t="str">
            <v>12000</v>
          </cell>
          <cell r="K160" t="str">
            <v>8</v>
          </cell>
          <cell r="L160" t="str">
            <v>T</v>
          </cell>
          <cell r="M160" t="str">
            <v>8</v>
          </cell>
          <cell r="N160" t="b">
            <v>1</v>
          </cell>
          <cell r="S160" t="str">
            <v>Manufacture of tobacco products</v>
          </cell>
        </row>
        <row r="161">
          <cell r="C161" t="str">
            <v>2121</v>
          </cell>
          <cell r="D161" t="str">
            <v>Cigars</v>
          </cell>
          <cell r="E161" t="str">
            <v>T</v>
          </cell>
          <cell r="F161" t="str">
            <v>N</v>
          </cell>
          <cell r="H161" t="str">
            <v>MA</v>
          </cell>
          <cell r="I161" t="str">
            <v>N</v>
          </cell>
          <cell r="J161" t="str">
            <v>12000</v>
          </cell>
          <cell r="K161" t="str">
            <v>8</v>
          </cell>
          <cell r="L161" t="str">
            <v>T</v>
          </cell>
          <cell r="M161" t="str">
            <v>8</v>
          </cell>
          <cell r="N161" t="b">
            <v>1</v>
          </cell>
          <cell r="S161" t="str">
            <v>Manufacture of tobacco products</v>
          </cell>
        </row>
        <row r="162">
          <cell r="C162" t="str">
            <v>2111</v>
          </cell>
          <cell r="D162" t="str">
            <v>Cigarettes</v>
          </cell>
          <cell r="E162" t="str">
            <v>T</v>
          </cell>
          <cell r="F162" t="str">
            <v>N</v>
          </cell>
          <cell r="H162" t="str">
            <v>MA</v>
          </cell>
          <cell r="I162" t="str">
            <v>N</v>
          </cell>
          <cell r="J162" t="str">
            <v>12000</v>
          </cell>
          <cell r="K162" t="str">
            <v>8</v>
          </cell>
          <cell r="L162" t="str">
            <v>T</v>
          </cell>
          <cell r="M162" t="str">
            <v>8</v>
          </cell>
          <cell r="N162" t="b">
            <v>1</v>
          </cell>
          <cell r="S162" t="str">
            <v>Manufacture of tobacco products</v>
          </cell>
        </row>
        <row r="163">
          <cell r="C163" t="str">
            <v>2131</v>
          </cell>
          <cell r="D163" t="str">
            <v>Chewing and Smoking Tobacco and Snuff</v>
          </cell>
          <cell r="E163" t="str">
            <v>T</v>
          </cell>
          <cell r="F163" t="str">
            <v>N</v>
          </cell>
          <cell r="H163" t="str">
            <v>MA</v>
          </cell>
          <cell r="I163" t="str">
            <v>N</v>
          </cell>
          <cell r="J163" t="str">
            <v>12000</v>
          </cell>
          <cell r="K163" t="str">
            <v>8</v>
          </cell>
          <cell r="L163" t="str">
            <v>T</v>
          </cell>
          <cell r="M163" t="str">
            <v>8</v>
          </cell>
          <cell r="N163" t="b">
            <v>1</v>
          </cell>
          <cell r="S163" t="str">
            <v>Manufacture of tobacco products</v>
          </cell>
        </row>
        <row r="164">
          <cell r="C164" t="str">
            <v>2284</v>
          </cell>
          <cell r="D164" t="str">
            <v>Thread Mills</v>
          </cell>
          <cell r="E164" t="str">
            <v>N</v>
          </cell>
          <cell r="F164" t="str">
            <v>Y</v>
          </cell>
          <cell r="H164" t="str">
            <v>MA</v>
          </cell>
          <cell r="I164" t="str">
            <v>N</v>
          </cell>
          <cell r="J164" t="str">
            <v>13XXX</v>
          </cell>
          <cell r="K164" t="str">
            <v>9</v>
          </cell>
          <cell r="L164" t="str">
            <v>N</v>
          </cell>
          <cell r="M164" t="str">
            <v>0</v>
          </cell>
          <cell r="N164" t="b">
            <v>1</v>
          </cell>
          <cell r="S164" t="str">
            <v>Manufacture of textiles &amp; wearables</v>
          </cell>
        </row>
        <row r="165">
          <cell r="C165" t="str">
            <v>2221</v>
          </cell>
          <cell r="D165" t="str">
            <v>Broadwoven Fabric Mills, Manmade Fiber and Silk</v>
          </cell>
          <cell r="E165" t="str">
            <v>N</v>
          </cell>
          <cell r="F165" t="str">
            <v>Y</v>
          </cell>
          <cell r="H165" t="str">
            <v>MA</v>
          </cell>
          <cell r="I165" t="str">
            <v>N</v>
          </cell>
          <cell r="J165" t="str">
            <v>13XXX</v>
          </cell>
          <cell r="K165" t="str">
            <v>9</v>
          </cell>
          <cell r="L165" t="str">
            <v>N</v>
          </cell>
          <cell r="M165" t="str">
            <v>0</v>
          </cell>
          <cell r="N165" t="b">
            <v>1</v>
          </cell>
          <cell r="S165" t="str">
            <v>Manufacture of textiles &amp; wearables</v>
          </cell>
        </row>
        <row r="166">
          <cell r="C166" t="str">
            <v>2241</v>
          </cell>
          <cell r="D166" t="str">
            <v>Narrow Fabric and Other Smallwares Mills: Cotton, Wool, Silk and Manmade Fiber</v>
          </cell>
          <cell r="E166" t="str">
            <v>N</v>
          </cell>
          <cell r="F166" t="str">
            <v>Y</v>
          </cell>
          <cell r="H166" t="str">
            <v>MA</v>
          </cell>
          <cell r="I166" t="str">
            <v>N</v>
          </cell>
          <cell r="J166" t="str">
            <v>13XXX</v>
          </cell>
          <cell r="K166" t="str">
            <v>9</v>
          </cell>
          <cell r="L166" t="str">
            <v>N</v>
          </cell>
          <cell r="M166" t="str">
            <v>0</v>
          </cell>
          <cell r="N166" t="b">
            <v>1</v>
          </cell>
          <cell r="S166" t="str">
            <v>Manufacture of textiles &amp; wearables</v>
          </cell>
        </row>
        <row r="167">
          <cell r="C167" t="str">
            <v>2211</v>
          </cell>
          <cell r="D167" t="str">
            <v>Broadwoven Fabric Mills, Cotton</v>
          </cell>
          <cell r="E167" t="str">
            <v>N</v>
          </cell>
          <cell r="F167" t="str">
            <v>Y</v>
          </cell>
          <cell r="H167" t="str">
            <v>MA</v>
          </cell>
          <cell r="I167" t="str">
            <v>N</v>
          </cell>
          <cell r="J167" t="str">
            <v>13XXX</v>
          </cell>
          <cell r="K167" t="str">
            <v>9</v>
          </cell>
          <cell r="L167" t="str">
            <v>N</v>
          </cell>
          <cell r="M167" t="str">
            <v>0</v>
          </cell>
          <cell r="N167" t="b">
            <v>1</v>
          </cell>
          <cell r="S167" t="str">
            <v>Manufacture of textiles &amp; wearables</v>
          </cell>
        </row>
        <row r="168">
          <cell r="C168" t="str">
            <v>2281</v>
          </cell>
          <cell r="D168" t="str">
            <v>Yarn Spinning Mills</v>
          </cell>
          <cell r="E168" t="str">
            <v>N</v>
          </cell>
          <cell r="F168" t="str">
            <v>Y</v>
          </cell>
          <cell r="H168" t="str">
            <v>MA</v>
          </cell>
          <cell r="I168" t="str">
            <v>N</v>
          </cell>
          <cell r="J168" t="str">
            <v>13XXX</v>
          </cell>
          <cell r="K168" t="str">
            <v>9</v>
          </cell>
          <cell r="L168" t="str">
            <v>N</v>
          </cell>
          <cell r="M168" t="str">
            <v>0</v>
          </cell>
          <cell r="N168" t="b">
            <v>1</v>
          </cell>
          <cell r="S168" t="str">
            <v>Manufacture of textiles &amp; wearables</v>
          </cell>
        </row>
        <row r="169">
          <cell r="C169" t="str">
            <v>2231</v>
          </cell>
          <cell r="D169" t="str">
            <v>Broadwoven Fabric Mills, Wool (Including Dyeing and Finishing)</v>
          </cell>
          <cell r="E169" t="str">
            <v>N</v>
          </cell>
          <cell r="F169" t="str">
            <v>Y</v>
          </cell>
          <cell r="H169" t="str">
            <v>MA</v>
          </cell>
          <cell r="I169" t="str">
            <v>N</v>
          </cell>
          <cell r="J169" t="str">
            <v>13XXX</v>
          </cell>
          <cell r="K169" t="str">
            <v>9</v>
          </cell>
          <cell r="L169" t="str">
            <v>N</v>
          </cell>
          <cell r="M169" t="str">
            <v>0</v>
          </cell>
          <cell r="N169" t="b">
            <v>1</v>
          </cell>
          <cell r="S169" t="str">
            <v>Manufacture of textiles &amp; wearables</v>
          </cell>
        </row>
        <row r="170">
          <cell r="C170" t="str">
            <v>2395</v>
          </cell>
          <cell r="D170" t="str">
            <v>Pleating, Decorative and Novelty Stitching, and Tucking for the Trade</v>
          </cell>
          <cell r="E170" t="str">
            <v>N</v>
          </cell>
          <cell r="F170" t="str">
            <v>Y</v>
          </cell>
          <cell r="H170" t="str">
            <v>MA</v>
          </cell>
          <cell r="I170" t="str">
            <v>N</v>
          </cell>
          <cell r="J170" t="str">
            <v>13XXX</v>
          </cell>
          <cell r="K170" t="str">
            <v>9</v>
          </cell>
          <cell r="L170" t="str">
            <v>N</v>
          </cell>
          <cell r="M170" t="str">
            <v>0</v>
          </cell>
          <cell r="N170" t="b">
            <v>1</v>
          </cell>
          <cell r="S170" t="str">
            <v>Manufacture of textiles &amp; wearables</v>
          </cell>
        </row>
        <row r="171">
          <cell r="C171" t="str">
            <v>2254</v>
          </cell>
          <cell r="D171" t="str">
            <v>Knit Underwear and Nightwear Mills</v>
          </cell>
          <cell r="E171" t="str">
            <v>N</v>
          </cell>
          <cell r="F171" t="str">
            <v>Y</v>
          </cell>
          <cell r="H171" t="str">
            <v>MA</v>
          </cell>
          <cell r="I171" t="str">
            <v>N</v>
          </cell>
          <cell r="J171" t="str">
            <v>13XXX</v>
          </cell>
          <cell r="K171" t="str">
            <v>9</v>
          </cell>
          <cell r="L171" t="str">
            <v>N</v>
          </cell>
          <cell r="M171" t="str">
            <v>0</v>
          </cell>
          <cell r="N171" t="b">
            <v>1</v>
          </cell>
          <cell r="S171" t="str">
            <v>Manufacture of textiles &amp; wearables</v>
          </cell>
        </row>
        <row r="172">
          <cell r="C172" t="str">
            <v>2259</v>
          </cell>
          <cell r="D172" t="str">
            <v>Knitting Mills, N.E.C.</v>
          </cell>
          <cell r="E172" t="str">
            <v>N</v>
          </cell>
          <cell r="F172" t="str">
            <v>Y</v>
          </cell>
          <cell r="H172" t="str">
            <v>MA</v>
          </cell>
          <cell r="I172" t="str">
            <v>N</v>
          </cell>
          <cell r="J172" t="str">
            <v>13XXX</v>
          </cell>
          <cell r="K172" t="str">
            <v>9</v>
          </cell>
          <cell r="L172" t="str">
            <v>N</v>
          </cell>
          <cell r="M172" t="str">
            <v>0</v>
          </cell>
          <cell r="N172" t="b">
            <v>1</v>
          </cell>
          <cell r="S172" t="str">
            <v>Manufacture of textiles &amp; wearables</v>
          </cell>
        </row>
        <row r="173">
          <cell r="C173" t="str">
            <v>2282</v>
          </cell>
          <cell r="D173" t="str">
            <v>Yarn Texturizing, Throwing, Twisting, and Winding Mills</v>
          </cell>
          <cell r="E173" t="str">
            <v>N</v>
          </cell>
          <cell r="F173" t="str">
            <v>Y</v>
          </cell>
          <cell r="H173" t="str">
            <v>MA</v>
          </cell>
          <cell r="I173" t="str">
            <v>N</v>
          </cell>
          <cell r="J173" t="str">
            <v>13XXX</v>
          </cell>
          <cell r="K173" t="str">
            <v>9</v>
          </cell>
          <cell r="L173" t="str">
            <v>N</v>
          </cell>
          <cell r="M173" t="str">
            <v>0</v>
          </cell>
          <cell r="N173" t="b">
            <v>1</v>
          </cell>
          <cell r="S173" t="str">
            <v>Manufacture of textiles &amp; wearables</v>
          </cell>
        </row>
        <row r="174">
          <cell r="C174" t="str">
            <v>2257</v>
          </cell>
          <cell r="D174" t="str">
            <v>Weft Knit Fabric Mills</v>
          </cell>
          <cell r="E174" t="str">
            <v>N</v>
          </cell>
          <cell r="F174" t="str">
            <v>Y</v>
          </cell>
          <cell r="H174" t="str">
            <v>MA</v>
          </cell>
          <cell r="I174" t="str">
            <v>N</v>
          </cell>
          <cell r="J174" t="str">
            <v>13XXX</v>
          </cell>
          <cell r="K174" t="str">
            <v>9</v>
          </cell>
          <cell r="L174" t="str">
            <v>N</v>
          </cell>
          <cell r="M174" t="str">
            <v>0</v>
          </cell>
          <cell r="N174" t="b">
            <v>1</v>
          </cell>
          <cell r="S174" t="str">
            <v>Manufacture of textiles &amp; wearables</v>
          </cell>
        </row>
        <row r="175">
          <cell r="C175" t="str">
            <v>2258</v>
          </cell>
          <cell r="D175" t="str">
            <v>Lace and Warp Knit Fabric Mills</v>
          </cell>
          <cell r="E175" t="str">
            <v>N</v>
          </cell>
          <cell r="F175" t="str">
            <v>Y</v>
          </cell>
          <cell r="H175" t="str">
            <v>MA</v>
          </cell>
          <cell r="I175" t="str">
            <v>N</v>
          </cell>
          <cell r="J175" t="str">
            <v>13XXX</v>
          </cell>
          <cell r="K175" t="str">
            <v>9</v>
          </cell>
          <cell r="L175" t="str">
            <v>N</v>
          </cell>
          <cell r="M175" t="str">
            <v>0</v>
          </cell>
          <cell r="N175" t="b">
            <v>1</v>
          </cell>
          <cell r="S175" t="str">
            <v>Manufacture of textiles &amp; wearables</v>
          </cell>
        </row>
        <row r="176">
          <cell r="C176" t="str">
            <v>2253</v>
          </cell>
          <cell r="D176" t="str">
            <v>Knit Outerwear Mills</v>
          </cell>
          <cell r="E176" t="str">
            <v>N</v>
          </cell>
          <cell r="F176" t="str">
            <v>Y</v>
          </cell>
          <cell r="H176" t="str">
            <v>MA</v>
          </cell>
          <cell r="I176" t="str">
            <v>N</v>
          </cell>
          <cell r="J176" t="str">
            <v>13XXX</v>
          </cell>
          <cell r="K176" t="str">
            <v>9</v>
          </cell>
          <cell r="L176" t="str">
            <v>N</v>
          </cell>
          <cell r="M176" t="str">
            <v>0</v>
          </cell>
          <cell r="N176" t="b">
            <v>1</v>
          </cell>
          <cell r="S176" t="str">
            <v>Manufacture of textiles &amp; wearables</v>
          </cell>
        </row>
        <row r="177">
          <cell r="C177" t="str">
            <v>2397</v>
          </cell>
          <cell r="D177" t="str">
            <v>Schiffli Machine Embroideries</v>
          </cell>
          <cell r="E177" t="str">
            <v>N</v>
          </cell>
          <cell r="F177" t="str">
            <v>Y</v>
          </cell>
          <cell r="H177" t="str">
            <v>MA</v>
          </cell>
          <cell r="I177" t="str">
            <v>N</v>
          </cell>
          <cell r="J177" t="str">
            <v>13XXX</v>
          </cell>
          <cell r="K177" t="str">
            <v>9</v>
          </cell>
          <cell r="L177" t="str">
            <v>N</v>
          </cell>
          <cell r="M177" t="str">
            <v>0</v>
          </cell>
          <cell r="N177" t="b">
            <v>1</v>
          </cell>
          <cell r="S177" t="str">
            <v>Manufacture of textiles &amp; wearables</v>
          </cell>
        </row>
        <row r="178">
          <cell r="C178" t="str">
            <v>13XXX</v>
          </cell>
          <cell r="D178" t="str">
            <v>knitted and crocheted fabrics and articles</v>
          </cell>
          <cell r="E178" t="str">
            <v>N</v>
          </cell>
          <cell r="F178" t="str">
            <v>Y</v>
          </cell>
          <cell r="H178" t="str">
            <v>MA</v>
          </cell>
          <cell r="I178" t="str">
            <v>N</v>
          </cell>
          <cell r="J178" t="str">
            <v>13XXX</v>
          </cell>
          <cell r="K178" t="str">
            <v>9</v>
          </cell>
          <cell r="L178" t="str">
            <v>N</v>
          </cell>
          <cell r="M178" t="str">
            <v>0</v>
          </cell>
          <cell r="N178" t="b">
            <v>1</v>
          </cell>
          <cell r="S178" t="str">
            <v>Manufacture of textiles &amp; wearables</v>
          </cell>
        </row>
        <row r="179">
          <cell r="C179" t="str">
            <v>2392</v>
          </cell>
          <cell r="D179" t="str">
            <v>Housefurnishings, Except Curtains and Draperies</v>
          </cell>
          <cell r="E179" t="str">
            <v>N</v>
          </cell>
          <cell r="F179" t="str">
            <v>Y</v>
          </cell>
          <cell r="H179" t="str">
            <v>MA</v>
          </cell>
          <cell r="I179" t="str">
            <v>N</v>
          </cell>
          <cell r="J179" t="str">
            <v>13XXX</v>
          </cell>
          <cell r="K179" t="str">
            <v>9</v>
          </cell>
          <cell r="L179" t="str">
            <v>N</v>
          </cell>
          <cell r="M179" t="str">
            <v>0</v>
          </cell>
          <cell r="N179" t="b">
            <v>1</v>
          </cell>
          <cell r="S179" t="str">
            <v>Manufacture of textiles &amp; wearables</v>
          </cell>
        </row>
        <row r="180">
          <cell r="C180" t="str">
            <v>2299</v>
          </cell>
          <cell r="D180" t="str">
            <v>Textile Goods, N.E.C.</v>
          </cell>
          <cell r="E180" t="str">
            <v>N</v>
          </cell>
          <cell r="F180" t="str">
            <v>Y</v>
          </cell>
          <cell r="H180" t="str">
            <v>MA</v>
          </cell>
          <cell r="I180" t="str">
            <v>N</v>
          </cell>
          <cell r="J180" t="str">
            <v>13XXX</v>
          </cell>
          <cell r="K180" t="str">
            <v>9</v>
          </cell>
          <cell r="L180" t="str">
            <v>N</v>
          </cell>
          <cell r="M180" t="str">
            <v>0</v>
          </cell>
          <cell r="N180" t="b">
            <v>1</v>
          </cell>
          <cell r="S180" t="str">
            <v>Manufacture of textiles &amp; wearables</v>
          </cell>
        </row>
        <row r="181">
          <cell r="C181" t="str">
            <v>2262</v>
          </cell>
          <cell r="D181" t="str">
            <v>Finishers of Broadwoven Fabrics of Manmade Fiber and Silk</v>
          </cell>
          <cell r="E181" t="str">
            <v>N</v>
          </cell>
          <cell r="F181" t="str">
            <v>Y</v>
          </cell>
          <cell r="H181" t="str">
            <v>MA</v>
          </cell>
          <cell r="I181" t="str">
            <v>N</v>
          </cell>
          <cell r="J181" t="str">
            <v>13XXX</v>
          </cell>
          <cell r="K181" t="str">
            <v>9</v>
          </cell>
          <cell r="L181" t="str">
            <v>N</v>
          </cell>
          <cell r="M181" t="str">
            <v>0</v>
          </cell>
          <cell r="N181" t="b">
            <v>1</v>
          </cell>
          <cell r="S181" t="str">
            <v>Manufacture of textiles &amp; wearables</v>
          </cell>
        </row>
        <row r="182">
          <cell r="C182" t="str">
            <v>2261</v>
          </cell>
          <cell r="D182" t="str">
            <v>Finishers of Broadwoven Fabrics of Cotton</v>
          </cell>
          <cell r="E182" t="str">
            <v>N</v>
          </cell>
          <cell r="F182" t="str">
            <v>Y</v>
          </cell>
          <cell r="H182" t="str">
            <v>MA</v>
          </cell>
          <cell r="I182" t="str">
            <v>N</v>
          </cell>
          <cell r="J182" t="str">
            <v>13XXX</v>
          </cell>
          <cell r="K182" t="str">
            <v>9</v>
          </cell>
          <cell r="L182" t="str">
            <v>N</v>
          </cell>
          <cell r="M182" t="str">
            <v>0</v>
          </cell>
          <cell r="N182" t="b">
            <v>1</v>
          </cell>
          <cell r="S182" t="str">
            <v>Manufacture of textiles &amp; wearables</v>
          </cell>
        </row>
        <row r="183">
          <cell r="C183" t="str">
            <v>2269</v>
          </cell>
          <cell r="D183" t="str">
            <v>Finishers of Textiles, N.E.C.</v>
          </cell>
          <cell r="E183" t="str">
            <v>N</v>
          </cell>
          <cell r="F183" t="str">
            <v>Y</v>
          </cell>
          <cell r="H183" t="str">
            <v>MA</v>
          </cell>
          <cell r="I183" t="str">
            <v>N</v>
          </cell>
          <cell r="J183" t="str">
            <v>13XXX</v>
          </cell>
          <cell r="K183" t="str">
            <v>9</v>
          </cell>
          <cell r="L183" t="str">
            <v>N</v>
          </cell>
          <cell r="M183" t="str">
            <v>0</v>
          </cell>
          <cell r="N183" t="b">
            <v>1</v>
          </cell>
          <cell r="S183" t="str">
            <v>Manufacture of textiles &amp; wearables</v>
          </cell>
        </row>
        <row r="184">
          <cell r="C184" t="str">
            <v>2393</v>
          </cell>
          <cell r="D184" t="str">
            <v>Textile Bags</v>
          </cell>
          <cell r="E184" t="str">
            <v>N</v>
          </cell>
          <cell r="F184" t="str">
            <v>Y</v>
          </cell>
          <cell r="H184" t="str">
            <v>MA</v>
          </cell>
          <cell r="I184" t="str">
            <v>N</v>
          </cell>
          <cell r="J184" t="str">
            <v>13XXX</v>
          </cell>
          <cell r="K184" t="str">
            <v>9</v>
          </cell>
          <cell r="L184" t="str">
            <v>N</v>
          </cell>
          <cell r="M184" t="str">
            <v>0</v>
          </cell>
          <cell r="N184" t="b">
            <v>1</v>
          </cell>
          <cell r="S184" t="str">
            <v>Manufacture of textiles &amp; wearables</v>
          </cell>
        </row>
        <row r="185">
          <cell r="C185" t="str">
            <v>2385</v>
          </cell>
          <cell r="D185" t="str">
            <v>Waterproof Outerwear</v>
          </cell>
          <cell r="E185" t="str">
            <v>N</v>
          </cell>
          <cell r="F185" t="str">
            <v>Y</v>
          </cell>
          <cell r="H185" t="str">
            <v>MA</v>
          </cell>
          <cell r="I185" t="str">
            <v>N</v>
          </cell>
          <cell r="J185" t="str">
            <v>13XXX</v>
          </cell>
          <cell r="K185" t="str">
            <v>9</v>
          </cell>
          <cell r="L185" t="str">
            <v>N</v>
          </cell>
          <cell r="M185" t="str">
            <v>0</v>
          </cell>
          <cell r="N185" t="b">
            <v>1</v>
          </cell>
          <cell r="S185" t="str">
            <v>Manufacture of textiles &amp; wearables</v>
          </cell>
        </row>
        <row r="186">
          <cell r="C186" t="str">
            <v>2399</v>
          </cell>
          <cell r="D186" t="str">
            <v>Fabricated Textile Products, N.E.C.</v>
          </cell>
          <cell r="E186" t="str">
            <v>N</v>
          </cell>
          <cell r="F186" t="str">
            <v>Y</v>
          </cell>
          <cell r="H186" t="str">
            <v>MA</v>
          </cell>
          <cell r="I186" t="str">
            <v>N</v>
          </cell>
          <cell r="J186" t="str">
            <v>13XXX</v>
          </cell>
          <cell r="K186" t="str">
            <v>9</v>
          </cell>
          <cell r="L186" t="str">
            <v>N</v>
          </cell>
          <cell r="M186" t="str">
            <v>0</v>
          </cell>
          <cell r="N186" t="b">
            <v>1</v>
          </cell>
          <cell r="S186" t="str">
            <v>Manufacture of textiles &amp; wearables</v>
          </cell>
        </row>
        <row r="187">
          <cell r="C187" t="str">
            <v>2391</v>
          </cell>
          <cell r="D187" t="str">
            <v>Curtains and Draperies</v>
          </cell>
          <cell r="E187" t="str">
            <v>N</v>
          </cell>
          <cell r="F187" t="str">
            <v>Y</v>
          </cell>
          <cell r="H187" t="str">
            <v>MA</v>
          </cell>
          <cell r="I187" t="str">
            <v>N</v>
          </cell>
          <cell r="J187" t="str">
            <v>13XXX</v>
          </cell>
          <cell r="K187" t="str">
            <v>9</v>
          </cell>
          <cell r="L187" t="str">
            <v>N</v>
          </cell>
          <cell r="M187" t="str">
            <v>0</v>
          </cell>
          <cell r="N187" t="b">
            <v>1</v>
          </cell>
          <cell r="S187" t="str">
            <v>Manufacture of textiles &amp; wearables</v>
          </cell>
        </row>
        <row r="188">
          <cell r="C188" t="str">
            <v>2273</v>
          </cell>
          <cell r="D188" t="str">
            <v>Carpets and Rugs</v>
          </cell>
          <cell r="E188" t="str">
            <v>N</v>
          </cell>
          <cell r="F188" t="str">
            <v>Y</v>
          </cell>
          <cell r="H188" t="str">
            <v>MA</v>
          </cell>
          <cell r="I188" t="str">
            <v>N</v>
          </cell>
          <cell r="J188" t="str">
            <v>13XXX</v>
          </cell>
          <cell r="K188" t="str">
            <v>9</v>
          </cell>
          <cell r="L188" t="str">
            <v>N</v>
          </cell>
          <cell r="M188" t="str">
            <v>0</v>
          </cell>
          <cell r="N188" t="b">
            <v>1</v>
          </cell>
          <cell r="S188" t="str">
            <v>Manufacture of textiles &amp; wearables</v>
          </cell>
        </row>
        <row r="189">
          <cell r="C189" t="str">
            <v>2298</v>
          </cell>
          <cell r="D189" t="str">
            <v>Cordage and Twine</v>
          </cell>
          <cell r="E189" t="str">
            <v>N</v>
          </cell>
          <cell r="F189" t="str">
            <v>Y</v>
          </cell>
          <cell r="H189" t="str">
            <v>MA</v>
          </cell>
          <cell r="I189" t="str">
            <v>N</v>
          </cell>
          <cell r="J189" t="str">
            <v>13XXX</v>
          </cell>
          <cell r="K189" t="str">
            <v>9</v>
          </cell>
          <cell r="L189" t="str">
            <v>N</v>
          </cell>
          <cell r="M189" t="str">
            <v>0</v>
          </cell>
          <cell r="N189" t="b">
            <v>1</v>
          </cell>
          <cell r="S189" t="str">
            <v>Manufacture of textiles &amp; wearables</v>
          </cell>
        </row>
        <row r="190">
          <cell r="C190" t="str">
            <v>2297</v>
          </cell>
          <cell r="D190" t="str">
            <v>Nonwoven Fabrics</v>
          </cell>
          <cell r="E190" t="str">
            <v>N</v>
          </cell>
          <cell r="F190" t="str">
            <v>Y</v>
          </cell>
          <cell r="H190" t="str">
            <v>MA</v>
          </cell>
          <cell r="I190" t="str">
            <v>N</v>
          </cell>
          <cell r="J190" t="str">
            <v>13XXX</v>
          </cell>
          <cell r="K190" t="str">
            <v>9</v>
          </cell>
          <cell r="L190" t="str">
            <v>N</v>
          </cell>
          <cell r="M190" t="str">
            <v>0</v>
          </cell>
          <cell r="N190" t="b">
            <v>1</v>
          </cell>
          <cell r="S190" t="str">
            <v>Manufacture of textiles &amp; wearables</v>
          </cell>
        </row>
        <row r="191">
          <cell r="C191" t="str">
            <v>2296</v>
          </cell>
          <cell r="D191" t="str">
            <v>Tire Cord and Fabrics</v>
          </cell>
          <cell r="E191" t="str">
            <v>N</v>
          </cell>
          <cell r="F191" t="str">
            <v>Y</v>
          </cell>
          <cell r="H191" t="str">
            <v>MA</v>
          </cell>
          <cell r="I191" t="str">
            <v>N</v>
          </cell>
          <cell r="J191" t="str">
            <v>13XXX</v>
          </cell>
          <cell r="K191" t="str">
            <v>9</v>
          </cell>
          <cell r="L191" t="str">
            <v>N</v>
          </cell>
          <cell r="M191" t="str">
            <v>0</v>
          </cell>
          <cell r="N191" t="b">
            <v>1</v>
          </cell>
          <cell r="S191" t="str">
            <v>Manufacture of textiles &amp; wearables</v>
          </cell>
        </row>
        <row r="192">
          <cell r="C192" t="str">
            <v>2396</v>
          </cell>
          <cell r="D192" t="str">
            <v>Automotive Trimmings, Apparel Findings, and Related Products</v>
          </cell>
          <cell r="E192" t="str">
            <v>N</v>
          </cell>
          <cell r="F192" t="str">
            <v>Y</v>
          </cell>
          <cell r="H192" t="str">
            <v>MA</v>
          </cell>
          <cell r="I192" t="str">
            <v>N</v>
          </cell>
          <cell r="J192" t="str">
            <v>13XXX</v>
          </cell>
          <cell r="K192" t="str">
            <v>9</v>
          </cell>
          <cell r="L192" t="str">
            <v>N</v>
          </cell>
          <cell r="M192" t="str">
            <v>0</v>
          </cell>
          <cell r="N192" t="b">
            <v>1</v>
          </cell>
          <cell r="S192" t="str">
            <v>Manufacture of textiles &amp; wearables</v>
          </cell>
        </row>
        <row r="193">
          <cell r="C193" t="str">
            <v>2295</v>
          </cell>
          <cell r="D193" t="str">
            <v>Coated Fabrics, Not Rubberized</v>
          </cell>
          <cell r="E193" t="str">
            <v>N</v>
          </cell>
          <cell r="F193" t="str">
            <v>Y</v>
          </cell>
          <cell r="H193" t="str">
            <v>MA</v>
          </cell>
          <cell r="I193" t="str">
            <v>N</v>
          </cell>
          <cell r="J193" t="str">
            <v>13XXX</v>
          </cell>
          <cell r="K193" t="str">
            <v>9</v>
          </cell>
          <cell r="L193" t="str">
            <v>N</v>
          </cell>
          <cell r="M193" t="str">
            <v>0</v>
          </cell>
          <cell r="N193" t="b">
            <v>1</v>
          </cell>
          <cell r="S193" t="str">
            <v>Manufacture of textiles &amp; wearables</v>
          </cell>
        </row>
        <row r="194">
          <cell r="C194" t="str">
            <v>2386</v>
          </cell>
          <cell r="D194" t="str">
            <v>Leather and Sheep-Lined Clothing</v>
          </cell>
          <cell r="E194" t="str">
            <v>N</v>
          </cell>
          <cell r="F194" t="str">
            <v>Y</v>
          </cell>
          <cell r="H194" t="str">
            <v>MA</v>
          </cell>
          <cell r="I194" t="str">
            <v>N</v>
          </cell>
          <cell r="J194" t="str">
            <v>13XXX</v>
          </cell>
          <cell r="K194" t="str">
            <v>9</v>
          </cell>
          <cell r="L194" t="str">
            <v>N</v>
          </cell>
          <cell r="M194" t="str">
            <v>0</v>
          </cell>
          <cell r="N194" t="b">
            <v>1</v>
          </cell>
          <cell r="S194" t="str">
            <v>Manufacture of textiles &amp; wearables</v>
          </cell>
        </row>
        <row r="195">
          <cell r="C195" t="str">
            <v>2394</v>
          </cell>
          <cell r="D195" t="str">
            <v>Canvas and Related Products</v>
          </cell>
          <cell r="E195" t="str">
            <v>N</v>
          </cell>
          <cell r="F195" t="str">
            <v>Y</v>
          </cell>
          <cell r="H195" t="str">
            <v>MA</v>
          </cell>
          <cell r="I195" t="str">
            <v>N</v>
          </cell>
          <cell r="J195" t="str">
            <v>13XXX</v>
          </cell>
          <cell r="K195" t="str">
            <v>9</v>
          </cell>
          <cell r="L195" t="str">
            <v>N</v>
          </cell>
          <cell r="M195" t="str">
            <v>0</v>
          </cell>
          <cell r="N195" t="b">
            <v>1</v>
          </cell>
          <cell r="S195" t="str">
            <v>Manufacture of textiles &amp; wearables</v>
          </cell>
        </row>
        <row r="196">
          <cell r="C196" t="str">
            <v>2335</v>
          </cell>
          <cell r="D196" t="str">
            <v>Women's, Misses', and Juniors' Dresses</v>
          </cell>
          <cell r="E196" t="str">
            <v>N</v>
          </cell>
          <cell r="F196" t="str">
            <v>Y</v>
          </cell>
          <cell r="H196" t="str">
            <v>MA</v>
          </cell>
          <cell r="I196" t="str">
            <v>N</v>
          </cell>
          <cell r="J196" t="str">
            <v>14XXX</v>
          </cell>
          <cell r="K196" t="str">
            <v>9</v>
          </cell>
          <cell r="L196" t="str">
            <v>N</v>
          </cell>
          <cell r="M196" t="str">
            <v>0</v>
          </cell>
          <cell r="N196" t="b">
            <v>1</v>
          </cell>
          <cell r="S196" t="str">
            <v>Manufacture of textiles &amp; wearables</v>
          </cell>
        </row>
        <row r="197">
          <cell r="C197" t="str">
            <v>2321</v>
          </cell>
          <cell r="D197" t="str">
            <v>Men's and Boys' Shirts, Except Work Shirts</v>
          </cell>
          <cell r="E197" t="str">
            <v>N</v>
          </cell>
          <cell r="F197" t="str">
            <v>Y</v>
          </cell>
          <cell r="H197" t="str">
            <v>MA</v>
          </cell>
          <cell r="I197" t="str">
            <v>N</v>
          </cell>
          <cell r="J197" t="str">
            <v>14XXX</v>
          </cell>
          <cell r="K197" t="str">
            <v>9</v>
          </cell>
          <cell r="L197" t="str">
            <v>N</v>
          </cell>
          <cell r="M197" t="str">
            <v>0</v>
          </cell>
          <cell r="N197" t="b">
            <v>1</v>
          </cell>
          <cell r="S197" t="str">
            <v>Manufacture of textiles &amp; wearables</v>
          </cell>
        </row>
        <row r="198">
          <cell r="C198" t="str">
            <v>2311</v>
          </cell>
          <cell r="D198" t="str">
            <v>Men's and Boys' Suits, Coats and Overcoats</v>
          </cell>
          <cell r="E198" t="str">
            <v>N</v>
          </cell>
          <cell r="F198" t="str">
            <v>Y</v>
          </cell>
          <cell r="H198" t="str">
            <v>MA</v>
          </cell>
          <cell r="I198" t="str">
            <v>N</v>
          </cell>
          <cell r="J198" t="str">
            <v>14XXX</v>
          </cell>
          <cell r="K198" t="str">
            <v>9</v>
          </cell>
          <cell r="L198" t="str">
            <v>N</v>
          </cell>
          <cell r="M198" t="str">
            <v>0</v>
          </cell>
          <cell r="N198" t="b">
            <v>1</v>
          </cell>
          <cell r="S198" t="str">
            <v>Manufacture of textiles &amp; wearables</v>
          </cell>
        </row>
        <row r="199">
          <cell r="C199" t="str">
            <v>2369</v>
          </cell>
          <cell r="D199" t="str">
            <v>Girls', Children's, and Infants' Outerwear, N.E.C.</v>
          </cell>
          <cell r="E199" t="str">
            <v>N</v>
          </cell>
          <cell r="F199" t="str">
            <v>Y</v>
          </cell>
          <cell r="H199" t="str">
            <v>MA</v>
          </cell>
          <cell r="I199" t="str">
            <v>N</v>
          </cell>
          <cell r="J199" t="str">
            <v>14XXX</v>
          </cell>
          <cell r="K199" t="str">
            <v>9</v>
          </cell>
          <cell r="L199" t="str">
            <v>N</v>
          </cell>
          <cell r="M199" t="str">
            <v>0</v>
          </cell>
          <cell r="N199" t="b">
            <v>1</v>
          </cell>
          <cell r="S199" t="str">
            <v>Manufacture of textiles &amp; wearables</v>
          </cell>
        </row>
        <row r="200">
          <cell r="C200" t="str">
            <v>2252</v>
          </cell>
          <cell r="D200" t="str">
            <v>Hosiery, N.E.C.</v>
          </cell>
          <cell r="E200" t="str">
            <v>N</v>
          </cell>
          <cell r="F200" t="str">
            <v>Y</v>
          </cell>
          <cell r="H200" t="str">
            <v>MA</v>
          </cell>
          <cell r="I200" t="str">
            <v>N</v>
          </cell>
          <cell r="J200" t="str">
            <v>14XXX</v>
          </cell>
          <cell r="K200" t="str">
            <v>9</v>
          </cell>
          <cell r="L200" t="str">
            <v>N</v>
          </cell>
          <cell r="M200" t="str">
            <v>0</v>
          </cell>
          <cell r="N200" t="b">
            <v>1</v>
          </cell>
          <cell r="S200" t="str">
            <v>Manufacture of textiles &amp; wearables</v>
          </cell>
        </row>
        <row r="201">
          <cell r="C201" t="str">
            <v>2251</v>
          </cell>
          <cell r="D201" t="str">
            <v>Women's Full-Length and Knee-Length Hosiery, Except Socks</v>
          </cell>
          <cell r="E201" t="str">
            <v>N</v>
          </cell>
          <cell r="F201" t="str">
            <v>Y</v>
          </cell>
          <cell r="H201" t="str">
            <v>MA</v>
          </cell>
          <cell r="I201" t="str">
            <v>N</v>
          </cell>
          <cell r="J201" t="str">
            <v>14XXX</v>
          </cell>
          <cell r="K201" t="str">
            <v>9</v>
          </cell>
          <cell r="L201" t="str">
            <v>N</v>
          </cell>
          <cell r="M201" t="str">
            <v>0</v>
          </cell>
          <cell r="N201" t="b">
            <v>1</v>
          </cell>
          <cell r="S201" t="str">
            <v>Manufacture of textiles &amp; wearables</v>
          </cell>
        </row>
        <row r="202">
          <cell r="C202" t="str">
            <v>2326</v>
          </cell>
          <cell r="D202" t="str">
            <v>Men's and Boys' Work Clothing</v>
          </cell>
          <cell r="E202" t="str">
            <v>N</v>
          </cell>
          <cell r="F202" t="str">
            <v>Y</v>
          </cell>
          <cell r="H202" t="str">
            <v>MA</v>
          </cell>
          <cell r="I202" t="str">
            <v>N</v>
          </cell>
          <cell r="J202" t="str">
            <v>14XXX</v>
          </cell>
          <cell r="K202" t="str">
            <v>9</v>
          </cell>
          <cell r="L202" t="str">
            <v>N</v>
          </cell>
          <cell r="M202" t="str">
            <v>0</v>
          </cell>
          <cell r="N202" t="b">
            <v>1</v>
          </cell>
          <cell r="S202" t="str">
            <v>Manufacture of textiles &amp; wearables</v>
          </cell>
        </row>
        <row r="203">
          <cell r="C203" t="str">
            <v>2322</v>
          </cell>
          <cell r="D203" t="str">
            <v>Men's and Boys' Underwear and Nightwear</v>
          </cell>
          <cell r="E203" t="str">
            <v>N</v>
          </cell>
          <cell r="F203" t="str">
            <v>Y</v>
          </cell>
          <cell r="H203" t="str">
            <v>MA</v>
          </cell>
          <cell r="I203" t="str">
            <v>N</v>
          </cell>
          <cell r="J203" t="str">
            <v>14XXX</v>
          </cell>
          <cell r="K203" t="str">
            <v>9</v>
          </cell>
          <cell r="L203" t="str">
            <v>N</v>
          </cell>
          <cell r="M203" t="str">
            <v>0</v>
          </cell>
          <cell r="N203" t="b">
            <v>1</v>
          </cell>
          <cell r="S203" t="str">
            <v>Manufacture of textiles &amp; wearables</v>
          </cell>
        </row>
        <row r="204">
          <cell r="C204" t="str">
            <v>2323</v>
          </cell>
          <cell r="D204" t="str">
            <v>Men's and Boys' Neckwear</v>
          </cell>
          <cell r="E204" t="str">
            <v>N</v>
          </cell>
          <cell r="F204" t="str">
            <v>Y</v>
          </cell>
          <cell r="H204" t="str">
            <v>MA</v>
          </cell>
          <cell r="I204" t="str">
            <v>N</v>
          </cell>
          <cell r="J204" t="str">
            <v>14XXX</v>
          </cell>
          <cell r="K204" t="str">
            <v>9</v>
          </cell>
          <cell r="L204" t="str">
            <v>N</v>
          </cell>
          <cell r="M204" t="str">
            <v>0</v>
          </cell>
          <cell r="N204" t="b">
            <v>1</v>
          </cell>
          <cell r="S204" t="str">
            <v>Manufacture of textiles &amp; wearables</v>
          </cell>
        </row>
        <row r="205">
          <cell r="C205" t="str">
            <v>2329</v>
          </cell>
          <cell r="D205" t="str">
            <v>Men's and Boys' Clothing, N.E.C.</v>
          </cell>
          <cell r="E205" t="str">
            <v>N</v>
          </cell>
          <cell r="F205" t="str">
            <v>Y</v>
          </cell>
          <cell r="H205" t="str">
            <v>MA</v>
          </cell>
          <cell r="I205" t="str">
            <v>N</v>
          </cell>
          <cell r="J205" t="str">
            <v>14XXX</v>
          </cell>
          <cell r="K205" t="str">
            <v>9</v>
          </cell>
          <cell r="L205" t="str">
            <v>N</v>
          </cell>
          <cell r="M205" t="str">
            <v>0</v>
          </cell>
          <cell r="N205" t="b">
            <v>1</v>
          </cell>
          <cell r="S205" t="str">
            <v>Manufacture of textiles &amp; wearables</v>
          </cell>
        </row>
        <row r="206">
          <cell r="C206" t="str">
            <v>2337</v>
          </cell>
          <cell r="D206" t="str">
            <v>Women's, Misses', and Juniors' Suits, Skirts, and Coats</v>
          </cell>
          <cell r="E206" t="str">
            <v>N</v>
          </cell>
          <cell r="F206" t="str">
            <v>Y</v>
          </cell>
          <cell r="H206" t="str">
            <v>MA</v>
          </cell>
          <cell r="I206" t="str">
            <v>N</v>
          </cell>
          <cell r="J206" t="str">
            <v>14XXX</v>
          </cell>
          <cell r="K206" t="str">
            <v>9</v>
          </cell>
          <cell r="L206" t="str">
            <v>N</v>
          </cell>
          <cell r="M206" t="str">
            <v>0</v>
          </cell>
          <cell r="N206" t="b">
            <v>1</v>
          </cell>
          <cell r="S206" t="str">
            <v>Manufacture of textiles &amp; wearables</v>
          </cell>
        </row>
        <row r="207">
          <cell r="C207" t="str">
            <v>2361</v>
          </cell>
          <cell r="D207" t="str">
            <v>Girls', Children's, and Infants' Dresses, Blouses, and Shirts</v>
          </cell>
          <cell r="E207" t="str">
            <v>N</v>
          </cell>
          <cell r="F207" t="str">
            <v>Y</v>
          </cell>
          <cell r="H207" t="str">
            <v>MA</v>
          </cell>
          <cell r="I207" t="str">
            <v>N</v>
          </cell>
          <cell r="J207" t="str">
            <v>14XXX</v>
          </cell>
          <cell r="K207" t="str">
            <v>9</v>
          </cell>
          <cell r="L207" t="str">
            <v>N</v>
          </cell>
          <cell r="M207" t="str">
            <v>0</v>
          </cell>
          <cell r="N207" t="b">
            <v>1</v>
          </cell>
          <cell r="S207" t="str">
            <v>Manufacture of textiles &amp; wearables</v>
          </cell>
        </row>
        <row r="208">
          <cell r="C208" t="str">
            <v>2381</v>
          </cell>
          <cell r="D208" t="str">
            <v>Dress and Work Gloves, Except Knit and All-Leather</v>
          </cell>
          <cell r="E208" t="str">
            <v>N</v>
          </cell>
          <cell r="F208" t="str">
            <v>Y</v>
          </cell>
          <cell r="H208" t="str">
            <v>MA</v>
          </cell>
          <cell r="I208" t="str">
            <v>N</v>
          </cell>
          <cell r="J208" t="str">
            <v>14XXX</v>
          </cell>
          <cell r="K208" t="str">
            <v>9</v>
          </cell>
          <cell r="L208" t="str">
            <v>N</v>
          </cell>
          <cell r="M208" t="str">
            <v>0</v>
          </cell>
          <cell r="N208" t="b">
            <v>1</v>
          </cell>
          <cell r="S208" t="str">
            <v>Manufacture of textiles &amp; wearables</v>
          </cell>
        </row>
        <row r="209">
          <cell r="C209" t="str">
            <v>2384</v>
          </cell>
          <cell r="D209" t="str">
            <v>Robes and Dressing Gowns</v>
          </cell>
          <cell r="E209" t="str">
            <v>N</v>
          </cell>
          <cell r="F209" t="str">
            <v>Y</v>
          </cell>
          <cell r="H209" t="str">
            <v>MA</v>
          </cell>
          <cell r="I209" t="str">
            <v>N</v>
          </cell>
          <cell r="J209" t="str">
            <v>14XXX</v>
          </cell>
          <cell r="K209" t="str">
            <v>9</v>
          </cell>
          <cell r="L209" t="str">
            <v>N</v>
          </cell>
          <cell r="M209" t="str">
            <v>0</v>
          </cell>
          <cell r="N209" t="b">
            <v>1</v>
          </cell>
          <cell r="S209" t="str">
            <v>Manufacture of textiles &amp; wearables</v>
          </cell>
        </row>
        <row r="210">
          <cell r="C210" t="str">
            <v>2341</v>
          </cell>
          <cell r="D210" t="str">
            <v>Women's, Misses', Children's, and Infants' Underwear and Nightwear</v>
          </cell>
          <cell r="E210" t="str">
            <v>N</v>
          </cell>
          <cell r="F210" t="str">
            <v>Y</v>
          </cell>
          <cell r="H210" t="str">
            <v>MA</v>
          </cell>
          <cell r="I210" t="str">
            <v>N</v>
          </cell>
          <cell r="J210" t="str">
            <v>14XXX</v>
          </cell>
          <cell r="K210" t="str">
            <v>9</v>
          </cell>
          <cell r="L210" t="str">
            <v>N</v>
          </cell>
          <cell r="M210" t="str">
            <v>0</v>
          </cell>
          <cell r="N210" t="b">
            <v>1</v>
          </cell>
          <cell r="S210" t="str">
            <v>Manufacture of textiles &amp; wearables</v>
          </cell>
        </row>
        <row r="211">
          <cell r="C211" t="str">
            <v>2339</v>
          </cell>
          <cell r="D211" t="str">
            <v>Women's, Misses', and Juniors' Outerwear, N.E.C.</v>
          </cell>
          <cell r="E211" t="str">
            <v>N</v>
          </cell>
          <cell r="F211" t="str">
            <v>Y</v>
          </cell>
          <cell r="H211" t="str">
            <v>MA</v>
          </cell>
          <cell r="I211" t="str">
            <v>N</v>
          </cell>
          <cell r="J211" t="str">
            <v>14XXX</v>
          </cell>
          <cell r="K211" t="str">
            <v>9</v>
          </cell>
          <cell r="L211" t="str">
            <v>N</v>
          </cell>
          <cell r="M211" t="str">
            <v>0</v>
          </cell>
          <cell r="N211" t="b">
            <v>1</v>
          </cell>
          <cell r="S211" t="str">
            <v>Manufacture of textiles &amp; wearables</v>
          </cell>
        </row>
        <row r="212">
          <cell r="C212" t="str">
            <v>2342</v>
          </cell>
          <cell r="D212" t="str">
            <v>Brassieres, Girdles, and Allied Garments</v>
          </cell>
          <cell r="E212" t="str">
            <v>N</v>
          </cell>
          <cell r="F212" t="str">
            <v>Y</v>
          </cell>
          <cell r="H212" t="str">
            <v>MA</v>
          </cell>
          <cell r="I212" t="str">
            <v>N</v>
          </cell>
          <cell r="J212" t="str">
            <v>14XXX</v>
          </cell>
          <cell r="K212" t="str">
            <v>9</v>
          </cell>
          <cell r="L212" t="str">
            <v>N</v>
          </cell>
          <cell r="M212" t="str">
            <v>0</v>
          </cell>
          <cell r="N212" t="b">
            <v>1</v>
          </cell>
          <cell r="S212" t="str">
            <v>Manufacture of textiles &amp; wearables</v>
          </cell>
        </row>
        <row r="213">
          <cell r="C213" t="str">
            <v>2325</v>
          </cell>
          <cell r="D213" t="str">
            <v>Men's and Boys' Separate Trousers and Slacks</v>
          </cell>
          <cell r="E213" t="str">
            <v>N</v>
          </cell>
          <cell r="F213" t="str">
            <v>Y</v>
          </cell>
          <cell r="H213" t="str">
            <v>MA</v>
          </cell>
          <cell r="I213" t="str">
            <v>N</v>
          </cell>
          <cell r="J213" t="str">
            <v>14XXX</v>
          </cell>
          <cell r="K213" t="str">
            <v>9</v>
          </cell>
          <cell r="L213" t="str">
            <v>N</v>
          </cell>
          <cell r="M213" t="str">
            <v>0</v>
          </cell>
          <cell r="N213" t="b">
            <v>1</v>
          </cell>
          <cell r="S213" t="str">
            <v>Manufacture of textiles &amp; wearables</v>
          </cell>
        </row>
        <row r="214">
          <cell r="C214" t="str">
            <v>2353</v>
          </cell>
          <cell r="D214" t="str">
            <v>Hats, Caps, and Millinery</v>
          </cell>
          <cell r="E214" t="str">
            <v>N</v>
          </cell>
          <cell r="F214" t="str">
            <v>Y</v>
          </cell>
          <cell r="H214" t="str">
            <v>MA</v>
          </cell>
          <cell r="I214" t="str">
            <v>N</v>
          </cell>
          <cell r="J214" t="str">
            <v>14XXX</v>
          </cell>
          <cell r="K214" t="str">
            <v>9</v>
          </cell>
          <cell r="L214" t="str">
            <v>N</v>
          </cell>
          <cell r="M214" t="str">
            <v>0</v>
          </cell>
          <cell r="N214" t="b">
            <v>1</v>
          </cell>
          <cell r="S214" t="str">
            <v>Manufacture of textiles &amp; wearables</v>
          </cell>
        </row>
        <row r="215">
          <cell r="C215" t="str">
            <v>2331</v>
          </cell>
          <cell r="D215" t="str">
            <v>Women's, Misses', and Juniors' Blouses and Shirts</v>
          </cell>
          <cell r="E215" t="str">
            <v>N</v>
          </cell>
          <cell r="F215" t="str">
            <v>Y</v>
          </cell>
          <cell r="H215" t="str">
            <v>MA</v>
          </cell>
          <cell r="I215" t="str">
            <v>N</v>
          </cell>
          <cell r="J215" t="str">
            <v>14XXX</v>
          </cell>
          <cell r="K215" t="str">
            <v>9</v>
          </cell>
          <cell r="L215" t="str">
            <v>N</v>
          </cell>
          <cell r="M215" t="str">
            <v>0</v>
          </cell>
          <cell r="N215" t="b">
            <v>1</v>
          </cell>
          <cell r="S215" t="str">
            <v>Manufacture of textiles &amp; wearables</v>
          </cell>
        </row>
        <row r="216">
          <cell r="C216" t="str">
            <v>2371</v>
          </cell>
          <cell r="D216" t="str">
            <v>Fur Goods</v>
          </cell>
          <cell r="E216" t="str">
            <v>N</v>
          </cell>
          <cell r="F216" t="str">
            <v>Y</v>
          </cell>
          <cell r="H216" t="str">
            <v>MA</v>
          </cell>
          <cell r="I216" t="str">
            <v>N</v>
          </cell>
          <cell r="J216" t="str">
            <v>14XXX</v>
          </cell>
          <cell r="K216" t="str">
            <v>9</v>
          </cell>
          <cell r="L216" t="str">
            <v>N</v>
          </cell>
          <cell r="M216" t="str">
            <v>0</v>
          </cell>
          <cell r="N216" t="b">
            <v>1</v>
          </cell>
          <cell r="S216" t="str">
            <v>Manufacture of textiles &amp; wearables</v>
          </cell>
        </row>
        <row r="217">
          <cell r="C217" t="str">
            <v>3111</v>
          </cell>
          <cell r="D217" t="str">
            <v>Leather Tanning and Finishing</v>
          </cell>
          <cell r="E217" t="str">
            <v>N</v>
          </cell>
          <cell r="F217" t="str">
            <v>Y</v>
          </cell>
          <cell r="H217" t="str">
            <v>MA</v>
          </cell>
          <cell r="I217" t="str">
            <v>N</v>
          </cell>
          <cell r="J217" t="str">
            <v>151XX</v>
          </cell>
          <cell r="K217" t="str">
            <v>9</v>
          </cell>
          <cell r="L217" t="str">
            <v>N</v>
          </cell>
          <cell r="M217" t="str">
            <v>0</v>
          </cell>
          <cell r="N217" t="b">
            <v>1</v>
          </cell>
          <cell r="S217" t="str">
            <v>Manufacture of textiles &amp; wearables</v>
          </cell>
        </row>
        <row r="218">
          <cell r="C218" t="str">
            <v>3151</v>
          </cell>
          <cell r="D218" t="str">
            <v>Leather Gloves and Mittens</v>
          </cell>
          <cell r="E218" t="str">
            <v>N</v>
          </cell>
          <cell r="F218" t="str">
            <v>Y</v>
          </cell>
          <cell r="H218" t="str">
            <v>MA</v>
          </cell>
          <cell r="I218" t="str">
            <v>N</v>
          </cell>
          <cell r="J218" t="str">
            <v>151XX</v>
          </cell>
          <cell r="K218" t="str">
            <v>9</v>
          </cell>
          <cell r="L218" t="str">
            <v>N</v>
          </cell>
          <cell r="M218" t="str">
            <v>0</v>
          </cell>
          <cell r="N218" t="b">
            <v>1</v>
          </cell>
          <cell r="S218" t="str">
            <v>Manufacture of textiles &amp; wearables</v>
          </cell>
        </row>
        <row r="219">
          <cell r="C219" t="str">
            <v>3172</v>
          </cell>
          <cell r="D219" t="str">
            <v>Personal Leather Goods, Except Women's Handbags and Purses</v>
          </cell>
          <cell r="E219" t="str">
            <v>N</v>
          </cell>
          <cell r="F219" t="str">
            <v>Y</v>
          </cell>
          <cell r="H219" t="str">
            <v>MA</v>
          </cell>
          <cell r="I219" t="str">
            <v>N</v>
          </cell>
          <cell r="J219" t="str">
            <v>151XX</v>
          </cell>
          <cell r="K219" t="str">
            <v>9</v>
          </cell>
          <cell r="L219" t="str">
            <v>N</v>
          </cell>
          <cell r="M219" t="str">
            <v>0</v>
          </cell>
          <cell r="N219" t="b">
            <v>1</v>
          </cell>
          <cell r="S219" t="str">
            <v>Manufacture of textiles &amp; wearables</v>
          </cell>
        </row>
        <row r="220">
          <cell r="C220" t="str">
            <v>3199</v>
          </cell>
          <cell r="D220" t="str">
            <v>Leather Goods, N.E.C.</v>
          </cell>
          <cell r="E220" t="str">
            <v>N</v>
          </cell>
          <cell r="F220" t="str">
            <v>Y</v>
          </cell>
          <cell r="H220" t="str">
            <v>MA</v>
          </cell>
          <cell r="I220" t="str">
            <v>N</v>
          </cell>
          <cell r="J220" t="str">
            <v>151XX</v>
          </cell>
          <cell r="K220" t="str">
            <v>9</v>
          </cell>
          <cell r="L220" t="str">
            <v>N</v>
          </cell>
          <cell r="M220" t="str">
            <v>0</v>
          </cell>
          <cell r="N220" t="b">
            <v>1</v>
          </cell>
          <cell r="S220" t="str">
            <v>Manufacture of textiles &amp; wearables</v>
          </cell>
        </row>
        <row r="221">
          <cell r="C221" t="str">
            <v>3161</v>
          </cell>
          <cell r="D221" t="str">
            <v>Luggage</v>
          </cell>
          <cell r="E221" t="str">
            <v>N</v>
          </cell>
          <cell r="F221" t="str">
            <v>Y</v>
          </cell>
          <cell r="H221" t="str">
            <v>MA</v>
          </cell>
          <cell r="I221" t="str">
            <v>N</v>
          </cell>
          <cell r="J221" t="str">
            <v>151XX</v>
          </cell>
          <cell r="K221" t="str">
            <v>9</v>
          </cell>
          <cell r="L221" t="str">
            <v>N</v>
          </cell>
          <cell r="M221" t="str">
            <v>0</v>
          </cell>
          <cell r="N221" t="b">
            <v>1</v>
          </cell>
          <cell r="S221" t="str">
            <v>Manufacture of textiles &amp; wearables</v>
          </cell>
        </row>
        <row r="222">
          <cell r="C222" t="str">
            <v>3171</v>
          </cell>
          <cell r="D222" t="str">
            <v>Women's Handbags and Purses</v>
          </cell>
          <cell r="E222" t="str">
            <v>N</v>
          </cell>
          <cell r="F222" t="str">
            <v>Y</v>
          </cell>
          <cell r="H222" t="str">
            <v>MA</v>
          </cell>
          <cell r="I222" t="str">
            <v>N</v>
          </cell>
          <cell r="J222" t="str">
            <v>151XX</v>
          </cell>
          <cell r="K222" t="str">
            <v>9</v>
          </cell>
          <cell r="L222" t="str">
            <v>N</v>
          </cell>
          <cell r="M222" t="str">
            <v>0</v>
          </cell>
          <cell r="N222" t="b">
            <v>1</v>
          </cell>
          <cell r="S222" t="str">
            <v>Manufacture of textiles &amp; wearables</v>
          </cell>
        </row>
        <row r="223">
          <cell r="C223" t="str">
            <v>2387</v>
          </cell>
          <cell r="D223" t="str">
            <v>Apparel Belts</v>
          </cell>
          <cell r="E223" t="str">
            <v>N</v>
          </cell>
          <cell r="F223" t="str">
            <v>Y</v>
          </cell>
          <cell r="H223" t="str">
            <v>MA</v>
          </cell>
          <cell r="I223" t="str">
            <v>N</v>
          </cell>
          <cell r="J223" t="str">
            <v>151XX</v>
          </cell>
          <cell r="K223" t="str">
            <v>9</v>
          </cell>
          <cell r="L223" t="str">
            <v>N</v>
          </cell>
          <cell r="M223" t="str">
            <v>0</v>
          </cell>
          <cell r="N223" t="b">
            <v>1</v>
          </cell>
          <cell r="S223" t="str">
            <v>Manufacture of textiles &amp; wearables</v>
          </cell>
        </row>
        <row r="224">
          <cell r="C224" t="str">
            <v>2389</v>
          </cell>
          <cell r="D224" t="str">
            <v>Apparel and Accessories, N.E.C.</v>
          </cell>
          <cell r="E224" t="str">
            <v>N</v>
          </cell>
          <cell r="F224" t="str">
            <v>Y</v>
          </cell>
          <cell r="H224" t="str">
            <v>MA</v>
          </cell>
          <cell r="I224" t="str">
            <v>N</v>
          </cell>
          <cell r="J224" t="str">
            <v>151XX</v>
          </cell>
          <cell r="K224" t="str">
            <v>9</v>
          </cell>
          <cell r="L224" t="str">
            <v>N</v>
          </cell>
          <cell r="M224" t="str">
            <v>0</v>
          </cell>
          <cell r="N224" t="b">
            <v>1</v>
          </cell>
          <cell r="S224" t="str">
            <v>Manufacture of textiles &amp; wearables</v>
          </cell>
        </row>
        <row r="225">
          <cell r="C225" t="str">
            <v>3142</v>
          </cell>
          <cell r="D225" t="str">
            <v>House Slippers</v>
          </cell>
          <cell r="E225" t="str">
            <v>N</v>
          </cell>
          <cell r="F225" t="str">
            <v>Y</v>
          </cell>
          <cell r="H225" t="str">
            <v>MA</v>
          </cell>
          <cell r="I225" t="str">
            <v>N</v>
          </cell>
          <cell r="J225" t="str">
            <v>1520X</v>
          </cell>
          <cell r="K225" t="str">
            <v>9</v>
          </cell>
          <cell r="L225" t="str">
            <v>N</v>
          </cell>
          <cell r="M225" t="str">
            <v>0</v>
          </cell>
          <cell r="N225" t="b">
            <v>1</v>
          </cell>
          <cell r="S225" t="str">
            <v>Manufacture of textiles &amp; wearables</v>
          </cell>
        </row>
        <row r="226">
          <cell r="C226" t="str">
            <v>3144</v>
          </cell>
          <cell r="D226" t="str">
            <v>Women's Footwear, Except Athletic</v>
          </cell>
          <cell r="E226" t="str">
            <v>N</v>
          </cell>
          <cell r="F226" t="str">
            <v>Y</v>
          </cell>
          <cell r="H226" t="str">
            <v>MA</v>
          </cell>
          <cell r="I226" t="str">
            <v>N</v>
          </cell>
          <cell r="J226" t="str">
            <v>1520X</v>
          </cell>
          <cell r="K226" t="str">
            <v>9</v>
          </cell>
          <cell r="L226" t="str">
            <v>N</v>
          </cell>
          <cell r="M226" t="str">
            <v>0</v>
          </cell>
          <cell r="N226" t="b">
            <v>1</v>
          </cell>
          <cell r="S226" t="str">
            <v>Manufacture of textiles &amp; wearables</v>
          </cell>
        </row>
        <row r="227">
          <cell r="C227" t="str">
            <v>3131</v>
          </cell>
          <cell r="D227" t="str">
            <v>Boot and Shoe Cut Stock and Findings</v>
          </cell>
          <cell r="E227" t="str">
            <v>N</v>
          </cell>
          <cell r="F227" t="str">
            <v>Y</v>
          </cell>
          <cell r="H227" t="str">
            <v>MA</v>
          </cell>
          <cell r="I227" t="str">
            <v>N</v>
          </cell>
          <cell r="J227" t="str">
            <v>1520X</v>
          </cell>
          <cell r="K227" t="str">
            <v>9</v>
          </cell>
          <cell r="L227" t="str">
            <v>N</v>
          </cell>
          <cell r="M227" t="str">
            <v>0</v>
          </cell>
          <cell r="N227" t="b">
            <v>1</v>
          </cell>
          <cell r="S227" t="str">
            <v>Manufacture of textiles &amp; wearables</v>
          </cell>
        </row>
        <row r="228">
          <cell r="C228" t="str">
            <v>3149</v>
          </cell>
          <cell r="D228" t="str">
            <v>Footwear, Except Rubber, N.E.C.</v>
          </cell>
          <cell r="E228" t="str">
            <v>N</v>
          </cell>
          <cell r="F228" t="str">
            <v>Y</v>
          </cell>
          <cell r="H228" t="str">
            <v>MA</v>
          </cell>
          <cell r="I228" t="str">
            <v>N</v>
          </cell>
          <cell r="J228" t="str">
            <v>1520X</v>
          </cell>
          <cell r="K228" t="str">
            <v>9</v>
          </cell>
          <cell r="L228" t="str">
            <v>N</v>
          </cell>
          <cell r="M228" t="str">
            <v>0</v>
          </cell>
          <cell r="N228" t="b">
            <v>1</v>
          </cell>
          <cell r="S228" t="str">
            <v>Manufacture of textiles &amp; wearables</v>
          </cell>
        </row>
        <row r="229">
          <cell r="C229" t="str">
            <v>3143</v>
          </cell>
          <cell r="D229" t="str">
            <v>Men's Footwear, Except Athletic</v>
          </cell>
          <cell r="E229" t="str">
            <v>N</v>
          </cell>
          <cell r="F229" t="str">
            <v>Y</v>
          </cell>
          <cell r="H229" t="str">
            <v>MA</v>
          </cell>
          <cell r="I229" t="str">
            <v>N</v>
          </cell>
          <cell r="J229" t="str">
            <v>1520X</v>
          </cell>
          <cell r="K229" t="str">
            <v>9</v>
          </cell>
          <cell r="L229" t="str">
            <v>N</v>
          </cell>
          <cell r="M229" t="str">
            <v>0</v>
          </cell>
          <cell r="N229" t="b">
            <v>1</v>
          </cell>
          <cell r="S229" t="str">
            <v>Manufacture of textiles &amp; wearables</v>
          </cell>
        </row>
        <row r="230">
          <cell r="C230" t="str">
            <v>2421</v>
          </cell>
          <cell r="D230" t="str">
            <v>Sawmills and Planing Mills, General</v>
          </cell>
          <cell r="E230" t="str">
            <v>N</v>
          </cell>
          <cell r="F230" t="str">
            <v>Y</v>
          </cell>
          <cell r="H230" t="str">
            <v>MA</v>
          </cell>
          <cell r="I230" t="str">
            <v>N</v>
          </cell>
          <cell r="J230" t="str">
            <v>16XXX</v>
          </cell>
          <cell r="K230" t="str">
            <v>9</v>
          </cell>
          <cell r="L230" t="str">
            <v>N</v>
          </cell>
          <cell r="M230" t="str">
            <v>0</v>
          </cell>
          <cell r="N230" t="b">
            <v>1</v>
          </cell>
          <cell r="S230" t="str">
            <v>Manufacture of wood / paper &amp; paper related products</v>
          </cell>
        </row>
        <row r="231">
          <cell r="C231" t="str">
            <v>2429</v>
          </cell>
          <cell r="D231" t="str">
            <v>Special Product Sawmills, N.E.C.</v>
          </cell>
          <cell r="E231" t="str">
            <v>N</v>
          </cell>
          <cell r="F231" t="str">
            <v>Y</v>
          </cell>
          <cell r="H231" t="str">
            <v>MA</v>
          </cell>
          <cell r="I231" t="str">
            <v>N</v>
          </cell>
          <cell r="J231" t="str">
            <v>16XXX</v>
          </cell>
          <cell r="K231" t="str">
            <v>9</v>
          </cell>
          <cell r="L231" t="str">
            <v>N</v>
          </cell>
          <cell r="M231" t="str">
            <v>0</v>
          </cell>
          <cell r="N231" t="b">
            <v>1</v>
          </cell>
          <cell r="S231" t="str">
            <v>Manufacture of wood / paper &amp; paper related products</v>
          </cell>
        </row>
        <row r="232">
          <cell r="C232" t="str">
            <v>2426</v>
          </cell>
          <cell r="D232" t="str">
            <v>Hardwood Dimension and Flooring Mills</v>
          </cell>
          <cell r="E232" t="str">
            <v>N</v>
          </cell>
          <cell r="F232" t="str">
            <v>Y</v>
          </cell>
          <cell r="H232" t="str">
            <v>MA</v>
          </cell>
          <cell r="I232" t="str">
            <v>N</v>
          </cell>
          <cell r="J232" t="str">
            <v>16XXX</v>
          </cell>
          <cell r="K232" t="str">
            <v>9</v>
          </cell>
          <cell r="L232" t="str">
            <v>N</v>
          </cell>
          <cell r="M232" t="str">
            <v>0</v>
          </cell>
          <cell r="N232" t="b">
            <v>1</v>
          </cell>
          <cell r="S232" t="str">
            <v>Manufacture of wood / paper &amp; paper related products</v>
          </cell>
        </row>
        <row r="233">
          <cell r="C233" t="str">
            <v>2431</v>
          </cell>
          <cell r="D233" t="str">
            <v>Millwork</v>
          </cell>
          <cell r="E233" t="str">
            <v>N</v>
          </cell>
          <cell r="F233" t="str">
            <v>Y</v>
          </cell>
          <cell r="H233" t="str">
            <v>MA</v>
          </cell>
          <cell r="I233" t="str">
            <v>N</v>
          </cell>
          <cell r="J233" t="str">
            <v>16XXX</v>
          </cell>
          <cell r="K233" t="str">
            <v>9</v>
          </cell>
          <cell r="L233" t="str">
            <v>N</v>
          </cell>
          <cell r="M233" t="str">
            <v>0</v>
          </cell>
          <cell r="N233" t="b">
            <v>1</v>
          </cell>
          <cell r="S233" t="str">
            <v>Manufacture of wood / paper &amp; paper related products</v>
          </cell>
        </row>
        <row r="234">
          <cell r="C234" t="str">
            <v>2435</v>
          </cell>
          <cell r="D234" t="str">
            <v>Hardwood Veneer and Plywood</v>
          </cell>
          <cell r="E234" t="str">
            <v>N</v>
          </cell>
          <cell r="F234" t="str">
            <v>Y</v>
          </cell>
          <cell r="H234" t="str">
            <v>MA</v>
          </cell>
          <cell r="I234" t="str">
            <v>N</v>
          </cell>
          <cell r="J234" t="str">
            <v>16XXX</v>
          </cell>
          <cell r="K234" t="str">
            <v>9</v>
          </cell>
          <cell r="L234" t="str">
            <v>N</v>
          </cell>
          <cell r="M234" t="str">
            <v>0</v>
          </cell>
          <cell r="N234" t="b">
            <v>1</v>
          </cell>
          <cell r="S234" t="str">
            <v>Manufacture of wood / paper &amp; paper related products</v>
          </cell>
        </row>
        <row r="235">
          <cell r="C235" t="str">
            <v>2434</v>
          </cell>
          <cell r="D235" t="str">
            <v>Wood Kitchen Cabinets</v>
          </cell>
          <cell r="E235" t="str">
            <v>N</v>
          </cell>
          <cell r="F235" t="str">
            <v>Y</v>
          </cell>
          <cell r="H235" t="str">
            <v>MA</v>
          </cell>
          <cell r="I235" t="str">
            <v>N</v>
          </cell>
          <cell r="J235" t="str">
            <v>16XXX</v>
          </cell>
          <cell r="K235" t="str">
            <v>9</v>
          </cell>
          <cell r="L235" t="str">
            <v>N</v>
          </cell>
          <cell r="M235" t="str">
            <v>0</v>
          </cell>
          <cell r="N235" t="b">
            <v>1</v>
          </cell>
          <cell r="S235" t="str">
            <v>Manufacture of wood / paper &amp; paper related products</v>
          </cell>
        </row>
        <row r="236">
          <cell r="C236" t="str">
            <v>2436</v>
          </cell>
          <cell r="D236" t="str">
            <v>Softwood Veneer and Plywood</v>
          </cell>
          <cell r="E236" t="str">
            <v>N</v>
          </cell>
          <cell r="F236" t="str">
            <v>Y</v>
          </cell>
          <cell r="H236" t="str">
            <v>MA</v>
          </cell>
          <cell r="I236" t="str">
            <v>N</v>
          </cell>
          <cell r="J236" t="str">
            <v>16XXX</v>
          </cell>
          <cell r="K236" t="str">
            <v>9</v>
          </cell>
          <cell r="L236" t="str">
            <v>N</v>
          </cell>
          <cell r="M236" t="str">
            <v>0</v>
          </cell>
          <cell r="N236" t="b">
            <v>1</v>
          </cell>
          <cell r="S236" t="str">
            <v>Manufacture of wood / paper &amp; paper related products</v>
          </cell>
        </row>
        <row r="237">
          <cell r="C237" t="str">
            <v>2452</v>
          </cell>
          <cell r="D237" t="str">
            <v>Prefabricated Wood Buildings and Components</v>
          </cell>
          <cell r="E237" t="str">
            <v>N</v>
          </cell>
          <cell r="F237" t="str">
            <v>Y</v>
          </cell>
          <cell r="H237" t="str">
            <v>MA</v>
          </cell>
          <cell r="I237" t="str">
            <v>N</v>
          </cell>
          <cell r="J237" t="str">
            <v>16XXX</v>
          </cell>
          <cell r="K237" t="str">
            <v>9</v>
          </cell>
          <cell r="L237" t="str">
            <v>N</v>
          </cell>
          <cell r="M237" t="str">
            <v>0</v>
          </cell>
          <cell r="N237" t="b">
            <v>1</v>
          </cell>
          <cell r="S237" t="str">
            <v>Manufacture of wood / paper &amp; paper related products</v>
          </cell>
        </row>
        <row r="238">
          <cell r="C238" t="str">
            <v>2449</v>
          </cell>
          <cell r="D238" t="str">
            <v>Wood Containers, N.E.C.</v>
          </cell>
          <cell r="E238" t="str">
            <v>N</v>
          </cell>
          <cell r="F238" t="str">
            <v>Y</v>
          </cell>
          <cell r="H238" t="str">
            <v>MA</v>
          </cell>
          <cell r="I238" t="str">
            <v>N</v>
          </cell>
          <cell r="J238" t="str">
            <v>16XXX</v>
          </cell>
          <cell r="K238" t="str">
            <v>9</v>
          </cell>
          <cell r="L238" t="str">
            <v>N</v>
          </cell>
          <cell r="M238" t="str">
            <v>0</v>
          </cell>
          <cell r="N238" t="b">
            <v>1</v>
          </cell>
          <cell r="S238" t="str">
            <v>Manufacture of wood / paper &amp; paper related products</v>
          </cell>
        </row>
        <row r="239">
          <cell r="C239" t="str">
            <v>2451</v>
          </cell>
          <cell r="D239" t="str">
            <v>Mobile Homes</v>
          </cell>
          <cell r="E239" t="str">
            <v>N</v>
          </cell>
          <cell r="F239" t="str">
            <v>Y</v>
          </cell>
          <cell r="H239" t="str">
            <v>MA</v>
          </cell>
          <cell r="I239" t="str">
            <v>N</v>
          </cell>
          <cell r="J239" t="str">
            <v>16XXX</v>
          </cell>
          <cell r="K239" t="str">
            <v>9</v>
          </cell>
          <cell r="L239" t="str">
            <v>N</v>
          </cell>
          <cell r="M239" t="str">
            <v>0</v>
          </cell>
          <cell r="N239" t="b">
            <v>1</v>
          </cell>
          <cell r="S239" t="str">
            <v>Manufacture of wood / paper &amp; paper related products</v>
          </cell>
        </row>
        <row r="240">
          <cell r="C240" t="str">
            <v>2448</v>
          </cell>
          <cell r="D240" t="str">
            <v>Wood Pallets and Skids</v>
          </cell>
          <cell r="E240" t="str">
            <v>N</v>
          </cell>
          <cell r="F240" t="str">
            <v>Y</v>
          </cell>
          <cell r="H240" t="str">
            <v>MA</v>
          </cell>
          <cell r="I240" t="str">
            <v>N</v>
          </cell>
          <cell r="J240" t="str">
            <v>16XXX</v>
          </cell>
          <cell r="K240" t="str">
            <v>9</v>
          </cell>
          <cell r="L240" t="str">
            <v>N</v>
          </cell>
          <cell r="M240" t="str">
            <v>0</v>
          </cell>
          <cell r="N240" t="b">
            <v>1</v>
          </cell>
          <cell r="S240" t="str">
            <v>Manufacture of wood / paper &amp; paper related products</v>
          </cell>
        </row>
        <row r="241">
          <cell r="C241" t="str">
            <v>2493</v>
          </cell>
          <cell r="D241" t="str">
            <v>Reconstituted Wood Products</v>
          </cell>
          <cell r="E241" t="str">
            <v>N</v>
          </cell>
          <cell r="F241" t="str">
            <v>Y</v>
          </cell>
          <cell r="H241" t="str">
            <v>MA</v>
          </cell>
          <cell r="I241" t="str">
            <v>N</v>
          </cell>
          <cell r="J241" t="str">
            <v>16XXX</v>
          </cell>
          <cell r="K241" t="str">
            <v>9</v>
          </cell>
          <cell r="L241" t="str">
            <v>N</v>
          </cell>
          <cell r="M241" t="str">
            <v>0</v>
          </cell>
          <cell r="N241" t="b">
            <v>1</v>
          </cell>
          <cell r="S241" t="str">
            <v>Manufacture of wood / paper &amp; paper related products</v>
          </cell>
        </row>
        <row r="242">
          <cell r="C242" t="str">
            <v>2491</v>
          </cell>
          <cell r="D242" t="str">
            <v>Wood Preserving</v>
          </cell>
          <cell r="E242" t="str">
            <v>N</v>
          </cell>
          <cell r="F242" t="str">
            <v>Y</v>
          </cell>
          <cell r="H242" t="str">
            <v>MA</v>
          </cell>
          <cell r="I242" t="str">
            <v>N</v>
          </cell>
          <cell r="J242" t="str">
            <v>16XXX</v>
          </cell>
          <cell r="K242" t="str">
            <v>9</v>
          </cell>
          <cell r="L242" t="str">
            <v>N</v>
          </cell>
          <cell r="M242" t="str">
            <v>0</v>
          </cell>
          <cell r="N242" t="b">
            <v>1</v>
          </cell>
          <cell r="S242" t="str">
            <v>Manufacture of wood / paper &amp; paper related products</v>
          </cell>
        </row>
        <row r="243">
          <cell r="C243" t="str">
            <v>2439</v>
          </cell>
          <cell r="D243" t="str">
            <v>Structural Wood Members, N.E.C.</v>
          </cell>
          <cell r="E243" t="str">
            <v>N</v>
          </cell>
          <cell r="F243" t="str">
            <v>Y</v>
          </cell>
          <cell r="H243" t="str">
            <v>MA</v>
          </cell>
          <cell r="I243" t="str">
            <v>N</v>
          </cell>
          <cell r="J243" t="str">
            <v>16XXX</v>
          </cell>
          <cell r="K243" t="str">
            <v>9</v>
          </cell>
          <cell r="L243" t="str">
            <v>N</v>
          </cell>
          <cell r="M243" t="str">
            <v>0</v>
          </cell>
          <cell r="N243" t="b">
            <v>1</v>
          </cell>
          <cell r="S243" t="str">
            <v>Manufacture of wood / paper &amp; paper related products</v>
          </cell>
        </row>
        <row r="244">
          <cell r="C244" t="str">
            <v>2499</v>
          </cell>
          <cell r="D244" t="str">
            <v>Wood Products, N.E.C.</v>
          </cell>
          <cell r="E244" t="str">
            <v>N</v>
          </cell>
          <cell r="F244" t="str">
            <v>Y</v>
          </cell>
          <cell r="H244" t="str">
            <v>MA</v>
          </cell>
          <cell r="I244" t="str">
            <v>N</v>
          </cell>
          <cell r="J244" t="str">
            <v>16XXX</v>
          </cell>
          <cell r="K244" t="str">
            <v>9</v>
          </cell>
          <cell r="L244" t="str">
            <v>N</v>
          </cell>
          <cell r="M244" t="str">
            <v>0</v>
          </cell>
          <cell r="N244" t="b">
            <v>1</v>
          </cell>
          <cell r="S244" t="str">
            <v>Manufacture of wood / paper &amp; paper related products</v>
          </cell>
        </row>
        <row r="245">
          <cell r="C245" t="str">
            <v>2441</v>
          </cell>
          <cell r="D245" t="str">
            <v>Nailed and Lock Corner Wood Boxes</v>
          </cell>
          <cell r="E245" t="str">
            <v>N</v>
          </cell>
          <cell r="F245" t="str">
            <v>Y</v>
          </cell>
          <cell r="H245" t="str">
            <v>MA</v>
          </cell>
          <cell r="I245" t="str">
            <v>N</v>
          </cell>
          <cell r="J245" t="str">
            <v>16XXX</v>
          </cell>
          <cell r="K245" t="str">
            <v>9</v>
          </cell>
          <cell r="L245" t="str">
            <v>N</v>
          </cell>
          <cell r="M245" t="str">
            <v>0</v>
          </cell>
          <cell r="N245" t="b">
            <v>1</v>
          </cell>
          <cell r="S245" t="str">
            <v>Manufacture of wood / paper &amp; paper related products</v>
          </cell>
        </row>
        <row r="246">
          <cell r="C246" t="str">
            <v>2611</v>
          </cell>
          <cell r="D246" t="str">
            <v>Pulp Mills</v>
          </cell>
          <cell r="E246" t="str">
            <v>T</v>
          </cell>
          <cell r="F246" t="str">
            <v>Y</v>
          </cell>
          <cell r="H246" t="str">
            <v>MA</v>
          </cell>
          <cell r="I246" t="str">
            <v>N</v>
          </cell>
          <cell r="J246" t="str">
            <v>1701X</v>
          </cell>
          <cell r="K246" t="str">
            <v>10</v>
          </cell>
          <cell r="L246" t="str">
            <v>T</v>
          </cell>
          <cell r="M246" t="str">
            <v>10</v>
          </cell>
          <cell r="N246" t="b">
            <v>1</v>
          </cell>
          <cell r="S246" t="str">
            <v>Manufacture of wood / paper &amp; paper related products</v>
          </cell>
        </row>
        <row r="247">
          <cell r="C247" t="str">
            <v>2631</v>
          </cell>
          <cell r="D247" t="str">
            <v>Paperboard Mills</v>
          </cell>
          <cell r="E247" t="str">
            <v>T</v>
          </cell>
          <cell r="F247" t="str">
            <v>Y</v>
          </cell>
          <cell r="H247" t="str">
            <v>MA</v>
          </cell>
          <cell r="I247" t="str">
            <v>N</v>
          </cell>
          <cell r="J247" t="str">
            <v>1701X</v>
          </cell>
          <cell r="K247" t="str">
            <v>10</v>
          </cell>
          <cell r="L247" t="str">
            <v>T</v>
          </cell>
          <cell r="M247" t="str">
            <v>10</v>
          </cell>
          <cell r="N247" t="b">
            <v>1</v>
          </cell>
          <cell r="S247" t="str">
            <v>Manufacture of wood / paper &amp; paper related products</v>
          </cell>
        </row>
        <row r="248">
          <cell r="C248" t="str">
            <v>2621</v>
          </cell>
          <cell r="D248" t="str">
            <v>Paper Mills</v>
          </cell>
          <cell r="E248" t="str">
            <v>T</v>
          </cell>
          <cell r="F248" t="str">
            <v>Y</v>
          </cell>
          <cell r="H248" t="str">
            <v>MA</v>
          </cell>
          <cell r="I248" t="str">
            <v>N</v>
          </cell>
          <cell r="J248" t="str">
            <v>1701X</v>
          </cell>
          <cell r="K248" t="str">
            <v>10</v>
          </cell>
          <cell r="L248" t="str">
            <v>T</v>
          </cell>
          <cell r="M248" t="str">
            <v>10</v>
          </cell>
          <cell r="N248" t="b">
            <v>1</v>
          </cell>
          <cell r="S248" t="str">
            <v>Manufacture of wood / paper &amp; paper related products</v>
          </cell>
        </row>
        <row r="249">
          <cell r="C249" t="str">
            <v>2656</v>
          </cell>
          <cell r="D249" t="str">
            <v>Sanitary Food Containers, Except Folding</v>
          </cell>
          <cell r="E249" t="str">
            <v>T</v>
          </cell>
          <cell r="F249" t="str">
            <v>Y</v>
          </cell>
          <cell r="H249" t="str">
            <v>MA</v>
          </cell>
          <cell r="I249" t="str">
            <v>N</v>
          </cell>
          <cell r="J249" t="str">
            <v>1701X</v>
          </cell>
          <cell r="K249" t="str">
            <v>10</v>
          </cell>
          <cell r="L249" t="str">
            <v>T</v>
          </cell>
          <cell r="M249" t="str">
            <v>10</v>
          </cell>
          <cell r="N249" t="b">
            <v>1</v>
          </cell>
          <cell r="S249" t="str">
            <v>Manufacture of wood / paper &amp; paper related products</v>
          </cell>
        </row>
        <row r="250">
          <cell r="C250" t="str">
            <v>2652</v>
          </cell>
          <cell r="D250" t="str">
            <v>Setup Paperboard Boxes</v>
          </cell>
          <cell r="E250" t="str">
            <v>T</v>
          </cell>
          <cell r="F250" t="str">
            <v>Y</v>
          </cell>
          <cell r="H250" t="str">
            <v>MA</v>
          </cell>
          <cell r="I250" t="str">
            <v>N</v>
          </cell>
          <cell r="J250" t="str">
            <v>1701X</v>
          </cell>
          <cell r="K250" t="str">
            <v>10</v>
          </cell>
          <cell r="L250" t="str">
            <v>T</v>
          </cell>
          <cell r="M250" t="str">
            <v>10</v>
          </cell>
          <cell r="N250" t="b">
            <v>1</v>
          </cell>
          <cell r="S250" t="str">
            <v>Manufacture of wood / paper &amp; paper related products</v>
          </cell>
        </row>
        <row r="251">
          <cell r="C251" t="str">
            <v>2653</v>
          </cell>
          <cell r="D251" t="str">
            <v>Corrugated and Solid Fiber Boxes</v>
          </cell>
          <cell r="E251" t="str">
            <v>T</v>
          </cell>
          <cell r="F251" t="str">
            <v>Y</v>
          </cell>
          <cell r="H251" t="str">
            <v>MA</v>
          </cell>
          <cell r="I251" t="str">
            <v>N</v>
          </cell>
          <cell r="J251" t="str">
            <v>1701X</v>
          </cell>
          <cell r="K251" t="str">
            <v>10</v>
          </cell>
          <cell r="L251" t="str">
            <v>T</v>
          </cell>
          <cell r="M251" t="str">
            <v>10</v>
          </cell>
          <cell r="N251" t="b">
            <v>1</v>
          </cell>
          <cell r="S251" t="str">
            <v>Manufacture of wood / paper &amp; paper related products</v>
          </cell>
        </row>
        <row r="252">
          <cell r="C252" t="str">
            <v>2675</v>
          </cell>
          <cell r="D252" t="str">
            <v>Die-Cut Paper and Paperboard and Cardboard</v>
          </cell>
          <cell r="E252" t="str">
            <v>T</v>
          </cell>
          <cell r="F252" t="str">
            <v>Y</v>
          </cell>
          <cell r="H252" t="str">
            <v>MA</v>
          </cell>
          <cell r="I252" t="str">
            <v>N</v>
          </cell>
          <cell r="J252" t="str">
            <v>1701X</v>
          </cell>
          <cell r="K252" t="str">
            <v>10</v>
          </cell>
          <cell r="L252" t="str">
            <v>T</v>
          </cell>
          <cell r="M252" t="str">
            <v>10</v>
          </cell>
          <cell r="N252" t="b">
            <v>1</v>
          </cell>
          <cell r="S252" t="str">
            <v>Manufacture of wood / paper &amp; paper related products</v>
          </cell>
        </row>
        <row r="253">
          <cell r="C253" t="str">
            <v>2657</v>
          </cell>
          <cell r="D253" t="str">
            <v>Folding Paperboard Boxes, Including Sanitary</v>
          </cell>
          <cell r="E253" t="str">
            <v>T</v>
          </cell>
          <cell r="F253" t="str">
            <v>Y</v>
          </cell>
          <cell r="H253" t="str">
            <v>MA</v>
          </cell>
          <cell r="I253" t="str">
            <v>N</v>
          </cell>
          <cell r="J253" t="str">
            <v>1701X</v>
          </cell>
          <cell r="K253" t="str">
            <v>10</v>
          </cell>
          <cell r="L253" t="str">
            <v>T</v>
          </cell>
          <cell r="M253" t="str">
            <v>10</v>
          </cell>
          <cell r="N253" t="b">
            <v>1</v>
          </cell>
          <cell r="S253" t="str">
            <v>Manufacture of wood / paper &amp; paper related products</v>
          </cell>
        </row>
        <row r="254">
          <cell r="C254" t="str">
            <v>2679</v>
          </cell>
          <cell r="D254" t="str">
            <v>Converted Paper and Paperboard Products, N.E.C.</v>
          </cell>
          <cell r="E254" t="str">
            <v>T</v>
          </cell>
          <cell r="F254" t="str">
            <v>Y</v>
          </cell>
          <cell r="H254" t="str">
            <v>MA</v>
          </cell>
          <cell r="I254" t="str">
            <v>N</v>
          </cell>
          <cell r="J254" t="str">
            <v>1701X</v>
          </cell>
          <cell r="K254" t="str">
            <v>10</v>
          </cell>
          <cell r="L254" t="str">
            <v>T</v>
          </cell>
          <cell r="M254" t="str">
            <v>10</v>
          </cell>
          <cell r="N254" t="b">
            <v>1</v>
          </cell>
          <cell r="S254" t="str">
            <v>Manufacture of wood / paper &amp; paper related products</v>
          </cell>
        </row>
        <row r="255">
          <cell r="C255" t="str">
            <v>2674</v>
          </cell>
          <cell r="D255" t="str">
            <v>Uncoated Paper and Multiwall Bags</v>
          </cell>
          <cell r="E255" t="str">
            <v>T</v>
          </cell>
          <cell r="F255" t="str">
            <v>Y</v>
          </cell>
          <cell r="H255" t="str">
            <v>MA</v>
          </cell>
          <cell r="I255" t="str">
            <v>N</v>
          </cell>
          <cell r="J255" t="str">
            <v>1701X</v>
          </cell>
          <cell r="K255" t="str">
            <v>10</v>
          </cell>
          <cell r="L255" t="str">
            <v>T</v>
          </cell>
          <cell r="M255" t="str">
            <v>10</v>
          </cell>
          <cell r="N255" t="b">
            <v>1</v>
          </cell>
          <cell r="S255" t="str">
            <v>Manufacture of wood / paper &amp; paper related products</v>
          </cell>
        </row>
        <row r="256">
          <cell r="C256" t="str">
            <v>2791</v>
          </cell>
          <cell r="D256" t="str">
            <v>Typesetting</v>
          </cell>
          <cell r="E256" t="str">
            <v>T</v>
          </cell>
          <cell r="F256" t="str">
            <v>Y</v>
          </cell>
          <cell r="H256" t="str">
            <v>MA</v>
          </cell>
          <cell r="I256" t="str">
            <v>N</v>
          </cell>
          <cell r="J256" t="str">
            <v>181XX</v>
          </cell>
          <cell r="K256" t="str">
            <v>10</v>
          </cell>
          <cell r="L256" t="str">
            <v>N</v>
          </cell>
          <cell r="M256" t="str">
            <v>0</v>
          </cell>
          <cell r="N256" t="b">
            <v>0</v>
          </cell>
          <cell r="R256" t="str">
            <v>Should it standardized the tagging?</v>
          </cell>
          <cell r="S256" t="str">
            <v>Printing &amp; reproduction  of recorded media/ Publishing Activities</v>
          </cell>
        </row>
        <row r="257">
          <cell r="C257" t="str">
            <v>2796</v>
          </cell>
          <cell r="D257" t="str">
            <v>Platemaking and Related Services</v>
          </cell>
          <cell r="E257" t="str">
            <v>T</v>
          </cell>
          <cell r="F257" t="str">
            <v>Y</v>
          </cell>
          <cell r="H257" t="str">
            <v>MA</v>
          </cell>
          <cell r="I257" t="str">
            <v>N</v>
          </cell>
          <cell r="J257" t="str">
            <v>181XX</v>
          </cell>
          <cell r="K257" t="str">
            <v>10</v>
          </cell>
          <cell r="L257" t="str">
            <v>N</v>
          </cell>
          <cell r="M257" t="str">
            <v>0</v>
          </cell>
          <cell r="N257" t="b">
            <v>0</v>
          </cell>
          <cell r="R257" t="str">
            <v>Should it standardized the tagging?</v>
          </cell>
          <cell r="S257" t="str">
            <v>Printing &amp; reproduction  of recorded media/ Publishing Activities</v>
          </cell>
        </row>
        <row r="258">
          <cell r="C258" t="str">
            <v>3652</v>
          </cell>
          <cell r="D258" t="str">
            <v>Phonograph Records and Prerecorded Audio Tapes and Disks</v>
          </cell>
          <cell r="E258" t="str">
            <v>T</v>
          </cell>
          <cell r="F258" t="str">
            <v>Y</v>
          </cell>
          <cell r="H258" t="str">
            <v>MA</v>
          </cell>
          <cell r="I258" t="str">
            <v>N</v>
          </cell>
          <cell r="J258" t="str">
            <v>18200</v>
          </cell>
          <cell r="K258" t="str">
            <v>10</v>
          </cell>
          <cell r="L258" t="str">
            <v>N</v>
          </cell>
          <cell r="M258" t="str">
            <v>0</v>
          </cell>
          <cell r="N258" t="b">
            <v>0</v>
          </cell>
          <cell r="R258" t="str">
            <v>Should it standardized the tagging?</v>
          </cell>
          <cell r="S258" t="str">
            <v>Printing &amp; reproduction  of recorded media/ Publishing Activities</v>
          </cell>
        </row>
        <row r="259">
          <cell r="C259" t="str">
            <v>3695</v>
          </cell>
          <cell r="D259" t="str">
            <v>Magnetic and Optical Recording Media</v>
          </cell>
          <cell r="E259" t="str">
            <v>T</v>
          </cell>
          <cell r="F259" t="str">
            <v>Y</v>
          </cell>
          <cell r="H259" t="str">
            <v>MA</v>
          </cell>
          <cell r="I259" t="str">
            <v>N</v>
          </cell>
          <cell r="J259" t="str">
            <v>18200</v>
          </cell>
          <cell r="K259" t="str">
            <v>10</v>
          </cell>
          <cell r="L259" t="str">
            <v>N</v>
          </cell>
          <cell r="M259" t="str">
            <v>0</v>
          </cell>
          <cell r="N259" t="b">
            <v>0</v>
          </cell>
          <cell r="R259" t="str">
            <v>Should it standardized the tagging?</v>
          </cell>
          <cell r="S259" t="str">
            <v>Printing &amp; reproduction  of recorded media/ Publishing Activities</v>
          </cell>
        </row>
        <row r="260">
          <cell r="C260" t="str">
            <v>19XXX</v>
          </cell>
          <cell r="D260" t="str">
            <v>coke oven products</v>
          </cell>
          <cell r="E260" t="str">
            <v>T</v>
          </cell>
          <cell r="F260" t="str">
            <v>Y</v>
          </cell>
          <cell r="H260" t="str">
            <v>MA</v>
          </cell>
          <cell r="I260" t="str">
            <v>N</v>
          </cell>
          <cell r="J260" t="str">
            <v>19XXX</v>
          </cell>
          <cell r="K260" t="str">
            <v>8</v>
          </cell>
          <cell r="L260" t="str">
            <v>N</v>
          </cell>
          <cell r="M260" t="str">
            <v>0</v>
          </cell>
          <cell r="N260" t="b">
            <v>0</v>
          </cell>
          <cell r="R260" t="str">
            <v>Should it standardized the tagging?</v>
          </cell>
          <cell r="S260" t="str">
            <v>Manufacture of chemicals related/ Coke &amp; refined petroleum products</v>
          </cell>
        </row>
        <row r="261">
          <cell r="C261" t="str">
            <v>2911</v>
          </cell>
          <cell r="D261" t="str">
            <v>Petroleum Refining</v>
          </cell>
          <cell r="E261" t="str">
            <v>T</v>
          </cell>
          <cell r="F261" t="str">
            <v>Y</v>
          </cell>
          <cell r="H261" t="str">
            <v>MA</v>
          </cell>
          <cell r="I261" t="str">
            <v>N</v>
          </cell>
          <cell r="J261" t="str">
            <v>19XXX</v>
          </cell>
          <cell r="K261" t="str">
            <v>8</v>
          </cell>
          <cell r="L261" t="str">
            <v>N</v>
          </cell>
          <cell r="M261" t="str">
            <v>0</v>
          </cell>
          <cell r="N261" t="b">
            <v>0</v>
          </cell>
          <cell r="R261" t="str">
            <v>Should it standardized the tagging?</v>
          </cell>
          <cell r="S261" t="str">
            <v>Manufacture of chemicals related/ Coke &amp; refined petroleum products</v>
          </cell>
        </row>
        <row r="262">
          <cell r="C262" t="str">
            <v>2951</v>
          </cell>
          <cell r="D262" t="str">
            <v>Asphalt Paving Mixtures and Blocks</v>
          </cell>
          <cell r="E262" t="str">
            <v>T</v>
          </cell>
          <cell r="F262" t="str">
            <v>Y</v>
          </cell>
          <cell r="H262" t="str">
            <v>MA</v>
          </cell>
          <cell r="I262" t="str">
            <v>N</v>
          </cell>
          <cell r="J262" t="str">
            <v>19XXX</v>
          </cell>
          <cell r="K262" t="str">
            <v>8</v>
          </cell>
          <cell r="L262" t="str">
            <v>N</v>
          </cell>
          <cell r="M262" t="str">
            <v>0</v>
          </cell>
          <cell r="N262" t="b">
            <v>0</v>
          </cell>
          <cell r="R262" t="str">
            <v>Should it standardized the tagging?</v>
          </cell>
          <cell r="S262" t="str">
            <v>Manufacture of chemicals related/ Coke &amp; refined petroleum products</v>
          </cell>
        </row>
        <row r="263">
          <cell r="C263" t="str">
            <v>2952</v>
          </cell>
          <cell r="D263" t="str">
            <v>Asphalt Felts and Coatings</v>
          </cell>
          <cell r="E263" t="str">
            <v>T</v>
          </cell>
          <cell r="F263" t="str">
            <v>Y</v>
          </cell>
          <cell r="H263" t="str">
            <v>MA</v>
          </cell>
          <cell r="I263" t="str">
            <v>N</v>
          </cell>
          <cell r="J263" t="str">
            <v>19XXX</v>
          </cell>
          <cell r="K263" t="str">
            <v>8</v>
          </cell>
          <cell r="L263" t="str">
            <v>N</v>
          </cell>
          <cell r="M263" t="str">
            <v>0</v>
          </cell>
          <cell r="N263" t="b">
            <v>0</v>
          </cell>
          <cell r="R263" t="str">
            <v>Should it standardized the tagging?</v>
          </cell>
          <cell r="S263" t="str">
            <v>Manufacture of chemicals related/ Coke &amp; refined petroleum products</v>
          </cell>
        </row>
        <row r="264">
          <cell r="C264" t="str">
            <v>2992</v>
          </cell>
          <cell r="D264" t="str">
            <v>Lubricating Oils and Greases</v>
          </cell>
          <cell r="E264" t="str">
            <v>T</v>
          </cell>
          <cell r="F264" t="str">
            <v>Y</v>
          </cell>
          <cell r="H264" t="str">
            <v>MA</v>
          </cell>
          <cell r="I264" t="str">
            <v>N</v>
          </cell>
          <cell r="J264" t="str">
            <v>19XXX</v>
          </cell>
          <cell r="K264" t="str">
            <v>8</v>
          </cell>
          <cell r="L264" t="str">
            <v>N</v>
          </cell>
          <cell r="M264" t="str">
            <v>0</v>
          </cell>
          <cell r="N264" t="b">
            <v>0</v>
          </cell>
          <cell r="R264" t="str">
            <v>Should it standardized the tagging?</v>
          </cell>
          <cell r="S264" t="str">
            <v>Manufacture of chemicals related/ Coke &amp; refined petroleum products</v>
          </cell>
        </row>
        <row r="265">
          <cell r="C265" t="str">
            <v>2999</v>
          </cell>
          <cell r="D265" t="str">
            <v>Products of Petroleum and Coal, N.E.C.</v>
          </cell>
          <cell r="E265" t="str">
            <v>T</v>
          </cell>
          <cell r="F265" t="str">
            <v>Y</v>
          </cell>
          <cell r="H265" t="str">
            <v>MA</v>
          </cell>
          <cell r="I265" t="str">
            <v>N</v>
          </cell>
          <cell r="J265" t="str">
            <v>19XXX</v>
          </cell>
          <cell r="K265" t="str">
            <v>8</v>
          </cell>
          <cell r="L265" t="str">
            <v>N</v>
          </cell>
          <cell r="M265" t="str">
            <v>0</v>
          </cell>
          <cell r="N265" t="b">
            <v>0</v>
          </cell>
          <cell r="R265" t="str">
            <v>Should it standardized the tagging?</v>
          </cell>
          <cell r="S265" t="str">
            <v>Manufacture of chemicals related/ Coke &amp; refined petroleum products</v>
          </cell>
        </row>
        <row r="266">
          <cell r="C266" t="str">
            <v>2812</v>
          </cell>
          <cell r="D266" t="str">
            <v>Alkalies and Chlorine</v>
          </cell>
          <cell r="E266" t="str">
            <v>T</v>
          </cell>
          <cell r="F266" t="str">
            <v>Y</v>
          </cell>
          <cell r="H266" t="str">
            <v>MA</v>
          </cell>
          <cell r="I266" t="str">
            <v>N</v>
          </cell>
          <cell r="J266" t="str">
            <v>20XXX</v>
          </cell>
          <cell r="K266" t="str">
            <v>8</v>
          </cell>
          <cell r="L266" t="str">
            <v>T</v>
          </cell>
          <cell r="M266" t="str">
            <v>8</v>
          </cell>
          <cell r="N266" t="b">
            <v>1</v>
          </cell>
          <cell r="S266" t="str">
            <v>Manufacture of chemicals related/ Coke &amp; refined petroleum products</v>
          </cell>
        </row>
        <row r="267">
          <cell r="C267" t="str">
            <v>2813</v>
          </cell>
          <cell r="D267" t="str">
            <v>Industrial Gases</v>
          </cell>
          <cell r="E267" t="str">
            <v>T</v>
          </cell>
          <cell r="F267" t="str">
            <v>Y</v>
          </cell>
          <cell r="H267" t="str">
            <v>MA</v>
          </cell>
          <cell r="I267" t="str">
            <v>N</v>
          </cell>
          <cell r="J267" t="str">
            <v>20XXX</v>
          </cell>
          <cell r="K267" t="str">
            <v>8</v>
          </cell>
          <cell r="L267" t="str">
            <v>T</v>
          </cell>
          <cell r="M267" t="str">
            <v>8</v>
          </cell>
          <cell r="N267" t="b">
            <v>1</v>
          </cell>
          <cell r="S267" t="str">
            <v>Manufacture of chemicals related/ Coke &amp; refined petroleum products</v>
          </cell>
        </row>
        <row r="268">
          <cell r="C268" t="str">
            <v>2823</v>
          </cell>
          <cell r="D268" t="str">
            <v>Cellulosic Manmade Fibers</v>
          </cell>
          <cell r="E268" t="str">
            <v>T</v>
          </cell>
          <cell r="F268" t="str">
            <v>Y</v>
          </cell>
          <cell r="H268" t="str">
            <v>MA</v>
          </cell>
          <cell r="I268" t="str">
            <v>N</v>
          </cell>
          <cell r="J268" t="str">
            <v>20XXX</v>
          </cell>
          <cell r="K268" t="str">
            <v>8</v>
          </cell>
          <cell r="L268" t="str">
            <v>N</v>
          </cell>
          <cell r="M268" t="str">
            <v>0</v>
          </cell>
          <cell r="N268" t="b">
            <v>0</v>
          </cell>
          <cell r="R268" t="str">
            <v>Should it standardized the tagging?</v>
          </cell>
          <cell r="S268" t="str">
            <v>Manufacture of chemicals related/ Coke &amp; refined petroleum products</v>
          </cell>
        </row>
        <row r="269">
          <cell r="C269" t="str">
            <v>2824</v>
          </cell>
          <cell r="D269" t="str">
            <v>Manmade Organic Fibers, Except Cellulosic</v>
          </cell>
          <cell r="E269" t="str">
            <v>T</v>
          </cell>
          <cell r="F269" t="str">
            <v>Y</v>
          </cell>
          <cell r="H269" t="str">
            <v>MA</v>
          </cell>
          <cell r="I269" t="str">
            <v>N</v>
          </cell>
          <cell r="J269" t="str">
            <v>20XXX</v>
          </cell>
          <cell r="K269" t="str">
            <v>8</v>
          </cell>
          <cell r="L269" t="str">
            <v>N</v>
          </cell>
          <cell r="M269" t="str">
            <v>0</v>
          </cell>
          <cell r="N269" t="b">
            <v>0</v>
          </cell>
          <cell r="R269" t="str">
            <v>Should it standardized the tagging?</v>
          </cell>
          <cell r="S269" t="str">
            <v>Manufacture of chemicals related/ Coke &amp; refined petroleum products</v>
          </cell>
        </row>
        <row r="270">
          <cell r="C270" t="str">
            <v>2833</v>
          </cell>
          <cell r="D270" t="str">
            <v>Medicinal Chemicals and Botanical Products</v>
          </cell>
          <cell r="E270" t="str">
            <v>T</v>
          </cell>
          <cell r="F270" t="str">
            <v>Y</v>
          </cell>
          <cell r="H270" t="str">
            <v>MA</v>
          </cell>
          <cell r="I270" t="str">
            <v>N</v>
          </cell>
          <cell r="J270" t="str">
            <v>20XXX</v>
          </cell>
          <cell r="K270" t="str">
            <v>8</v>
          </cell>
          <cell r="L270" t="str">
            <v>N</v>
          </cell>
          <cell r="M270" t="str">
            <v>0</v>
          </cell>
          <cell r="N270" t="b">
            <v>0</v>
          </cell>
          <cell r="R270" t="str">
            <v>Should it standardized the tagging?</v>
          </cell>
          <cell r="S270" t="str">
            <v>Manufacture of chemicals related/ Coke &amp; refined petroleum products</v>
          </cell>
        </row>
        <row r="271">
          <cell r="C271" t="str">
            <v>2875</v>
          </cell>
          <cell r="D271" t="str">
            <v>Fertilizers, Mixing Only</v>
          </cell>
          <cell r="E271" t="str">
            <v>T</v>
          </cell>
          <cell r="F271" t="str">
            <v>Y</v>
          </cell>
          <cell r="H271" t="str">
            <v>MA</v>
          </cell>
          <cell r="I271" t="str">
            <v>N</v>
          </cell>
          <cell r="J271" t="str">
            <v>20XXX</v>
          </cell>
          <cell r="K271" t="str">
            <v>8</v>
          </cell>
          <cell r="L271" t="str">
            <v>N</v>
          </cell>
          <cell r="M271" t="str">
            <v>0</v>
          </cell>
          <cell r="N271" t="b">
            <v>0</v>
          </cell>
          <cell r="R271" t="str">
            <v>Should it standardized the tagging?</v>
          </cell>
          <cell r="S271" t="str">
            <v>Manufacture of chemicals related/ Coke &amp; refined petroleum products</v>
          </cell>
        </row>
        <row r="272">
          <cell r="C272" t="str">
            <v>2879</v>
          </cell>
          <cell r="D272" t="str">
            <v>Pesticides and Agricultural Chemicals, N.E.C.</v>
          </cell>
          <cell r="E272" t="str">
            <v>T</v>
          </cell>
          <cell r="F272" t="str">
            <v>Y</v>
          </cell>
          <cell r="H272" t="str">
            <v>MA</v>
          </cell>
          <cell r="I272" t="str">
            <v>N</v>
          </cell>
          <cell r="J272" t="str">
            <v>20XXX</v>
          </cell>
          <cell r="K272" t="str">
            <v>8</v>
          </cell>
          <cell r="L272" t="str">
            <v>N</v>
          </cell>
          <cell r="M272" t="str">
            <v>0</v>
          </cell>
          <cell r="N272" t="b">
            <v>0</v>
          </cell>
          <cell r="R272" t="str">
            <v>Should it standardized the tagging?</v>
          </cell>
          <cell r="S272" t="str">
            <v>Manufacture of chemicals related/ Coke &amp; refined petroleum products</v>
          </cell>
        </row>
        <row r="273">
          <cell r="C273" t="str">
            <v>2873</v>
          </cell>
          <cell r="D273" t="str">
            <v>Nitrogenous Fertilizers</v>
          </cell>
          <cell r="E273" t="str">
            <v>T</v>
          </cell>
          <cell r="F273" t="str">
            <v>Y</v>
          </cell>
          <cell r="H273" t="str">
            <v>MA</v>
          </cell>
          <cell r="I273" t="str">
            <v>N</v>
          </cell>
          <cell r="J273" t="str">
            <v>20XXX</v>
          </cell>
          <cell r="K273" t="str">
            <v>8</v>
          </cell>
          <cell r="L273" t="str">
            <v>N</v>
          </cell>
          <cell r="M273" t="str">
            <v>0</v>
          </cell>
          <cell r="N273" t="b">
            <v>0</v>
          </cell>
          <cell r="R273" t="str">
            <v>Should it standardized the tagging?</v>
          </cell>
          <cell r="S273" t="str">
            <v>Manufacture of chemicals related/ Coke &amp; refined petroleum products</v>
          </cell>
        </row>
        <row r="274">
          <cell r="C274" t="str">
            <v>2874</v>
          </cell>
          <cell r="D274" t="str">
            <v>Phosphatic Fertilizers</v>
          </cell>
          <cell r="E274" t="str">
            <v>T</v>
          </cell>
          <cell r="F274" t="str">
            <v>Y</v>
          </cell>
          <cell r="H274" t="str">
            <v>MA</v>
          </cell>
          <cell r="I274" t="str">
            <v>N</v>
          </cell>
          <cell r="J274" t="str">
            <v>20XXX</v>
          </cell>
          <cell r="K274" t="str">
            <v>8</v>
          </cell>
          <cell r="L274" t="str">
            <v>N</v>
          </cell>
          <cell r="M274" t="str">
            <v>0</v>
          </cell>
          <cell r="N274" t="b">
            <v>0</v>
          </cell>
          <cell r="R274" t="str">
            <v>Should it standardized the tagging?</v>
          </cell>
          <cell r="S274" t="str">
            <v>Manufacture of chemicals related/ Coke &amp; refined petroleum products</v>
          </cell>
        </row>
        <row r="275">
          <cell r="C275" t="str">
            <v>2841</v>
          </cell>
          <cell r="D275" t="str">
            <v>Soap and Other Detergents, Except Specialty Cleaners</v>
          </cell>
          <cell r="E275" t="str">
            <v>T</v>
          </cell>
          <cell r="F275" t="str">
            <v>Y</v>
          </cell>
          <cell r="H275" t="str">
            <v>MA</v>
          </cell>
          <cell r="I275" t="str">
            <v>N</v>
          </cell>
          <cell r="J275" t="str">
            <v>20XXX</v>
          </cell>
          <cell r="K275" t="str">
            <v>8</v>
          </cell>
          <cell r="L275" t="str">
            <v>T</v>
          </cell>
          <cell r="M275" t="str">
            <v>8</v>
          </cell>
          <cell r="N275" t="b">
            <v>1</v>
          </cell>
          <cell r="S275" t="str">
            <v>Manufacture of chemicals related/ Coke &amp; refined petroleum products</v>
          </cell>
        </row>
        <row r="276">
          <cell r="C276" t="str">
            <v>2842</v>
          </cell>
          <cell r="D276" t="str">
            <v>Specialty Cleaning, Polishing, and Sanitation Preparations</v>
          </cell>
          <cell r="E276" t="str">
            <v>T</v>
          </cell>
          <cell r="F276" t="str">
            <v>Y</v>
          </cell>
          <cell r="H276" t="str">
            <v>MA</v>
          </cell>
          <cell r="I276" t="str">
            <v>N</v>
          </cell>
          <cell r="J276" t="str">
            <v>20XXX</v>
          </cell>
          <cell r="K276" t="str">
            <v>8</v>
          </cell>
          <cell r="L276" t="str">
            <v>T</v>
          </cell>
          <cell r="M276" t="str">
            <v>8</v>
          </cell>
          <cell r="N276" t="b">
            <v>1</v>
          </cell>
          <cell r="S276" t="str">
            <v>Manufacture of chemicals related/ Coke &amp; refined petroleum products</v>
          </cell>
        </row>
        <row r="277">
          <cell r="C277" t="str">
            <v>2844</v>
          </cell>
          <cell r="D277" t="str">
            <v>Perfumes, Cosmetics, and Other Toilet Preparations</v>
          </cell>
          <cell r="E277" t="str">
            <v>T</v>
          </cell>
          <cell r="F277" t="str">
            <v>Y</v>
          </cell>
          <cell r="H277" t="str">
            <v>MA</v>
          </cell>
          <cell r="I277" t="str">
            <v>N</v>
          </cell>
          <cell r="J277" t="str">
            <v>20XXX</v>
          </cell>
          <cell r="K277" t="str">
            <v>8</v>
          </cell>
          <cell r="L277" t="str">
            <v>T</v>
          </cell>
          <cell r="M277" t="str">
            <v>8</v>
          </cell>
          <cell r="N277" t="b">
            <v>1</v>
          </cell>
          <cell r="S277" t="str">
            <v>Manufacture of chemicals related/ Coke &amp; refined petroleum products</v>
          </cell>
        </row>
        <row r="278">
          <cell r="C278" t="str">
            <v>2843</v>
          </cell>
          <cell r="D278" t="str">
            <v>Surface Active Agents, Finishing Agents, Sulfonated Oils, and Assistants</v>
          </cell>
          <cell r="E278" t="str">
            <v>T</v>
          </cell>
          <cell r="F278" t="str">
            <v>Y</v>
          </cell>
          <cell r="H278" t="str">
            <v>MA</v>
          </cell>
          <cell r="I278" t="str">
            <v>N</v>
          </cell>
          <cell r="J278" t="str">
            <v>20XXX</v>
          </cell>
          <cell r="K278" t="str">
            <v>8</v>
          </cell>
          <cell r="L278" t="str">
            <v>T</v>
          </cell>
          <cell r="M278" t="str">
            <v>8</v>
          </cell>
          <cell r="N278" t="b">
            <v>1</v>
          </cell>
          <cell r="S278" t="str">
            <v>Manufacture of chemicals related/ Coke &amp; refined petroleum products</v>
          </cell>
        </row>
        <row r="279">
          <cell r="C279" t="str">
            <v>2851</v>
          </cell>
          <cell r="D279" t="str">
            <v>Paints, Varnishes, Lacquers, Enamels, and Allied Products</v>
          </cell>
          <cell r="E279" t="str">
            <v>T</v>
          </cell>
          <cell r="F279" t="str">
            <v>Y</v>
          </cell>
          <cell r="H279" t="str">
            <v>MA</v>
          </cell>
          <cell r="I279" t="str">
            <v>N</v>
          </cell>
          <cell r="J279" t="str">
            <v>20XXX</v>
          </cell>
          <cell r="K279" t="str">
            <v>8</v>
          </cell>
          <cell r="L279" t="str">
            <v>T</v>
          </cell>
          <cell r="M279" t="str">
            <v>8</v>
          </cell>
          <cell r="N279" t="b">
            <v>1</v>
          </cell>
          <cell r="S279" t="str">
            <v>Manufacture of chemicals related/ Coke &amp; refined petroleum products</v>
          </cell>
        </row>
        <row r="280">
          <cell r="C280" t="str">
            <v>2899</v>
          </cell>
          <cell r="D280" t="str">
            <v>Chemicals and Chemical Preparations, N.E.C.</v>
          </cell>
          <cell r="E280" t="str">
            <v>T</v>
          </cell>
          <cell r="F280" t="str">
            <v>Y</v>
          </cell>
          <cell r="H280" t="str">
            <v>MA</v>
          </cell>
          <cell r="I280" t="str">
            <v>N</v>
          </cell>
          <cell r="J280" t="str">
            <v>20XXX</v>
          </cell>
          <cell r="K280" t="str">
            <v>8</v>
          </cell>
          <cell r="L280" t="str">
            <v>T</v>
          </cell>
          <cell r="M280" t="str">
            <v>8</v>
          </cell>
          <cell r="N280" t="b">
            <v>1</v>
          </cell>
          <cell r="S280" t="str">
            <v>Manufacture of chemicals related/ Coke &amp; refined petroleum products</v>
          </cell>
        </row>
        <row r="281">
          <cell r="C281" t="str">
            <v>2869</v>
          </cell>
          <cell r="D281" t="str">
            <v>Industrial Organic Chemicals, N.E.C.</v>
          </cell>
          <cell r="E281" t="str">
            <v>T</v>
          </cell>
          <cell r="F281" t="str">
            <v>Y</v>
          </cell>
          <cell r="H281" t="str">
            <v>MA</v>
          </cell>
          <cell r="I281" t="str">
            <v>N</v>
          </cell>
          <cell r="J281" t="str">
            <v>20XXX</v>
          </cell>
          <cell r="K281" t="str">
            <v>8</v>
          </cell>
          <cell r="L281" t="str">
            <v>T</v>
          </cell>
          <cell r="M281" t="str">
            <v>8</v>
          </cell>
          <cell r="N281" t="b">
            <v>1</v>
          </cell>
          <cell r="S281" t="str">
            <v>Manufacture of chemicals related/ Coke &amp; refined petroleum products</v>
          </cell>
        </row>
        <row r="282">
          <cell r="C282" t="str">
            <v>2861</v>
          </cell>
          <cell r="D282" t="str">
            <v>Gum and Wood Chemicals</v>
          </cell>
          <cell r="E282" t="str">
            <v>T</v>
          </cell>
          <cell r="F282" t="str">
            <v>Y</v>
          </cell>
          <cell r="H282" t="str">
            <v>MA</v>
          </cell>
          <cell r="I282" t="str">
            <v>N</v>
          </cell>
          <cell r="J282" t="str">
            <v>20XXX</v>
          </cell>
          <cell r="K282" t="str">
            <v>8</v>
          </cell>
          <cell r="L282" t="str">
            <v>T</v>
          </cell>
          <cell r="M282" t="str">
            <v>8</v>
          </cell>
          <cell r="N282" t="b">
            <v>1</v>
          </cell>
          <cell r="S282" t="str">
            <v>Manufacture of chemicals related/ Coke &amp; refined petroleum products</v>
          </cell>
        </row>
        <row r="283">
          <cell r="C283" t="str">
            <v>2865</v>
          </cell>
          <cell r="D283" t="str">
            <v>Cyclic Organic Crudes and Intermediates, and Organic Dyes and Pigments</v>
          </cell>
          <cell r="E283" t="str">
            <v>T</v>
          </cell>
          <cell r="F283" t="str">
            <v>Y</v>
          </cell>
          <cell r="H283" t="str">
            <v>MA</v>
          </cell>
          <cell r="I283" t="str">
            <v>N</v>
          </cell>
          <cell r="J283" t="str">
            <v>20XXX</v>
          </cell>
          <cell r="K283" t="str">
            <v>8</v>
          </cell>
          <cell r="L283" t="str">
            <v>T</v>
          </cell>
          <cell r="M283" t="str">
            <v>8</v>
          </cell>
          <cell r="N283" t="b">
            <v>1</v>
          </cell>
          <cell r="S283" t="str">
            <v>Manufacture of chemicals related/ Coke &amp; refined petroleum products</v>
          </cell>
        </row>
        <row r="284">
          <cell r="C284" t="str">
            <v>2891</v>
          </cell>
          <cell r="D284" t="str">
            <v>Adhesives and Sealants</v>
          </cell>
          <cell r="E284" t="str">
            <v>T</v>
          </cell>
          <cell r="F284" t="str">
            <v>Y</v>
          </cell>
          <cell r="H284" t="str">
            <v>MA</v>
          </cell>
          <cell r="I284" t="str">
            <v>N</v>
          </cell>
          <cell r="J284" t="str">
            <v>20XXX</v>
          </cell>
          <cell r="K284" t="str">
            <v>8</v>
          </cell>
          <cell r="L284" t="str">
            <v>T</v>
          </cell>
          <cell r="M284" t="str">
            <v>8</v>
          </cell>
          <cell r="N284" t="b">
            <v>1</v>
          </cell>
          <cell r="S284" t="str">
            <v>Manufacture of chemicals related/ Coke &amp; refined petroleum products</v>
          </cell>
        </row>
        <row r="285">
          <cell r="C285" t="str">
            <v>2892</v>
          </cell>
          <cell r="D285" t="str">
            <v>Explosives</v>
          </cell>
          <cell r="E285" t="str">
            <v>T</v>
          </cell>
          <cell r="F285" t="str">
            <v>Y</v>
          </cell>
          <cell r="H285" t="str">
            <v>MA</v>
          </cell>
          <cell r="I285" t="str">
            <v>N</v>
          </cell>
          <cell r="J285" t="str">
            <v>20XXX</v>
          </cell>
          <cell r="K285" t="str">
            <v>8</v>
          </cell>
          <cell r="L285" t="str">
            <v>T</v>
          </cell>
          <cell r="M285" t="str">
            <v>8</v>
          </cell>
          <cell r="N285" t="b">
            <v>1</v>
          </cell>
          <cell r="S285" t="str">
            <v>Manufacture of chemicals related/ Coke &amp; refined petroleum products</v>
          </cell>
        </row>
        <row r="286">
          <cell r="C286" t="str">
            <v>2895</v>
          </cell>
          <cell r="D286" t="str">
            <v>Carbon Black</v>
          </cell>
          <cell r="E286" t="str">
            <v>T</v>
          </cell>
          <cell r="F286" t="str">
            <v>Y</v>
          </cell>
          <cell r="H286" t="str">
            <v>MA</v>
          </cell>
          <cell r="I286" t="str">
            <v>N</v>
          </cell>
          <cell r="J286" t="str">
            <v>20XXX</v>
          </cell>
          <cell r="K286" t="str">
            <v>8</v>
          </cell>
          <cell r="L286" t="str">
            <v>T</v>
          </cell>
          <cell r="M286" t="str">
            <v>8</v>
          </cell>
          <cell r="N286" t="b">
            <v>1</v>
          </cell>
          <cell r="S286" t="str">
            <v>Manufacture of chemicals related/ Coke &amp; refined petroleum products</v>
          </cell>
        </row>
        <row r="287">
          <cell r="C287" t="str">
            <v>2816</v>
          </cell>
          <cell r="D287" t="str">
            <v>Inorganic Pigments</v>
          </cell>
          <cell r="E287" t="str">
            <v>T</v>
          </cell>
          <cell r="F287" t="str">
            <v>Y</v>
          </cell>
          <cell r="H287" t="str">
            <v>MA</v>
          </cell>
          <cell r="I287" t="str">
            <v>N</v>
          </cell>
          <cell r="J287" t="str">
            <v>20XXX</v>
          </cell>
          <cell r="K287" t="str">
            <v>8</v>
          </cell>
          <cell r="L287" t="str">
            <v>T</v>
          </cell>
          <cell r="M287" t="str">
            <v>8</v>
          </cell>
          <cell r="N287" t="b">
            <v>1</v>
          </cell>
          <cell r="S287" t="str">
            <v>Manufacture of chemicals related/ Coke &amp; refined petroleum products</v>
          </cell>
        </row>
        <row r="288">
          <cell r="C288" t="str">
            <v>2893</v>
          </cell>
          <cell r="D288" t="str">
            <v>Printing Ink</v>
          </cell>
          <cell r="E288" t="str">
            <v>T</v>
          </cell>
          <cell r="F288" t="str">
            <v>Y</v>
          </cell>
          <cell r="H288" t="str">
            <v>MA</v>
          </cell>
          <cell r="I288" t="str">
            <v>N</v>
          </cell>
          <cell r="J288" t="str">
            <v>20XXX</v>
          </cell>
          <cell r="K288" t="str">
            <v>8</v>
          </cell>
          <cell r="L288" t="str">
            <v>T</v>
          </cell>
          <cell r="M288" t="str">
            <v>8</v>
          </cell>
          <cell r="N288" t="b">
            <v>1</v>
          </cell>
          <cell r="S288" t="str">
            <v>Manufacture of chemicals related/ Coke &amp; refined petroleum products</v>
          </cell>
        </row>
        <row r="289">
          <cell r="C289" t="str">
            <v>2819</v>
          </cell>
          <cell r="D289" t="str">
            <v>Industrial Inorganic Chemicals, N.E.C.</v>
          </cell>
          <cell r="E289" t="str">
            <v>T</v>
          </cell>
          <cell r="F289" t="str">
            <v>Y</v>
          </cell>
          <cell r="H289" t="str">
            <v>MA</v>
          </cell>
          <cell r="I289" t="str">
            <v>N</v>
          </cell>
          <cell r="J289" t="str">
            <v>20XXX</v>
          </cell>
          <cell r="K289" t="str">
            <v>8</v>
          </cell>
          <cell r="L289" t="str">
            <v>T</v>
          </cell>
          <cell r="M289" t="str">
            <v>8</v>
          </cell>
          <cell r="N289" t="b">
            <v>1</v>
          </cell>
          <cell r="S289" t="str">
            <v>Manufacture of chemicals related/ Coke &amp; refined petroleum products</v>
          </cell>
        </row>
        <row r="290">
          <cell r="C290" t="str">
            <v>20XXX</v>
          </cell>
          <cell r="D290" t="str">
            <v>Processing of nuclear fuel</v>
          </cell>
          <cell r="E290" t="str">
            <v>T</v>
          </cell>
          <cell r="F290" t="str">
            <v>Y</v>
          </cell>
          <cell r="H290" t="str">
            <v>MA</v>
          </cell>
          <cell r="I290" t="str">
            <v>N</v>
          </cell>
          <cell r="J290" t="str">
            <v>20XXX</v>
          </cell>
          <cell r="K290" t="str">
            <v>8</v>
          </cell>
          <cell r="L290" t="str">
            <v>N</v>
          </cell>
          <cell r="M290" t="str">
            <v>0</v>
          </cell>
          <cell r="N290" t="b">
            <v>0</v>
          </cell>
          <cell r="R290" t="str">
            <v>Should it standardized the tagging?</v>
          </cell>
          <cell r="S290" t="str">
            <v>Manufacture of chemicals related/ Coke &amp; refined petroleum products</v>
          </cell>
        </row>
        <row r="291">
          <cell r="C291" t="str">
            <v>2834</v>
          </cell>
          <cell r="D291" t="str">
            <v>Pharmaceutical Preparations</v>
          </cell>
          <cell r="E291" t="str">
            <v>T</v>
          </cell>
          <cell r="F291" t="str">
            <v>Y</v>
          </cell>
          <cell r="H291" t="str">
            <v>MA</v>
          </cell>
          <cell r="I291" t="str">
            <v>N</v>
          </cell>
          <cell r="J291" t="str">
            <v>21XXX</v>
          </cell>
          <cell r="K291" t="str">
            <v>8</v>
          </cell>
          <cell r="L291" t="str">
            <v>T</v>
          </cell>
          <cell r="M291" t="str">
            <v>8</v>
          </cell>
          <cell r="N291" t="b">
            <v>1</v>
          </cell>
          <cell r="S291" t="str">
            <v>Manufacture of medical related products</v>
          </cell>
        </row>
        <row r="292">
          <cell r="C292" t="str">
            <v>2835</v>
          </cell>
          <cell r="D292" t="str">
            <v>In Vitro and In Vivo Diagnostic Substances</v>
          </cell>
          <cell r="E292" t="str">
            <v>T</v>
          </cell>
          <cell r="F292" t="str">
            <v>Y</v>
          </cell>
          <cell r="H292" t="str">
            <v>MA</v>
          </cell>
          <cell r="I292" t="str">
            <v>N</v>
          </cell>
          <cell r="J292" t="str">
            <v>21XXX</v>
          </cell>
          <cell r="K292" t="str">
            <v>8</v>
          </cell>
          <cell r="L292" t="str">
            <v>T</v>
          </cell>
          <cell r="M292" t="str">
            <v>8</v>
          </cell>
          <cell r="N292" t="b">
            <v>1</v>
          </cell>
          <cell r="S292" t="str">
            <v>Manufacture of medical related products</v>
          </cell>
        </row>
        <row r="293">
          <cell r="C293" t="str">
            <v>2836</v>
          </cell>
          <cell r="D293" t="str">
            <v>Biological Products, Except Diagnostic Substances</v>
          </cell>
          <cell r="E293" t="str">
            <v>T</v>
          </cell>
          <cell r="F293" t="str">
            <v>Y</v>
          </cell>
          <cell r="H293" t="str">
            <v>MA</v>
          </cell>
          <cell r="I293" t="str">
            <v>N</v>
          </cell>
          <cell r="J293" t="str">
            <v>21XXX</v>
          </cell>
          <cell r="K293" t="str">
            <v>8</v>
          </cell>
          <cell r="L293" t="str">
            <v>T</v>
          </cell>
          <cell r="M293" t="str">
            <v>8</v>
          </cell>
          <cell r="N293" t="b">
            <v>1</v>
          </cell>
          <cell r="S293" t="str">
            <v>Manufacture of medical related products</v>
          </cell>
        </row>
        <row r="294">
          <cell r="C294" t="str">
            <v>2822</v>
          </cell>
          <cell r="D294" t="str">
            <v>Synthetic Rubber (Vulcanizable Elastomers)</v>
          </cell>
          <cell r="E294" t="str">
            <v>T</v>
          </cell>
          <cell r="F294" t="str">
            <v>Y</v>
          </cell>
          <cell r="H294" t="str">
            <v>MA</v>
          </cell>
          <cell r="I294" t="str">
            <v>N</v>
          </cell>
          <cell r="J294" t="str">
            <v>22XXX</v>
          </cell>
          <cell r="K294" t="str">
            <v>8</v>
          </cell>
          <cell r="L294" t="str">
            <v>T</v>
          </cell>
          <cell r="M294" t="str">
            <v>8</v>
          </cell>
          <cell r="N294" t="b">
            <v>1</v>
          </cell>
          <cell r="R294" t="str">
            <v>Under the same BNM code, however there is tagging "high risk" &amp; "target"? Propose to standardize</v>
          </cell>
          <cell r="S294" t="str">
            <v>Manufacture of rubber/ plastic/ other-metallic products</v>
          </cell>
        </row>
        <row r="295">
          <cell r="C295" t="str">
            <v>3011</v>
          </cell>
          <cell r="D295" t="str">
            <v>Tires and Inner Tubes</v>
          </cell>
          <cell r="E295" t="str">
            <v>T</v>
          </cell>
          <cell r="F295" t="str">
            <v>Y</v>
          </cell>
          <cell r="H295" t="str">
            <v>MA</v>
          </cell>
          <cell r="I295" t="str">
            <v>N</v>
          </cell>
          <cell r="J295" t="str">
            <v>22XXX</v>
          </cell>
          <cell r="K295" t="str">
            <v>8</v>
          </cell>
          <cell r="L295" t="str">
            <v>T</v>
          </cell>
          <cell r="M295" t="str">
            <v>8</v>
          </cell>
          <cell r="N295" t="b">
            <v>1</v>
          </cell>
          <cell r="S295" t="str">
            <v>Manufacture of rubber/ plastic/ other-metallic products</v>
          </cell>
        </row>
        <row r="296">
          <cell r="C296" t="str">
            <v>3053</v>
          </cell>
          <cell r="D296" t="str">
            <v>Gaskets, Packing, and Sealing Devices</v>
          </cell>
          <cell r="E296" t="str">
            <v>T</v>
          </cell>
          <cell r="F296" t="str">
            <v>Y</v>
          </cell>
          <cell r="H296" t="str">
            <v>MA</v>
          </cell>
          <cell r="I296" t="str">
            <v>N</v>
          </cell>
          <cell r="J296" t="str">
            <v>22XXX</v>
          </cell>
          <cell r="K296" t="str">
            <v>8</v>
          </cell>
          <cell r="L296" t="str">
            <v>T</v>
          </cell>
          <cell r="M296" t="str">
            <v>8</v>
          </cell>
          <cell r="N296" t="b">
            <v>1</v>
          </cell>
          <cell r="R296" t="str">
            <v>Under the same BNM code, however there is tagging "high risk" &amp; "target"? Propose to standardize</v>
          </cell>
          <cell r="S296" t="str">
            <v>Manufacture of rubber/ plastic/ other-metallic products</v>
          </cell>
        </row>
        <row r="297">
          <cell r="C297" t="str">
            <v>2821</v>
          </cell>
          <cell r="D297" t="str">
            <v>Plastics Materials, Synthetic Resins, and Nonvulcanizable Elastomers</v>
          </cell>
          <cell r="E297" t="str">
            <v>H</v>
          </cell>
          <cell r="F297" t="str">
            <v>Y</v>
          </cell>
          <cell r="H297" t="str">
            <v>MA</v>
          </cell>
          <cell r="I297" t="str">
            <v>N</v>
          </cell>
          <cell r="J297" t="str">
            <v>22XXX</v>
          </cell>
          <cell r="K297" t="str">
            <v>8</v>
          </cell>
          <cell r="L297" t="str">
            <v>H</v>
          </cell>
          <cell r="M297" t="str">
            <v>0</v>
          </cell>
          <cell r="N297" t="b">
            <v>1</v>
          </cell>
          <cell r="P297" t="str">
            <v>Y</v>
          </cell>
          <cell r="R297" t="str">
            <v>Under the same BNM code, however there is tagging "high risk" &amp; "target"? Propose to standardize</v>
          </cell>
          <cell r="S297" t="str">
            <v>Manufacture of rubber/ plastic/ other-metallic products</v>
          </cell>
        </row>
        <row r="298">
          <cell r="C298" t="str">
            <v>3069</v>
          </cell>
          <cell r="D298" t="str">
            <v>Fabricated Rubber Products, N.E.C.</v>
          </cell>
          <cell r="E298" t="str">
            <v>T</v>
          </cell>
          <cell r="F298" t="str">
            <v>Y</v>
          </cell>
          <cell r="H298" t="str">
            <v>MA</v>
          </cell>
          <cell r="I298" t="str">
            <v>N</v>
          </cell>
          <cell r="J298" t="str">
            <v>22XXX</v>
          </cell>
          <cell r="K298" t="str">
            <v>8</v>
          </cell>
          <cell r="L298" t="str">
            <v>T</v>
          </cell>
          <cell r="M298" t="str">
            <v>8</v>
          </cell>
          <cell r="N298" t="b">
            <v>1</v>
          </cell>
          <cell r="R298" t="str">
            <v>Under the same BNM code, however there is tagging "high risk" &amp; "target"? Propose to standardize</v>
          </cell>
          <cell r="S298" t="str">
            <v>Manufacture of rubber/ plastic/ other-metallic products</v>
          </cell>
        </row>
        <row r="299">
          <cell r="C299" t="str">
            <v>3061</v>
          </cell>
          <cell r="D299" t="str">
            <v>Molded, Extruded, and Lathe-Cut Mechanical Rubber Goods</v>
          </cell>
          <cell r="E299" t="str">
            <v>T</v>
          </cell>
          <cell r="F299" t="str">
            <v>Y</v>
          </cell>
          <cell r="H299" t="str">
            <v>MA</v>
          </cell>
          <cell r="I299" t="str">
            <v>N</v>
          </cell>
          <cell r="J299" t="str">
            <v>22XXX</v>
          </cell>
          <cell r="K299" t="str">
            <v>8</v>
          </cell>
          <cell r="L299" t="str">
            <v>T</v>
          </cell>
          <cell r="M299" t="str">
            <v>8</v>
          </cell>
          <cell r="N299" t="b">
            <v>1</v>
          </cell>
          <cell r="R299" t="str">
            <v>Under the same BNM code, however there is tagging "high risk" &amp; "target"? Propose to standardize</v>
          </cell>
          <cell r="S299" t="str">
            <v>Manufacture of rubber/ plastic/ other-metallic products</v>
          </cell>
        </row>
        <row r="300">
          <cell r="C300" t="str">
            <v>3052</v>
          </cell>
          <cell r="D300" t="str">
            <v>Rubber and Plastics Hose and Belting</v>
          </cell>
          <cell r="E300" t="str">
            <v>H</v>
          </cell>
          <cell r="F300" t="str">
            <v>Y</v>
          </cell>
          <cell r="H300" t="str">
            <v>MA</v>
          </cell>
          <cell r="I300" t="str">
            <v>N</v>
          </cell>
          <cell r="J300" t="str">
            <v>22XXX</v>
          </cell>
          <cell r="K300" t="str">
            <v>8</v>
          </cell>
          <cell r="L300" t="str">
            <v>H</v>
          </cell>
          <cell r="M300" t="str">
            <v>0</v>
          </cell>
          <cell r="N300" t="b">
            <v>1</v>
          </cell>
          <cell r="R300" t="str">
            <v>Under the same BNM code, however there is tagging "high risk" &amp; "target"? Propose to standardize</v>
          </cell>
          <cell r="S300" t="str">
            <v>Manufacture of rubber/ plastic/ other-metallic products</v>
          </cell>
        </row>
        <row r="301">
          <cell r="C301" t="str">
            <v>3021</v>
          </cell>
          <cell r="D301" t="str">
            <v>Rubber and Plastics Footwear</v>
          </cell>
          <cell r="E301" t="str">
            <v>H</v>
          </cell>
          <cell r="F301" t="str">
            <v>Y</v>
          </cell>
          <cell r="H301" t="str">
            <v>MA</v>
          </cell>
          <cell r="I301" t="str">
            <v>N</v>
          </cell>
          <cell r="J301" t="str">
            <v>22XXX</v>
          </cell>
          <cell r="K301" t="str">
            <v>8</v>
          </cell>
          <cell r="L301" t="str">
            <v>H</v>
          </cell>
          <cell r="M301" t="str">
            <v>0</v>
          </cell>
          <cell r="N301" t="b">
            <v>1</v>
          </cell>
          <cell r="R301" t="str">
            <v>Under the same BNM code, however there is tagging "high risk" &amp; "target"? Propose to standardize</v>
          </cell>
          <cell r="S301" t="str">
            <v>Manufacture of rubber/ plastic/ other-metallic products</v>
          </cell>
        </row>
        <row r="302">
          <cell r="C302" t="str">
            <v>3083</v>
          </cell>
          <cell r="D302" t="str">
            <v>Laminated Plastics Plate, Sheet, and Profile Shapes</v>
          </cell>
          <cell r="E302" t="str">
            <v>H</v>
          </cell>
          <cell r="F302" t="str">
            <v>Y</v>
          </cell>
          <cell r="H302" t="str">
            <v>MA</v>
          </cell>
          <cell r="I302" t="str">
            <v>N</v>
          </cell>
          <cell r="J302" t="str">
            <v>22XXX</v>
          </cell>
          <cell r="K302" t="str">
            <v>8</v>
          </cell>
          <cell r="L302" t="str">
            <v>H</v>
          </cell>
          <cell r="M302" t="str">
            <v>0</v>
          </cell>
          <cell r="N302" t="b">
            <v>1</v>
          </cell>
          <cell r="P302" t="str">
            <v>Y</v>
          </cell>
          <cell r="S302" t="str">
            <v>Manufacture of rubber/ plastic/ other-metallic products</v>
          </cell>
        </row>
        <row r="303">
          <cell r="C303" t="str">
            <v>3081</v>
          </cell>
          <cell r="D303" t="str">
            <v>Unsupported Plastics Film and Sheet</v>
          </cell>
          <cell r="E303" t="str">
            <v>H</v>
          </cell>
          <cell r="F303" t="str">
            <v>Y</v>
          </cell>
          <cell r="H303" t="str">
            <v>MA</v>
          </cell>
          <cell r="I303" t="str">
            <v>N</v>
          </cell>
          <cell r="J303" t="str">
            <v>22XXX</v>
          </cell>
          <cell r="K303" t="str">
            <v>8</v>
          </cell>
          <cell r="L303" t="str">
            <v>H</v>
          </cell>
          <cell r="M303" t="str">
            <v>0</v>
          </cell>
          <cell r="N303" t="b">
            <v>1</v>
          </cell>
          <cell r="P303" t="str">
            <v>Y</v>
          </cell>
          <cell r="S303" t="str">
            <v>Manufacture of rubber/ plastic/ other-metallic products</v>
          </cell>
        </row>
        <row r="304">
          <cell r="C304" t="str">
            <v>3082</v>
          </cell>
          <cell r="D304" t="str">
            <v>Unsupported Plastics Profile Shapes</v>
          </cell>
          <cell r="E304" t="str">
            <v>H</v>
          </cell>
          <cell r="F304" t="str">
            <v>Y</v>
          </cell>
          <cell r="H304" t="str">
            <v>MA</v>
          </cell>
          <cell r="I304" t="str">
            <v>N</v>
          </cell>
          <cell r="J304" t="str">
            <v>22XXX</v>
          </cell>
          <cell r="K304" t="str">
            <v>8</v>
          </cell>
          <cell r="L304" t="str">
            <v>H</v>
          </cell>
          <cell r="M304" t="str">
            <v>0</v>
          </cell>
          <cell r="N304" t="b">
            <v>1</v>
          </cell>
          <cell r="P304" t="str">
            <v>Y</v>
          </cell>
          <cell r="S304" t="str">
            <v>Manufacture of rubber/ plastic/ other-metallic products</v>
          </cell>
        </row>
        <row r="305">
          <cell r="C305" t="str">
            <v>3084</v>
          </cell>
          <cell r="D305" t="str">
            <v>Plastics Pipe</v>
          </cell>
          <cell r="E305" t="str">
            <v>H</v>
          </cell>
          <cell r="F305" t="str">
            <v>Y</v>
          </cell>
          <cell r="H305" t="str">
            <v>MA</v>
          </cell>
          <cell r="I305" t="str">
            <v>N</v>
          </cell>
          <cell r="J305" t="str">
            <v>22XXX</v>
          </cell>
          <cell r="K305" t="str">
            <v>8</v>
          </cell>
          <cell r="L305" t="str">
            <v>H</v>
          </cell>
          <cell r="M305" t="str">
            <v>0</v>
          </cell>
          <cell r="N305" t="b">
            <v>1</v>
          </cell>
          <cell r="P305" t="str">
            <v>Y</v>
          </cell>
          <cell r="S305" t="str">
            <v>Manufacture of rubber/ plastic/ other-metallic products</v>
          </cell>
        </row>
        <row r="306">
          <cell r="C306" t="str">
            <v>3086</v>
          </cell>
          <cell r="D306" t="str">
            <v>Plastics Foam Products</v>
          </cell>
          <cell r="E306" t="str">
            <v>H</v>
          </cell>
          <cell r="F306" t="str">
            <v>Y</v>
          </cell>
          <cell r="H306" t="str">
            <v>MA</v>
          </cell>
          <cell r="I306" t="str">
            <v>N</v>
          </cell>
          <cell r="J306" t="str">
            <v>22XXX</v>
          </cell>
          <cell r="K306" t="str">
            <v>8</v>
          </cell>
          <cell r="L306" t="str">
            <v>H</v>
          </cell>
          <cell r="M306" t="str">
            <v>0</v>
          </cell>
          <cell r="N306" t="b">
            <v>1</v>
          </cell>
          <cell r="P306" t="str">
            <v>Y</v>
          </cell>
          <cell r="S306" t="str">
            <v>Manufacture of rubber/ plastic/ other-metallic products</v>
          </cell>
        </row>
        <row r="307">
          <cell r="C307" t="str">
            <v>3087</v>
          </cell>
          <cell r="D307" t="str">
            <v>Custom Compounding of Purchased Plastics Resins</v>
          </cell>
          <cell r="E307" t="str">
            <v>H</v>
          </cell>
          <cell r="F307" t="str">
            <v>Y</v>
          </cell>
          <cell r="H307" t="str">
            <v>MA</v>
          </cell>
          <cell r="I307" t="str">
            <v>N</v>
          </cell>
          <cell r="J307" t="str">
            <v>22XXX</v>
          </cell>
          <cell r="K307" t="str">
            <v>8</v>
          </cell>
          <cell r="L307" t="str">
            <v>H</v>
          </cell>
          <cell r="M307" t="str">
            <v>0</v>
          </cell>
          <cell r="N307" t="b">
            <v>1</v>
          </cell>
          <cell r="P307" t="str">
            <v>Y</v>
          </cell>
          <cell r="S307" t="str">
            <v>Manufacture of rubber/ plastic/ other-metallic products</v>
          </cell>
        </row>
        <row r="308">
          <cell r="C308" t="str">
            <v>3088</v>
          </cell>
          <cell r="D308" t="str">
            <v>Plastics Plumbing Fixtures</v>
          </cell>
          <cell r="E308" t="str">
            <v>H</v>
          </cell>
          <cell r="F308" t="str">
            <v>Y</v>
          </cell>
          <cell r="H308" t="str">
            <v>MA</v>
          </cell>
          <cell r="I308" t="str">
            <v>N</v>
          </cell>
          <cell r="J308" t="str">
            <v>22XXX</v>
          </cell>
          <cell r="K308" t="str">
            <v>8</v>
          </cell>
          <cell r="L308" t="str">
            <v>H</v>
          </cell>
          <cell r="M308" t="str">
            <v>0</v>
          </cell>
          <cell r="N308" t="b">
            <v>1</v>
          </cell>
          <cell r="P308" t="str">
            <v>Y</v>
          </cell>
          <cell r="S308" t="str">
            <v>Manufacture of rubber/ plastic/ other-metallic products</v>
          </cell>
        </row>
        <row r="309">
          <cell r="C309" t="str">
            <v>3085</v>
          </cell>
          <cell r="D309" t="str">
            <v>Plastics Bottles</v>
          </cell>
          <cell r="E309" t="str">
            <v>H</v>
          </cell>
          <cell r="F309" t="str">
            <v>Y</v>
          </cell>
          <cell r="H309" t="str">
            <v>MA</v>
          </cell>
          <cell r="I309" t="str">
            <v>N</v>
          </cell>
          <cell r="J309" t="str">
            <v>22XXX</v>
          </cell>
          <cell r="K309" t="str">
            <v>8</v>
          </cell>
          <cell r="L309" t="str">
            <v>H</v>
          </cell>
          <cell r="M309" t="str">
            <v>0</v>
          </cell>
          <cell r="N309" t="b">
            <v>1</v>
          </cell>
          <cell r="P309" t="str">
            <v>Y</v>
          </cell>
          <cell r="S309" t="str">
            <v>Manufacture of rubber/ plastic/ other-metallic products</v>
          </cell>
        </row>
        <row r="310">
          <cell r="C310" t="str">
            <v>3089</v>
          </cell>
          <cell r="D310" t="str">
            <v>Plastics Products, N.E.C.</v>
          </cell>
          <cell r="E310" t="str">
            <v>H</v>
          </cell>
          <cell r="F310" t="str">
            <v>Y</v>
          </cell>
          <cell r="H310" t="str">
            <v>MA</v>
          </cell>
          <cell r="I310" t="str">
            <v>N</v>
          </cell>
          <cell r="J310" t="str">
            <v>22XXX</v>
          </cell>
          <cell r="K310" t="str">
            <v>8</v>
          </cell>
          <cell r="L310" t="str">
            <v>H</v>
          </cell>
          <cell r="M310" t="str">
            <v>0</v>
          </cell>
          <cell r="N310" t="b">
            <v>1</v>
          </cell>
          <cell r="P310" t="str">
            <v>Y</v>
          </cell>
          <cell r="S310" t="str">
            <v>Manufacture of rubber/ plastic/ other-metallic products</v>
          </cell>
        </row>
        <row r="311">
          <cell r="C311" t="str">
            <v>3211</v>
          </cell>
          <cell r="D311" t="str">
            <v>Flat Glass</v>
          </cell>
          <cell r="E311" t="str">
            <v>T</v>
          </cell>
          <cell r="F311" t="str">
            <v>Y</v>
          </cell>
          <cell r="H311" t="str">
            <v>MA</v>
          </cell>
          <cell r="I311" t="str">
            <v>N</v>
          </cell>
          <cell r="J311" t="str">
            <v>23XXX</v>
          </cell>
          <cell r="K311" t="str">
            <v>8</v>
          </cell>
          <cell r="L311" t="str">
            <v>T</v>
          </cell>
          <cell r="M311" t="str">
            <v>8</v>
          </cell>
          <cell r="N311" t="b">
            <v>1</v>
          </cell>
          <cell r="S311" t="str">
            <v>Manufacture of rubber/ plastic/ other-metallic products</v>
          </cell>
        </row>
        <row r="312">
          <cell r="C312" t="str">
            <v>3229</v>
          </cell>
          <cell r="D312" t="str">
            <v>Pressed and Blown Glass and Glassware, N.E.C.</v>
          </cell>
          <cell r="E312" t="str">
            <v>T</v>
          </cell>
          <cell r="F312" t="str">
            <v>Y</v>
          </cell>
          <cell r="H312" t="str">
            <v>MA</v>
          </cell>
          <cell r="I312" t="str">
            <v>N</v>
          </cell>
          <cell r="J312" t="str">
            <v>23XXX</v>
          </cell>
          <cell r="K312" t="str">
            <v>8</v>
          </cell>
          <cell r="L312" t="str">
            <v>T</v>
          </cell>
          <cell r="M312" t="str">
            <v>8</v>
          </cell>
          <cell r="N312" t="b">
            <v>1</v>
          </cell>
          <cell r="S312" t="str">
            <v>Manufacture of rubber/ plastic/ other-metallic products</v>
          </cell>
        </row>
        <row r="313">
          <cell r="C313" t="str">
            <v>3221</v>
          </cell>
          <cell r="D313" t="str">
            <v>Glass Containers</v>
          </cell>
          <cell r="E313" t="str">
            <v>T</v>
          </cell>
          <cell r="F313" t="str">
            <v>Y</v>
          </cell>
          <cell r="H313" t="str">
            <v>MA</v>
          </cell>
          <cell r="I313" t="str">
            <v>N</v>
          </cell>
          <cell r="J313" t="str">
            <v>23XXX</v>
          </cell>
          <cell r="K313" t="str">
            <v>8</v>
          </cell>
          <cell r="L313" t="str">
            <v>T</v>
          </cell>
          <cell r="M313" t="str">
            <v>8</v>
          </cell>
          <cell r="N313" t="b">
            <v>1</v>
          </cell>
          <cell r="S313" t="str">
            <v>Manufacture of rubber/ plastic/ other-metallic products</v>
          </cell>
        </row>
        <row r="314">
          <cell r="C314" t="str">
            <v>3231</v>
          </cell>
          <cell r="D314" t="str">
            <v>Glass Products, Made of Purchased Glass</v>
          </cell>
          <cell r="E314" t="str">
            <v>T</v>
          </cell>
          <cell r="F314" t="str">
            <v>Y</v>
          </cell>
          <cell r="H314" t="str">
            <v>MA</v>
          </cell>
          <cell r="I314" t="str">
            <v>N</v>
          </cell>
          <cell r="J314" t="str">
            <v>23XXX</v>
          </cell>
          <cell r="K314" t="str">
            <v>8</v>
          </cell>
          <cell r="L314" t="str">
            <v>T</v>
          </cell>
          <cell r="M314" t="str">
            <v>8</v>
          </cell>
          <cell r="N314" t="b">
            <v>1</v>
          </cell>
          <cell r="S314" t="str">
            <v>Manufacture of rubber/ plastic/ other-metallic products</v>
          </cell>
        </row>
        <row r="315">
          <cell r="C315" t="str">
            <v>3274</v>
          </cell>
          <cell r="D315" t="str">
            <v>Lime</v>
          </cell>
          <cell r="E315" t="str">
            <v>T</v>
          </cell>
          <cell r="F315" t="str">
            <v>Y</v>
          </cell>
          <cell r="H315" t="str">
            <v>MA</v>
          </cell>
          <cell r="I315" t="str">
            <v>N</v>
          </cell>
          <cell r="J315" t="str">
            <v>23XXX</v>
          </cell>
          <cell r="K315" t="str">
            <v>8</v>
          </cell>
          <cell r="L315" t="str">
            <v>N</v>
          </cell>
          <cell r="M315" t="str">
            <v>0</v>
          </cell>
          <cell r="N315" t="b">
            <v>0</v>
          </cell>
          <cell r="R315" t="str">
            <v>Should it standardized the tagging?</v>
          </cell>
          <cell r="S315" t="str">
            <v>Manufacture of rubber/ plastic/ other-metallic products</v>
          </cell>
        </row>
        <row r="316">
          <cell r="C316" t="str">
            <v>3241</v>
          </cell>
          <cell r="D316" t="str">
            <v>Cement, Hydraulic</v>
          </cell>
          <cell r="E316" t="str">
            <v>T</v>
          </cell>
          <cell r="F316" t="str">
            <v>Y</v>
          </cell>
          <cell r="H316" t="str">
            <v>MA</v>
          </cell>
          <cell r="I316" t="str">
            <v>N</v>
          </cell>
          <cell r="J316" t="str">
            <v>23XXX</v>
          </cell>
          <cell r="K316" t="str">
            <v>8</v>
          </cell>
          <cell r="L316" t="str">
            <v>N</v>
          </cell>
          <cell r="M316" t="str">
            <v>0</v>
          </cell>
          <cell r="N316" t="b">
            <v>0</v>
          </cell>
          <cell r="R316" t="str">
            <v>Should it standardized the tagging?</v>
          </cell>
          <cell r="S316" t="str">
            <v>Manufacture of rubber/ plastic/ other-metallic products</v>
          </cell>
        </row>
        <row r="317">
          <cell r="C317" t="str">
            <v>3251</v>
          </cell>
          <cell r="D317" t="str">
            <v>Brick and Structural Clay Tile</v>
          </cell>
          <cell r="E317" t="str">
            <v>T</v>
          </cell>
          <cell r="F317" t="str">
            <v>Y</v>
          </cell>
          <cell r="H317" t="str">
            <v>MA</v>
          </cell>
          <cell r="I317" t="str">
            <v>N</v>
          </cell>
          <cell r="J317" t="str">
            <v>23XXX</v>
          </cell>
          <cell r="K317" t="str">
            <v>8</v>
          </cell>
          <cell r="L317" t="str">
            <v>N</v>
          </cell>
          <cell r="M317" t="str">
            <v>0</v>
          </cell>
          <cell r="N317" t="b">
            <v>0</v>
          </cell>
          <cell r="R317" t="str">
            <v>Should it standardized the tagging?</v>
          </cell>
          <cell r="S317" t="str">
            <v>Manufacture of rubber/ plastic/ other-metallic products</v>
          </cell>
        </row>
        <row r="318">
          <cell r="C318" t="str">
            <v>3253</v>
          </cell>
          <cell r="D318" t="str">
            <v>Ceramic Wall and Floor Tile</v>
          </cell>
          <cell r="E318" t="str">
            <v>T</v>
          </cell>
          <cell r="F318" t="str">
            <v>Y</v>
          </cell>
          <cell r="H318" t="str">
            <v>MA</v>
          </cell>
          <cell r="I318" t="str">
            <v>N</v>
          </cell>
          <cell r="J318" t="str">
            <v>23XXX</v>
          </cell>
          <cell r="K318" t="str">
            <v>8</v>
          </cell>
          <cell r="L318" t="str">
            <v>N</v>
          </cell>
          <cell r="M318" t="str">
            <v>0</v>
          </cell>
          <cell r="N318" t="b">
            <v>0</v>
          </cell>
          <cell r="R318" t="str">
            <v>Should it standardized the tagging?</v>
          </cell>
          <cell r="S318" t="str">
            <v>Manufacture of rubber/ plastic/ other-metallic products</v>
          </cell>
        </row>
        <row r="319">
          <cell r="C319" t="str">
            <v>3275</v>
          </cell>
          <cell r="D319" t="str">
            <v>Gypsum Products</v>
          </cell>
          <cell r="E319" t="str">
            <v>T</v>
          </cell>
          <cell r="F319" t="str">
            <v>Y</v>
          </cell>
          <cell r="H319" t="str">
            <v>MA</v>
          </cell>
          <cell r="I319" t="str">
            <v>N</v>
          </cell>
          <cell r="J319" t="str">
            <v>23XXX</v>
          </cell>
          <cell r="K319" t="str">
            <v>8</v>
          </cell>
          <cell r="L319" t="str">
            <v>N</v>
          </cell>
          <cell r="M319" t="str">
            <v>0</v>
          </cell>
          <cell r="N319" t="b">
            <v>0</v>
          </cell>
          <cell r="R319" t="str">
            <v>Should it standardized the tagging?</v>
          </cell>
          <cell r="S319" t="str">
            <v>Manufacture of rubber/ plastic/ other-metallic products</v>
          </cell>
        </row>
        <row r="320">
          <cell r="C320" t="str">
            <v>3281</v>
          </cell>
          <cell r="D320" t="str">
            <v>Cut Stone and Stone Products</v>
          </cell>
          <cell r="E320" t="str">
            <v>T</v>
          </cell>
          <cell r="F320" t="str">
            <v>Y</v>
          </cell>
          <cell r="H320" t="str">
            <v>MA</v>
          </cell>
          <cell r="I320" t="str">
            <v>N</v>
          </cell>
          <cell r="J320" t="str">
            <v>23XXX</v>
          </cell>
          <cell r="K320" t="str">
            <v>8</v>
          </cell>
          <cell r="L320" t="str">
            <v>N</v>
          </cell>
          <cell r="M320" t="str">
            <v>0</v>
          </cell>
          <cell r="N320" t="b">
            <v>0</v>
          </cell>
          <cell r="R320" t="str">
            <v>Should it standardized the tagging?</v>
          </cell>
          <cell r="S320" t="str">
            <v>Manufacture of rubber/ plastic/ other-metallic products</v>
          </cell>
        </row>
        <row r="321">
          <cell r="C321" t="str">
            <v>3273</v>
          </cell>
          <cell r="D321" t="str">
            <v>Ready Mixed Concrete</v>
          </cell>
          <cell r="E321" t="str">
            <v>T</v>
          </cell>
          <cell r="F321" t="str">
            <v>Y</v>
          </cell>
          <cell r="H321" t="str">
            <v>MA</v>
          </cell>
          <cell r="I321" t="str">
            <v>N</v>
          </cell>
          <cell r="J321" t="str">
            <v>23XXX</v>
          </cell>
          <cell r="K321" t="str">
            <v>8</v>
          </cell>
          <cell r="L321" t="str">
            <v>N</v>
          </cell>
          <cell r="M321" t="str">
            <v>0</v>
          </cell>
          <cell r="N321" t="b">
            <v>0</v>
          </cell>
          <cell r="R321" t="str">
            <v>Should it standardized the tagging?</v>
          </cell>
          <cell r="S321" t="str">
            <v>Manufacture of rubber/ plastic/ other-metallic products</v>
          </cell>
        </row>
        <row r="322">
          <cell r="C322" t="str">
            <v>3271</v>
          </cell>
          <cell r="D322" t="str">
            <v>Concrete Block and Brick</v>
          </cell>
          <cell r="E322" t="str">
            <v>T</v>
          </cell>
          <cell r="F322" t="str">
            <v>Y</v>
          </cell>
          <cell r="H322" t="str">
            <v>MA</v>
          </cell>
          <cell r="I322" t="str">
            <v>N</v>
          </cell>
          <cell r="J322" t="str">
            <v>23XXX</v>
          </cell>
          <cell r="K322" t="str">
            <v>8</v>
          </cell>
          <cell r="L322" t="str">
            <v>N</v>
          </cell>
          <cell r="M322" t="str">
            <v>0</v>
          </cell>
          <cell r="N322" t="b">
            <v>0</v>
          </cell>
          <cell r="R322" t="str">
            <v>Should it standardized the tagging?</v>
          </cell>
          <cell r="S322" t="str">
            <v>Manufacture of rubber/ plastic/ other-metallic products</v>
          </cell>
        </row>
        <row r="323">
          <cell r="C323" t="str">
            <v>3272</v>
          </cell>
          <cell r="D323" t="str">
            <v>Concrete Products, Except Block and Brick</v>
          </cell>
          <cell r="E323" t="str">
            <v>T</v>
          </cell>
          <cell r="F323" t="str">
            <v>Y</v>
          </cell>
          <cell r="H323" t="str">
            <v>MA</v>
          </cell>
          <cell r="I323" t="str">
            <v>N</v>
          </cell>
          <cell r="J323" t="str">
            <v>23XXX</v>
          </cell>
          <cell r="K323" t="str">
            <v>8</v>
          </cell>
          <cell r="L323" t="str">
            <v>N</v>
          </cell>
          <cell r="M323" t="str">
            <v>0</v>
          </cell>
          <cell r="N323" t="b">
            <v>0</v>
          </cell>
          <cell r="R323" t="str">
            <v>Should it standardized the tagging?</v>
          </cell>
          <cell r="S323" t="str">
            <v>Manufacture of rubber/ plastic/ other-metallic products</v>
          </cell>
        </row>
        <row r="324">
          <cell r="C324" t="str">
            <v>3255</v>
          </cell>
          <cell r="D324" t="str">
            <v>Clay Refractories</v>
          </cell>
          <cell r="E324" t="str">
            <v>T</v>
          </cell>
          <cell r="F324" t="str">
            <v>Y</v>
          </cell>
          <cell r="H324" t="str">
            <v>MA</v>
          </cell>
          <cell r="I324" t="str">
            <v>N</v>
          </cell>
          <cell r="J324" t="str">
            <v>23XXX</v>
          </cell>
          <cell r="K324" t="str">
            <v>8</v>
          </cell>
          <cell r="L324" t="str">
            <v>N</v>
          </cell>
          <cell r="M324" t="str">
            <v>0</v>
          </cell>
          <cell r="N324" t="b">
            <v>0</v>
          </cell>
          <cell r="R324" t="str">
            <v>Should it standardized the tagging?</v>
          </cell>
          <cell r="S324" t="str">
            <v>Manufacture of rubber/ plastic/ other-metallic products</v>
          </cell>
        </row>
        <row r="325">
          <cell r="C325" t="str">
            <v>3261</v>
          </cell>
          <cell r="D325" t="str">
            <v>Vitreous China Plumbing Fixtures and China and Earthenware Fittings and Bathroom Accessories</v>
          </cell>
          <cell r="E325" t="str">
            <v>T</v>
          </cell>
          <cell r="F325" t="str">
            <v>Y</v>
          </cell>
          <cell r="H325" t="str">
            <v>MA</v>
          </cell>
          <cell r="I325" t="str">
            <v>N</v>
          </cell>
          <cell r="J325" t="str">
            <v>23XXX</v>
          </cell>
          <cell r="K325" t="str">
            <v>8</v>
          </cell>
          <cell r="L325" t="str">
            <v>N</v>
          </cell>
          <cell r="M325" t="str">
            <v>0</v>
          </cell>
          <cell r="N325" t="b">
            <v>0</v>
          </cell>
          <cell r="R325" t="str">
            <v>Should it standardized the tagging?</v>
          </cell>
          <cell r="S325" t="str">
            <v>Manufacture of rubber/ plastic/ other-metallic products</v>
          </cell>
        </row>
        <row r="326">
          <cell r="C326" t="str">
            <v>3263</v>
          </cell>
          <cell r="D326" t="str">
            <v>Fine Earthenware (Whiteware) Table and Kitchen Articles</v>
          </cell>
          <cell r="E326" t="str">
            <v>T</v>
          </cell>
          <cell r="F326" t="str">
            <v>Y</v>
          </cell>
          <cell r="H326" t="str">
            <v>MA</v>
          </cell>
          <cell r="I326" t="str">
            <v>N</v>
          </cell>
          <cell r="J326" t="str">
            <v>23XXX</v>
          </cell>
          <cell r="K326" t="str">
            <v>8</v>
          </cell>
          <cell r="L326" t="str">
            <v>N</v>
          </cell>
          <cell r="M326" t="str">
            <v>0</v>
          </cell>
          <cell r="N326" t="b">
            <v>0</v>
          </cell>
          <cell r="R326" t="str">
            <v>Should it standardized the tagging?</v>
          </cell>
          <cell r="S326" t="str">
            <v>Manufacture of rubber/ plastic/ other-metallic products</v>
          </cell>
        </row>
        <row r="327">
          <cell r="C327" t="str">
            <v>3269</v>
          </cell>
          <cell r="D327" t="str">
            <v>Pottery Products, N.E.C.</v>
          </cell>
          <cell r="E327" t="str">
            <v>T</v>
          </cell>
          <cell r="F327" t="str">
            <v>Y</v>
          </cell>
          <cell r="H327" t="str">
            <v>MA</v>
          </cell>
          <cell r="I327" t="str">
            <v>N</v>
          </cell>
          <cell r="J327" t="str">
            <v>23XXX</v>
          </cell>
          <cell r="K327" t="str">
            <v>8</v>
          </cell>
          <cell r="L327" t="str">
            <v>N</v>
          </cell>
          <cell r="M327" t="str">
            <v>0</v>
          </cell>
          <cell r="N327" t="b">
            <v>0</v>
          </cell>
          <cell r="R327" t="str">
            <v>Should it standardized the tagging?</v>
          </cell>
          <cell r="S327" t="str">
            <v>Manufacture of rubber/ plastic/ other-metallic products</v>
          </cell>
        </row>
        <row r="328">
          <cell r="C328" t="str">
            <v>3262</v>
          </cell>
          <cell r="D328" t="str">
            <v>Vitreous China Table and Kitchen Articles</v>
          </cell>
          <cell r="E328" t="str">
            <v>T</v>
          </cell>
          <cell r="F328" t="str">
            <v>Y</v>
          </cell>
          <cell r="H328" t="str">
            <v>MA</v>
          </cell>
          <cell r="I328" t="str">
            <v>N</v>
          </cell>
          <cell r="J328" t="str">
            <v>23XXX</v>
          </cell>
          <cell r="K328" t="str">
            <v>8</v>
          </cell>
          <cell r="L328" t="str">
            <v>N</v>
          </cell>
          <cell r="M328" t="str">
            <v>0</v>
          </cell>
          <cell r="N328" t="b">
            <v>0</v>
          </cell>
          <cell r="R328" t="str">
            <v>Should it standardized the tagging?</v>
          </cell>
          <cell r="S328" t="str">
            <v>Manufacture of rubber/ plastic/ other-metallic products</v>
          </cell>
        </row>
        <row r="329">
          <cell r="C329" t="str">
            <v>3259</v>
          </cell>
          <cell r="D329" t="str">
            <v>Structural Clay Products, N.E.C.</v>
          </cell>
          <cell r="E329" t="str">
            <v>T</v>
          </cell>
          <cell r="F329" t="str">
            <v>Y</v>
          </cell>
          <cell r="H329" t="str">
            <v>MA</v>
          </cell>
          <cell r="I329" t="str">
            <v>N</v>
          </cell>
          <cell r="J329" t="str">
            <v>23XXX</v>
          </cell>
          <cell r="K329" t="str">
            <v>8</v>
          </cell>
          <cell r="L329" t="str">
            <v>N</v>
          </cell>
          <cell r="M329" t="str">
            <v>0</v>
          </cell>
          <cell r="N329" t="b">
            <v>0</v>
          </cell>
          <cell r="R329" t="str">
            <v>Should it standardized the tagging?</v>
          </cell>
          <cell r="S329" t="str">
            <v>Manufacture of rubber/ plastic/ other-metallic products</v>
          </cell>
        </row>
        <row r="330">
          <cell r="C330" t="str">
            <v>3299</v>
          </cell>
          <cell r="D330" t="str">
            <v>Nonmetallic Mineral Products, N.E.C.</v>
          </cell>
          <cell r="E330" t="str">
            <v>T</v>
          </cell>
          <cell r="F330" t="str">
            <v>Y</v>
          </cell>
          <cell r="H330" t="str">
            <v>MA</v>
          </cell>
          <cell r="I330" t="str">
            <v>N</v>
          </cell>
          <cell r="J330" t="str">
            <v>23XXX</v>
          </cell>
          <cell r="K330" t="str">
            <v>8</v>
          </cell>
          <cell r="L330" t="str">
            <v>T</v>
          </cell>
          <cell r="M330" t="str">
            <v>8</v>
          </cell>
          <cell r="N330" t="b">
            <v>1</v>
          </cell>
          <cell r="S330" t="str">
            <v>Manufacture of rubber/ plastic/ other-metallic products</v>
          </cell>
        </row>
        <row r="331">
          <cell r="C331" t="str">
            <v>3291</v>
          </cell>
          <cell r="D331" t="str">
            <v>Abrasive Products</v>
          </cell>
          <cell r="E331" t="str">
            <v>T</v>
          </cell>
          <cell r="F331" t="str">
            <v>Y</v>
          </cell>
          <cell r="H331" t="str">
            <v>MA</v>
          </cell>
          <cell r="I331" t="str">
            <v>N</v>
          </cell>
          <cell r="J331" t="str">
            <v>23XXX</v>
          </cell>
          <cell r="K331" t="str">
            <v>8</v>
          </cell>
          <cell r="L331" t="str">
            <v>T</v>
          </cell>
          <cell r="M331" t="str">
            <v>8</v>
          </cell>
          <cell r="N331" t="b">
            <v>1</v>
          </cell>
          <cell r="S331" t="str">
            <v>Manufacture of rubber/ plastic/ other-metallic products</v>
          </cell>
        </row>
        <row r="332">
          <cell r="C332" t="str">
            <v>3292</v>
          </cell>
          <cell r="D332" t="str">
            <v>Asbestos Products</v>
          </cell>
          <cell r="E332" t="str">
            <v>T</v>
          </cell>
          <cell r="F332" t="str">
            <v>Y</v>
          </cell>
          <cell r="H332" t="str">
            <v>MA</v>
          </cell>
          <cell r="I332" t="str">
            <v>N</v>
          </cell>
          <cell r="J332" t="str">
            <v>23XXX</v>
          </cell>
          <cell r="K332" t="str">
            <v>8</v>
          </cell>
          <cell r="L332" t="str">
            <v>T</v>
          </cell>
          <cell r="M332" t="str">
            <v>8</v>
          </cell>
          <cell r="N332" t="b">
            <v>1</v>
          </cell>
          <cell r="S332" t="str">
            <v>Manufacture of rubber/ plastic/ other-metallic products</v>
          </cell>
        </row>
        <row r="333">
          <cell r="C333" t="str">
            <v>3295</v>
          </cell>
          <cell r="D333" t="str">
            <v>Minerals and Earths, Ground or Otherwise Treated</v>
          </cell>
          <cell r="E333" t="str">
            <v>T</v>
          </cell>
          <cell r="F333" t="str">
            <v>Y</v>
          </cell>
          <cell r="H333" t="str">
            <v>MA</v>
          </cell>
          <cell r="I333" t="str">
            <v>N</v>
          </cell>
          <cell r="J333" t="str">
            <v>23XXX</v>
          </cell>
          <cell r="K333" t="str">
            <v>8</v>
          </cell>
          <cell r="L333" t="str">
            <v>T</v>
          </cell>
          <cell r="M333" t="str">
            <v>8</v>
          </cell>
          <cell r="N333" t="b">
            <v>1</v>
          </cell>
          <cell r="S333" t="str">
            <v>Manufacture of rubber/ plastic/ other-metallic products</v>
          </cell>
        </row>
        <row r="334">
          <cell r="C334" t="str">
            <v>3296</v>
          </cell>
          <cell r="D334" t="str">
            <v>Mineral Wool</v>
          </cell>
          <cell r="E334" t="str">
            <v>T</v>
          </cell>
          <cell r="F334" t="str">
            <v>Y</v>
          </cell>
          <cell r="H334" t="str">
            <v>MA</v>
          </cell>
          <cell r="I334" t="str">
            <v>N</v>
          </cell>
          <cell r="J334" t="str">
            <v>23XXX</v>
          </cell>
          <cell r="K334" t="str">
            <v>8</v>
          </cell>
          <cell r="L334" t="str">
            <v>T</v>
          </cell>
          <cell r="M334" t="str">
            <v>8</v>
          </cell>
          <cell r="N334" t="b">
            <v>1</v>
          </cell>
          <cell r="S334" t="str">
            <v>Manufacture of rubber/ plastic/ other-metallic products</v>
          </cell>
        </row>
        <row r="335">
          <cell r="C335" t="str">
            <v>3297</v>
          </cell>
          <cell r="D335" t="str">
            <v>Nonclay Refractories</v>
          </cell>
          <cell r="E335" t="str">
            <v>T</v>
          </cell>
          <cell r="F335" t="str">
            <v>Y</v>
          </cell>
          <cell r="H335" t="str">
            <v>MA</v>
          </cell>
          <cell r="I335" t="str">
            <v>N</v>
          </cell>
          <cell r="J335" t="str">
            <v>23XXX</v>
          </cell>
          <cell r="K335" t="str">
            <v>8</v>
          </cell>
          <cell r="L335" t="str">
            <v>T</v>
          </cell>
          <cell r="M335" t="str">
            <v>8</v>
          </cell>
          <cell r="N335" t="b">
            <v>1</v>
          </cell>
          <cell r="S335" t="str">
            <v>Manufacture of rubber/ plastic/ other-metallic products</v>
          </cell>
        </row>
        <row r="336">
          <cell r="C336" t="str">
            <v>3264</v>
          </cell>
          <cell r="D336" t="str">
            <v>Porcelain Electrical Supplies</v>
          </cell>
          <cell r="E336" t="str">
            <v>T</v>
          </cell>
          <cell r="F336" t="str">
            <v>Y</v>
          </cell>
          <cell r="H336" t="str">
            <v>MA</v>
          </cell>
          <cell r="I336" t="str">
            <v>N</v>
          </cell>
          <cell r="J336" t="str">
            <v>23XXX</v>
          </cell>
          <cell r="K336" t="str">
            <v>8</v>
          </cell>
          <cell r="L336" t="str">
            <v>T</v>
          </cell>
          <cell r="M336" t="str">
            <v>8</v>
          </cell>
          <cell r="N336" t="b">
            <v>1</v>
          </cell>
          <cell r="S336" t="str">
            <v>Manufacture of rubber/ plastic/ other-metallic products</v>
          </cell>
        </row>
        <row r="337">
          <cell r="C337" t="str">
            <v>3317</v>
          </cell>
          <cell r="D337" t="str">
            <v>Steel Pipe and Tubes</v>
          </cell>
          <cell r="E337" t="str">
            <v>T</v>
          </cell>
          <cell r="F337" t="str">
            <v>Y</v>
          </cell>
          <cell r="H337" t="str">
            <v>MA</v>
          </cell>
          <cell r="I337" t="str">
            <v>N</v>
          </cell>
          <cell r="J337" t="str">
            <v>2410X</v>
          </cell>
          <cell r="K337" t="str">
            <v>8</v>
          </cell>
          <cell r="L337" t="str">
            <v>T</v>
          </cell>
          <cell r="M337" t="str">
            <v>8</v>
          </cell>
          <cell r="N337" t="b">
            <v>1</v>
          </cell>
          <cell r="S337" t="str">
            <v>Manufacture of basic metals</v>
          </cell>
        </row>
        <row r="338">
          <cell r="C338" t="str">
            <v>3325</v>
          </cell>
          <cell r="D338" t="str">
            <v>Steel Foundries, N.E.C.</v>
          </cell>
          <cell r="E338" t="str">
            <v>T</v>
          </cell>
          <cell r="F338" t="str">
            <v>Y</v>
          </cell>
          <cell r="H338" t="str">
            <v>MA</v>
          </cell>
          <cell r="I338" t="str">
            <v>N</v>
          </cell>
          <cell r="J338" t="str">
            <v>2410X</v>
          </cell>
          <cell r="K338" t="str">
            <v>8</v>
          </cell>
          <cell r="L338" t="str">
            <v>T</v>
          </cell>
          <cell r="M338" t="str">
            <v>8</v>
          </cell>
          <cell r="N338" t="b">
            <v>1</v>
          </cell>
          <cell r="S338" t="str">
            <v>Manufacture of basic metals</v>
          </cell>
        </row>
        <row r="339">
          <cell r="C339" t="str">
            <v>3324</v>
          </cell>
          <cell r="D339" t="str">
            <v>Steel Investment Foundries</v>
          </cell>
          <cell r="E339" t="str">
            <v>T</v>
          </cell>
          <cell r="F339" t="str">
            <v>Y</v>
          </cell>
          <cell r="H339" t="str">
            <v>MA</v>
          </cell>
          <cell r="I339" t="str">
            <v>N</v>
          </cell>
          <cell r="J339" t="str">
            <v>2410X</v>
          </cell>
          <cell r="K339" t="str">
            <v>8</v>
          </cell>
          <cell r="L339" t="str">
            <v>T</v>
          </cell>
          <cell r="M339" t="str">
            <v>8</v>
          </cell>
          <cell r="N339" t="b">
            <v>1</v>
          </cell>
          <cell r="S339" t="str">
            <v>Manufacture of basic metals</v>
          </cell>
        </row>
        <row r="340">
          <cell r="C340" t="str">
            <v>3312</v>
          </cell>
          <cell r="D340" t="str">
            <v>Steel Works, Blast Furnaces (Including Coke Ovens), and Rolling Mills</v>
          </cell>
          <cell r="E340" t="str">
            <v>T</v>
          </cell>
          <cell r="F340" t="str">
            <v>Y</v>
          </cell>
          <cell r="H340" t="str">
            <v>MA</v>
          </cell>
          <cell r="I340" t="str">
            <v>N</v>
          </cell>
          <cell r="J340" t="str">
            <v>2410X</v>
          </cell>
          <cell r="K340" t="str">
            <v>8</v>
          </cell>
          <cell r="L340" t="str">
            <v>T</v>
          </cell>
          <cell r="M340" t="str">
            <v>8</v>
          </cell>
          <cell r="N340" t="b">
            <v>1</v>
          </cell>
          <cell r="S340" t="str">
            <v>Manufacture of basic metals</v>
          </cell>
        </row>
        <row r="341">
          <cell r="C341" t="str">
            <v>3316</v>
          </cell>
          <cell r="D341" t="str">
            <v>Cold-Rolled Steel Sheet, Strip, and Bars</v>
          </cell>
          <cell r="E341" t="str">
            <v>T</v>
          </cell>
          <cell r="F341" t="str">
            <v>Y</v>
          </cell>
          <cell r="H341" t="str">
            <v>MA</v>
          </cell>
          <cell r="I341" t="str">
            <v>N</v>
          </cell>
          <cell r="J341" t="str">
            <v>2410X</v>
          </cell>
          <cell r="K341" t="str">
            <v>8</v>
          </cell>
          <cell r="L341" t="str">
            <v>T</v>
          </cell>
          <cell r="M341" t="str">
            <v>8</v>
          </cell>
          <cell r="N341" t="b">
            <v>1</v>
          </cell>
          <cell r="S341" t="str">
            <v>Manufacture of basic metals</v>
          </cell>
        </row>
        <row r="342">
          <cell r="C342" t="str">
            <v>3321</v>
          </cell>
          <cell r="D342" t="str">
            <v>Gray and Ductile Iron Foundries</v>
          </cell>
          <cell r="E342" t="str">
            <v>T</v>
          </cell>
          <cell r="F342" t="str">
            <v>Y</v>
          </cell>
          <cell r="H342" t="str">
            <v>MA</v>
          </cell>
          <cell r="I342" t="str">
            <v>N</v>
          </cell>
          <cell r="J342" t="str">
            <v>2410X</v>
          </cell>
          <cell r="K342" t="str">
            <v>8</v>
          </cell>
          <cell r="L342" t="str">
            <v>T</v>
          </cell>
          <cell r="M342" t="str">
            <v>8</v>
          </cell>
          <cell r="N342" t="b">
            <v>1</v>
          </cell>
          <cell r="S342" t="str">
            <v>Manufacture of basic metals</v>
          </cell>
        </row>
        <row r="343">
          <cell r="C343" t="str">
            <v>3322</v>
          </cell>
          <cell r="D343" t="str">
            <v>Malleable Iron Foundries</v>
          </cell>
          <cell r="E343" t="str">
            <v>T</v>
          </cell>
          <cell r="F343" t="str">
            <v>Y</v>
          </cell>
          <cell r="H343" t="str">
            <v>MA</v>
          </cell>
          <cell r="I343" t="str">
            <v>N</v>
          </cell>
          <cell r="J343" t="str">
            <v>2410X</v>
          </cell>
          <cell r="K343" t="str">
            <v>8</v>
          </cell>
          <cell r="L343" t="str">
            <v>T</v>
          </cell>
          <cell r="M343" t="str">
            <v>8</v>
          </cell>
          <cell r="N343" t="b">
            <v>1</v>
          </cell>
          <cell r="S343" t="str">
            <v>Manufacture of basic metals</v>
          </cell>
        </row>
        <row r="344">
          <cell r="C344" t="str">
            <v>24201</v>
          </cell>
          <cell r="D344" t="str">
            <v>Tin Smelting</v>
          </cell>
          <cell r="E344" t="str">
            <v>T</v>
          </cell>
          <cell r="F344" t="str">
            <v>Y</v>
          </cell>
          <cell r="H344" t="str">
            <v>MA</v>
          </cell>
          <cell r="I344" t="str">
            <v>N</v>
          </cell>
          <cell r="J344" t="str">
            <v>24201</v>
          </cell>
          <cell r="K344" t="str">
            <v>8</v>
          </cell>
          <cell r="L344" t="str">
            <v>N</v>
          </cell>
          <cell r="M344" t="str">
            <v>0</v>
          </cell>
          <cell r="N344" t="b">
            <v>0</v>
          </cell>
          <cell r="R344" t="str">
            <v>Should it standardized the tagging?</v>
          </cell>
          <cell r="S344" t="str">
            <v>Manufacture of basic metals</v>
          </cell>
        </row>
        <row r="345">
          <cell r="C345" t="str">
            <v>24202</v>
          </cell>
          <cell r="D345" t="str">
            <v>Production of aluminium from alumina</v>
          </cell>
          <cell r="E345" t="str">
            <v>T</v>
          </cell>
          <cell r="F345" t="str">
            <v>Y</v>
          </cell>
          <cell r="H345" t="str">
            <v>MA</v>
          </cell>
          <cell r="I345" t="str">
            <v>N</v>
          </cell>
          <cell r="J345" t="str">
            <v>24202</v>
          </cell>
          <cell r="K345" t="str">
            <v>8</v>
          </cell>
          <cell r="L345" t="str">
            <v>N</v>
          </cell>
          <cell r="M345" t="str">
            <v>0</v>
          </cell>
          <cell r="N345" t="b">
            <v>0</v>
          </cell>
          <cell r="R345" t="str">
            <v>Should it standardized the tagging?</v>
          </cell>
          <cell r="S345" t="str">
            <v>Manufacture of basic metals</v>
          </cell>
        </row>
        <row r="346">
          <cell r="C346" t="str">
            <v>3331</v>
          </cell>
          <cell r="D346" t="str">
            <v>Primary Smelting and Refining of Copper</v>
          </cell>
          <cell r="E346" t="str">
            <v>T</v>
          </cell>
          <cell r="F346" t="str">
            <v>Y</v>
          </cell>
          <cell r="H346" t="str">
            <v>MA</v>
          </cell>
          <cell r="I346" t="str">
            <v>N</v>
          </cell>
          <cell r="J346" t="str">
            <v>24209</v>
          </cell>
          <cell r="K346" t="str">
            <v>8</v>
          </cell>
          <cell r="L346" t="str">
            <v>N</v>
          </cell>
          <cell r="M346" t="str">
            <v>0</v>
          </cell>
          <cell r="N346" t="b">
            <v>0</v>
          </cell>
          <cell r="R346" t="str">
            <v>Should it standardized the tagging?</v>
          </cell>
          <cell r="S346" t="str">
            <v>Manufacture of basic metals</v>
          </cell>
        </row>
        <row r="347">
          <cell r="C347" t="str">
            <v>3351</v>
          </cell>
          <cell r="D347" t="str">
            <v>Rolling, Drawing, and Extruding of Copper</v>
          </cell>
          <cell r="E347" t="str">
            <v>T</v>
          </cell>
          <cell r="F347" t="str">
            <v>Y</v>
          </cell>
          <cell r="H347" t="str">
            <v>MA</v>
          </cell>
          <cell r="I347" t="str">
            <v>N</v>
          </cell>
          <cell r="J347" t="str">
            <v>24209</v>
          </cell>
          <cell r="K347" t="str">
            <v>8</v>
          </cell>
          <cell r="L347" t="str">
            <v>N</v>
          </cell>
          <cell r="M347" t="str">
            <v>0</v>
          </cell>
          <cell r="N347" t="b">
            <v>0</v>
          </cell>
          <cell r="R347" t="str">
            <v>Should it standardized the tagging?</v>
          </cell>
          <cell r="S347" t="str">
            <v>Manufacture of basic metals</v>
          </cell>
        </row>
        <row r="348">
          <cell r="C348" t="str">
            <v>3334</v>
          </cell>
          <cell r="D348" t="str">
            <v>Primary Production of Aluminum</v>
          </cell>
          <cell r="E348" t="str">
            <v>T</v>
          </cell>
          <cell r="F348" t="str">
            <v>Y</v>
          </cell>
          <cell r="H348" t="str">
            <v>MA</v>
          </cell>
          <cell r="I348" t="str">
            <v>N</v>
          </cell>
          <cell r="J348" t="str">
            <v>24209</v>
          </cell>
          <cell r="K348" t="str">
            <v>8</v>
          </cell>
          <cell r="L348" t="str">
            <v>N</v>
          </cell>
          <cell r="M348" t="str">
            <v>0</v>
          </cell>
          <cell r="N348" t="b">
            <v>0</v>
          </cell>
          <cell r="R348" t="str">
            <v>Should it standardized the tagging?</v>
          </cell>
          <cell r="S348" t="str">
            <v>Manufacture of basic metals</v>
          </cell>
        </row>
        <row r="349">
          <cell r="C349" t="str">
            <v>3341</v>
          </cell>
          <cell r="D349" t="str">
            <v>Secondary Smelting and Refining of Nonferrous Metals</v>
          </cell>
          <cell r="E349" t="str">
            <v>T</v>
          </cell>
          <cell r="F349" t="str">
            <v>Y</v>
          </cell>
          <cell r="H349" t="str">
            <v>MA</v>
          </cell>
          <cell r="I349" t="str">
            <v>N</v>
          </cell>
          <cell r="J349" t="str">
            <v>24209</v>
          </cell>
          <cell r="K349" t="str">
            <v>8</v>
          </cell>
          <cell r="L349" t="str">
            <v>N</v>
          </cell>
          <cell r="M349" t="str">
            <v>0</v>
          </cell>
          <cell r="N349" t="b">
            <v>0</v>
          </cell>
          <cell r="R349" t="str">
            <v>Should it standardized the tagging?</v>
          </cell>
          <cell r="S349" t="str">
            <v>Manufacture of basic metals</v>
          </cell>
        </row>
        <row r="350">
          <cell r="C350" t="str">
            <v>3339</v>
          </cell>
          <cell r="D350" t="str">
            <v>Primary Smelting and Refining of Nonferrous Metals, Except Copper and Aluminum</v>
          </cell>
          <cell r="E350" t="str">
            <v>T</v>
          </cell>
          <cell r="F350" t="str">
            <v>Y</v>
          </cell>
          <cell r="H350" t="str">
            <v>MA</v>
          </cell>
          <cell r="I350" t="str">
            <v>N</v>
          </cell>
          <cell r="J350" t="str">
            <v>24209</v>
          </cell>
          <cell r="K350" t="str">
            <v>8</v>
          </cell>
          <cell r="L350" t="str">
            <v>N</v>
          </cell>
          <cell r="M350" t="str">
            <v>0</v>
          </cell>
          <cell r="N350" t="b">
            <v>0</v>
          </cell>
          <cell r="R350" t="str">
            <v>Should it standardized the tagging?</v>
          </cell>
          <cell r="S350" t="str">
            <v>Manufacture of basic metals</v>
          </cell>
        </row>
        <row r="351">
          <cell r="C351" t="str">
            <v>3315</v>
          </cell>
          <cell r="D351" t="str">
            <v>Steel Wiredrawing and Steel Nails and Spikes</v>
          </cell>
          <cell r="E351" t="str">
            <v>T</v>
          </cell>
          <cell r="F351" t="str">
            <v>Y</v>
          </cell>
          <cell r="H351" t="str">
            <v>MA</v>
          </cell>
          <cell r="I351" t="str">
            <v>N</v>
          </cell>
          <cell r="J351" t="str">
            <v>2431X</v>
          </cell>
          <cell r="K351" t="str">
            <v>8</v>
          </cell>
          <cell r="L351" t="str">
            <v>N</v>
          </cell>
          <cell r="M351" t="str">
            <v>0</v>
          </cell>
          <cell r="N351" t="b">
            <v>0</v>
          </cell>
          <cell r="R351" t="str">
            <v>Should it standardized the tagging?</v>
          </cell>
          <cell r="S351" t="str">
            <v>Manufacture of basic metals</v>
          </cell>
        </row>
        <row r="352">
          <cell r="C352" t="str">
            <v>3364</v>
          </cell>
          <cell r="D352" t="str">
            <v>Nonferrous Die-Castings, Except Aluminum</v>
          </cell>
          <cell r="E352" t="str">
            <v>T</v>
          </cell>
          <cell r="F352" t="str">
            <v>Y</v>
          </cell>
          <cell r="H352" t="str">
            <v>MA</v>
          </cell>
          <cell r="I352" t="str">
            <v>N</v>
          </cell>
          <cell r="J352" t="str">
            <v>24320</v>
          </cell>
          <cell r="K352" t="str">
            <v>8</v>
          </cell>
          <cell r="L352" t="str">
            <v>N</v>
          </cell>
          <cell r="M352" t="str">
            <v>0</v>
          </cell>
          <cell r="N352" t="b">
            <v>0</v>
          </cell>
          <cell r="R352" t="str">
            <v>Should it standardized the tagging?</v>
          </cell>
          <cell r="S352" t="str">
            <v>Manufacture of basic metals</v>
          </cell>
        </row>
        <row r="353">
          <cell r="C353" t="str">
            <v>3357</v>
          </cell>
          <cell r="D353" t="str">
            <v>Drawing and Insulating of Nonferrous Wire</v>
          </cell>
          <cell r="E353" t="str">
            <v>T</v>
          </cell>
          <cell r="F353" t="str">
            <v>Y</v>
          </cell>
          <cell r="H353" t="str">
            <v>MA</v>
          </cell>
          <cell r="I353" t="str">
            <v>N</v>
          </cell>
          <cell r="J353" t="str">
            <v>24320</v>
          </cell>
          <cell r="K353" t="str">
            <v>8</v>
          </cell>
          <cell r="L353" t="str">
            <v>N</v>
          </cell>
          <cell r="M353" t="str">
            <v>0</v>
          </cell>
          <cell r="N353" t="b">
            <v>0</v>
          </cell>
          <cell r="R353" t="str">
            <v>Should it standardized the tagging?</v>
          </cell>
          <cell r="S353" t="str">
            <v>Manufacture of basic metals</v>
          </cell>
        </row>
        <row r="354">
          <cell r="C354" t="str">
            <v>3356</v>
          </cell>
          <cell r="D354" t="str">
            <v>Rolling, Drawing, and Extruding of Nonferrous Metals, Except Copper and Aluminum</v>
          </cell>
          <cell r="E354" t="str">
            <v>T</v>
          </cell>
          <cell r="F354" t="str">
            <v>Y</v>
          </cell>
          <cell r="H354" t="str">
            <v>MA</v>
          </cell>
          <cell r="I354" t="str">
            <v>N</v>
          </cell>
          <cell r="J354" t="str">
            <v>24320</v>
          </cell>
          <cell r="K354" t="str">
            <v>8</v>
          </cell>
          <cell r="L354" t="str">
            <v>N</v>
          </cell>
          <cell r="M354" t="str">
            <v>0</v>
          </cell>
          <cell r="N354" t="b">
            <v>0</v>
          </cell>
          <cell r="R354" t="str">
            <v>Should it standardized the tagging?</v>
          </cell>
          <cell r="S354" t="str">
            <v>Manufacture of basic metals</v>
          </cell>
        </row>
        <row r="355">
          <cell r="C355" t="str">
            <v>3363</v>
          </cell>
          <cell r="D355" t="str">
            <v>Aluminum Die-Castings</v>
          </cell>
          <cell r="E355" t="str">
            <v>T</v>
          </cell>
          <cell r="F355" t="str">
            <v>Y</v>
          </cell>
          <cell r="H355" t="str">
            <v>MA</v>
          </cell>
          <cell r="I355" t="str">
            <v>N</v>
          </cell>
          <cell r="J355" t="str">
            <v>24320</v>
          </cell>
          <cell r="K355" t="str">
            <v>8</v>
          </cell>
          <cell r="L355" t="str">
            <v>N</v>
          </cell>
          <cell r="M355" t="str">
            <v>0</v>
          </cell>
          <cell r="N355" t="b">
            <v>0</v>
          </cell>
          <cell r="R355" t="str">
            <v>Should it standardized the tagging?</v>
          </cell>
          <cell r="S355" t="str">
            <v>Manufacture of basic metals</v>
          </cell>
        </row>
        <row r="356">
          <cell r="C356" t="str">
            <v>3365</v>
          </cell>
          <cell r="D356" t="str">
            <v>Aluminum Foundries</v>
          </cell>
          <cell r="E356" t="str">
            <v>T</v>
          </cell>
          <cell r="F356" t="str">
            <v>Y</v>
          </cell>
          <cell r="H356" t="str">
            <v>MA</v>
          </cell>
          <cell r="I356" t="str">
            <v>N</v>
          </cell>
          <cell r="J356" t="str">
            <v>24320</v>
          </cell>
          <cell r="K356" t="str">
            <v>8</v>
          </cell>
          <cell r="L356" t="str">
            <v>N</v>
          </cell>
          <cell r="M356" t="str">
            <v>0</v>
          </cell>
          <cell r="N356" t="b">
            <v>0</v>
          </cell>
          <cell r="R356" t="str">
            <v>Should it standardized the tagging?</v>
          </cell>
          <cell r="S356" t="str">
            <v>Manufacture of basic metals</v>
          </cell>
        </row>
        <row r="357">
          <cell r="C357" t="str">
            <v>3369</v>
          </cell>
          <cell r="D357" t="str">
            <v>Nonferrous Foundries, Except Aluminum and Copper</v>
          </cell>
          <cell r="E357" t="str">
            <v>T</v>
          </cell>
          <cell r="F357" t="str">
            <v>Y</v>
          </cell>
          <cell r="H357" t="str">
            <v>MA</v>
          </cell>
          <cell r="I357" t="str">
            <v>N</v>
          </cell>
          <cell r="J357" t="str">
            <v>24320</v>
          </cell>
          <cell r="K357" t="str">
            <v>8</v>
          </cell>
          <cell r="L357" t="str">
            <v>N</v>
          </cell>
          <cell r="M357" t="str">
            <v>0</v>
          </cell>
          <cell r="N357" t="b">
            <v>0</v>
          </cell>
          <cell r="R357" t="str">
            <v>Should it standardized the tagging?</v>
          </cell>
          <cell r="S357" t="str">
            <v>Manufacture of basic metals</v>
          </cell>
        </row>
        <row r="358">
          <cell r="C358" t="str">
            <v>2655</v>
          </cell>
          <cell r="D358" t="str">
            <v>Fiber Cans, Tubes, Drums, and Similar Products</v>
          </cell>
          <cell r="E358" t="str">
            <v>T</v>
          </cell>
          <cell r="F358" t="str">
            <v>Y</v>
          </cell>
          <cell r="H358" t="str">
            <v>MA</v>
          </cell>
          <cell r="I358" t="str">
            <v>N</v>
          </cell>
          <cell r="J358" t="str">
            <v>24320</v>
          </cell>
          <cell r="K358" t="str">
            <v>8</v>
          </cell>
          <cell r="L358" t="str">
            <v>N</v>
          </cell>
          <cell r="M358" t="str">
            <v>0</v>
          </cell>
          <cell r="N358" t="b">
            <v>0</v>
          </cell>
          <cell r="R358" t="str">
            <v>Should it standardized the tagging?</v>
          </cell>
          <cell r="S358" t="str">
            <v>Manufacture of basic metals</v>
          </cell>
        </row>
        <row r="359">
          <cell r="C359" t="str">
            <v>3366</v>
          </cell>
          <cell r="D359" t="str">
            <v>Copper Foundries</v>
          </cell>
          <cell r="E359" t="str">
            <v>T</v>
          </cell>
          <cell r="F359" t="str">
            <v>Y</v>
          </cell>
          <cell r="H359" t="str">
            <v>MA</v>
          </cell>
          <cell r="I359" t="str">
            <v>N</v>
          </cell>
          <cell r="J359" t="str">
            <v>24320</v>
          </cell>
          <cell r="K359" t="str">
            <v>8</v>
          </cell>
          <cell r="L359" t="str">
            <v>N</v>
          </cell>
          <cell r="M359" t="str">
            <v>0</v>
          </cell>
          <cell r="N359" t="b">
            <v>0</v>
          </cell>
          <cell r="R359" t="str">
            <v>Should it standardized the tagging?</v>
          </cell>
          <cell r="S359" t="str">
            <v>Manufacture of basic metals</v>
          </cell>
        </row>
        <row r="360">
          <cell r="C360" t="str">
            <v>3449</v>
          </cell>
          <cell r="D360" t="str">
            <v>Miscellaneous Structural Metal Work</v>
          </cell>
          <cell r="E360" t="str">
            <v>T</v>
          </cell>
          <cell r="F360" t="str">
            <v>Y</v>
          </cell>
          <cell r="H360" t="str">
            <v>MA</v>
          </cell>
          <cell r="I360" t="str">
            <v>N</v>
          </cell>
          <cell r="J360" t="str">
            <v>251XX</v>
          </cell>
          <cell r="K360" t="str">
            <v>8</v>
          </cell>
          <cell r="L360" t="str">
            <v>N</v>
          </cell>
          <cell r="M360" t="str">
            <v>0</v>
          </cell>
          <cell r="N360" t="b">
            <v>0</v>
          </cell>
          <cell r="R360" t="str">
            <v>Should it standardized the tagging?</v>
          </cell>
          <cell r="S360" t="str">
            <v>Manufacture of fabricated metal products, except machinery and equipment</v>
          </cell>
        </row>
        <row r="361">
          <cell r="C361" t="str">
            <v>3441</v>
          </cell>
          <cell r="D361" t="str">
            <v>Fabricated Structural Metal</v>
          </cell>
          <cell r="E361" t="str">
            <v>T</v>
          </cell>
          <cell r="F361" t="str">
            <v>Y</v>
          </cell>
          <cell r="H361" t="str">
            <v>MA</v>
          </cell>
          <cell r="I361" t="str">
            <v>N</v>
          </cell>
          <cell r="J361" t="str">
            <v>251XX</v>
          </cell>
          <cell r="K361" t="str">
            <v>8</v>
          </cell>
          <cell r="L361" t="str">
            <v>N</v>
          </cell>
          <cell r="M361" t="str">
            <v>0</v>
          </cell>
          <cell r="N361" t="b">
            <v>0</v>
          </cell>
          <cell r="R361" t="str">
            <v>Should it standardized the tagging?</v>
          </cell>
          <cell r="S361" t="str">
            <v>Manufacture of fabricated metal products, except machinery and equipment</v>
          </cell>
        </row>
        <row r="362">
          <cell r="C362" t="str">
            <v>3448</v>
          </cell>
          <cell r="D362" t="str">
            <v>Prefabricated Metal Buildings and Components</v>
          </cell>
          <cell r="E362" t="str">
            <v>T</v>
          </cell>
          <cell r="F362" t="str">
            <v>Y</v>
          </cell>
          <cell r="H362" t="str">
            <v>MA</v>
          </cell>
          <cell r="I362" t="str">
            <v>N</v>
          </cell>
          <cell r="J362" t="str">
            <v>251XX</v>
          </cell>
          <cell r="K362" t="str">
            <v>8</v>
          </cell>
          <cell r="L362" t="str">
            <v>N</v>
          </cell>
          <cell r="M362" t="str">
            <v>0</v>
          </cell>
          <cell r="N362" t="b">
            <v>0</v>
          </cell>
          <cell r="R362" t="str">
            <v>Should it standardized the tagging?</v>
          </cell>
          <cell r="S362" t="str">
            <v>Manufacture of fabricated metal products, except machinery and equipment</v>
          </cell>
        </row>
        <row r="363">
          <cell r="C363" t="str">
            <v>3511</v>
          </cell>
          <cell r="D363" t="str">
            <v>Steam, Gas, and Hydraulic Turbines, and Turbine Generator Set Units</v>
          </cell>
          <cell r="E363" t="str">
            <v>T</v>
          </cell>
          <cell r="F363" t="str">
            <v>Y</v>
          </cell>
          <cell r="H363" t="str">
            <v>MA</v>
          </cell>
          <cell r="I363" t="str">
            <v>N</v>
          </cell>
          <cell r="J363" t="str">
            <v>251XX</v>
          </cell>
          <cell r="K363" t="str">
            <v>8</v>
          </cell>
          <cell r="L363" t="str">
            <v>N</v>
          </cell>
          <cell r="M363" t="str">
            <v>0</v>
          </cell>
          <cell r="N363" t="b">
            <v>0</v>
          </cell>
          <cell r="R363" t="str">
            <v>Should it standardized the tagging?</v>
          </cell>
          <cell r="S363" t="str">
            <v>Manufacture of fabricated metal products, except machinery and equipment</v>
          </cell>
        </row>
        <row r="364">
          <cell r="C364" t="str">
            <v>3519</v>
          </cell>
          <cell r="D364" t="str">
            <v>Internal Combustion Engines, N.E.C.</v>
          </cell>
          <cell r="E364" t="str">
            <v>T</v>
          </cell>
          <cell r="F364" t="str">
            <v>Y</v>
          </cell>
          <cell r="H364" t="str">
            <v>MA</v>
          </cell>
          <cell r="I364" t="str">
            <v>N</v>
          </cell>
          <cell r="J364" t="str">
            <v>251XX</v>
          </cell>
          <cell r="K364" t="str">
            <v>8</v>
          </cell>
          <cell r="L364" t="str">
            <v>N</v>
          </cell>
          <cell r="M364" t="str">
            <v>0</v>
          </cell>
          <cell r="N364" t="b">
            <v>0</v>
          </cell>
          <cell r="R364" t="str">
            <v>Should it standardized the tagging?</v>
          </cell>
          <cell r="S364" t="str">
            <v>Manufacture of fabricated metal products, except machinery and equipment</v>
          </cell>
        </row>
        <row r="365">
          <cell r="C365" t="str">
            <v>3482</v>
          </cell>
          <cell r="D365" t="str">
            <v>Small Arms Ammunition</v>
          </cell>
          <cell r="E365" t="str">
            <v>A</v>
          </cell>
          <cell r="F365" t="str">
            <v>Y</v>
          </cell>
          <cell r="H365" t="str">
            <v>MA</v>
          </cell>
          <cell r="I365" t="str">
            <v>N</v>
          </cell>
          <cell r="J365" t="str">
            <v>25200</v>
          </cell>
          <cell r="K365" t="str">
            <v>0</v>
          </cell>
          <cell r="L365" t="str">
            <v>A</v>
          </cell>
          <cell r="M365" t="str">
            <v>0</v>
          </cell>
          <cell r="N365" t="b">
            <v>1</v>
          </cell>
          <cell r="R365" t="str">
            <v>Offensive &amp; Warfare Products</v>
          </cell>
          <cell r="S365" t="str">
            <v>Offensive &amp; Warfare Products</v>
          </cell>
        </row>
        <row r="366">
          <cell r="C366" t="str">
            <v>3483</v>
          </cell>
          <cell r="D366" t="str">
            <v>Ammunition, Except for Small Arms</v>
          </cell>
          <cell r="E366" t="str">
            <v>A</v>
          </cell>
          <cell r="F366" t="str">
            <v>Y</v>
          </cell>
          <cell r="H366" t="str">
            <v>MA</v>
          </cell>
          <cell r="I366" t="str">
            <v>N</v>
          </cell>
          <cell r="J366" t="str">
            <v>25200</v>
          </cell>
          <cell r="K366" t="str">
            <v>0</v>
          </cell>
          <cell r="L366" t="str">
            <v>A</v>
          </cell>
          <cell r="M366" t="str">
            <v>0</v>
          </cell>
          <cell r="N366" t="b">
            <v>1</v>
          </cell>
          <cell r="R366" t="str">
            <v>Offensive &amp; Warfare Products</v>
          </cell>
          <cell r="S366" t="str">
            <v>Offensive &amp; Warfare Products</v>
          </cell>
        </row>
        <row r="367">
          <cell r="C367" t="str">
            <v>3484</v>
          </cell>
          <cell r="D367" t="str">
            <v>Small Arms</v>
          </cell>
          <cell r="E367" t="str">
            <v>A</v>
          </cell>
          <cell r="F367" t="str">
            <v>Y</v>
          </cell>
          <cell r="H367" t="str">
            <v>MA</v>
          </cell>
          <cell r="I367" t="str">
            <v>N</v>
          </cell>
          <cell r="J367" t="str">
            <v>25200</v>
          </cell>
          <cell r="K367" t="str">
            <v>0</v>
          </cell>
          <cell r="L367" t="str">
            <v>A</v>
          </cell>
          <cell r="M367" t="str">
            <v>0</v>
          </cell>
          <cell r="N367" t="b">
            <v>1</v>
          </cell>
          <cell r="R367" t="str">
            <v>Offensive &amp; Warfare Products</v>
          </cell>
          <cell r="S367" t="str">
            <v>Offensive &amp; Warfare Products</v>
          </cell>
        </row>
        <row r="368">
          <cell r="C368" t="str">
            <v>3463</v>
          </cell>
          <cell r="D368" t="str">
            <v>Nonferrous Forgings</v>
          </cell>
          <cell r="E368" t="str">
            <v>T</v>
          </cell>
          <cell r="F368" t="str">
            <v>Y</v>
          </cell>
          <cell r="H368" t="str">
            <v>MA</v>
          </cell>
          <cell r="I368" t="str">
            <v>N</v>
          </cell>
          <cell r="J368" t="str">
            <v>25910</v>
          </cell>
          <cell r="K368" t="str">
            <v>8</v>
          </cell>
          <cell r="L368" t="str">
            <v>N</v>
          </cell>
          <cell r="M368" t="str">
            <v>0</v>
          </cell>
          <cell r="N368" t="b">
            <v>0</v>
          </cell>
          <cell r="R368" t="str">
            <v>Should it standardized the tagging?</v>
          </cell>
          <cell r="S368" t="str">
            <v>Manufacture of fabricated metal products, except machinery and equipment</v>
          </cell>
        </row>
        <row r="369">
          <cell r="C369" t="str">
            <v>3462</v>
          </cell>
          <cell r="D369" t="str">
            <v>Iron and Steel Forgings</v>
          </cell>
          <cell r="E369" t="str">
            <v>T</v>
          </cell>
          <cell r="F369" t="str">
            <v>Y</v>
          </cell>
          <cell r="H369" t="str">
            <v>MA</v>
          </cell>
          <cell r="I369" t="str">
            <v>N</v>
          </cell>
          <cell r="J369" t="str">
            <v>25910</v>
          </cell>
          <cell r="K369" t="str">
            <v>8</v>
          </cell>
          <cell r="L369" t="str">
            <v>N</v>
          </cell>
          <cell r="M369" t="str">
            <v>0</v>
          </cell>
          <cell r="N369" t="b">
            <v>0</v>
          </cell>
          <cell r="R369" t="str">
            <v>Should it standardized the tagging?</v>
          </cell>
          <cell r="S369" t="str">
            <v>Manufacture of fabricated metal products, except machinery and equipment</v>
          </cell>
        </row>
        <row r="370">
          <cell r="C370" t="str">
            <v>3398</v>
          </cell>
          <cell r="D370" t="str">
            <v>Metal Heat Treating</v>
          </cell>
          <cell r="E370" t="str">
            <v>T</v>
          </cell>
          <cell r="F370" t="str">
            <v>Y</v>
          </cell>
          <cell r="H370" t="str">
            <v>MA</v>
          </cell>
          <cell r="I370" t="str">
            <v>N</v>
          </cell>
          <cell r="J370" t="str">
            <v>25920</v>
          </cell>
          <cell r="K370" t="str">
            <v>8</v>
          </cell>
          <cell r="L370" t="str">
            <v>N</v>
          </cell>
          <cell r="M370" t="str">
            <v>0</v>
          </cell>
          <cell r="N370" t="b">
            <v>0</v>
          </cell>
          <cell r="R370" t="str">
            <v>Should it standardized the tagging?</v>
          </cell>
          <cell r="S370" t="str">
            <v>Manufacture of fabricated metal products, except machinery and equipment</v>
          </cell>
        </row>
        <row r="371">
          <cell r="C371" t="str">
            <v>3399</v>
          </cell>
          <cell r="D371" t="str">
            <v>Primary Metal Products, N.E.C.</v>
          </cell>
          <cell r="E371" t="str">
            <v>T</v>
          </cell>
          <cell r="F371" t="str">
            <v>Y</v>
          </cell>
          <cell r="H371" t="str">
            <v>MA</v>
          </cell>
          <cell r="I371" t="str">
            <v>N</v>
          </cell>
          <cell r="J371" t="str">
            <v>25920</v>
          </cell>
          <cell r="K371" t="str">
            <v>8</v>
          </cell>
          <cell r="L371" t="str">
            <v>N</v>
          </cell>
          <cell r="M371" t="str">
            <v>0</v>
          </cell>
          <cell r="N371" t="b">
            <v>0</v>
          </cell>
          <cell r="R371" t="str">
            <v>Should it standardized the tagging?</v>
          </cell>
          <cell r="S371" t="str">
            <v>Manufacture of fabricated metal products, except machinery and equipment</v>
          </cell>
        </row>
        <row r="372">
          <cell r="C372" t="str">
            <v>3471</v>
          </cell>
          <cell r="D372" t="str">
            <v>Electroplating, Plating, Polishing, Anodizing, and Coloring</v>
          </cell>
          <cell r="E372" t="str">
            <v>T</v>
          </cell>
          <cell r="F372" t="str">
            <v>Y</v>
          </cell>
          <cell r="H372" t="str">
            <v>MA</v>
          </cell>
          <cell r="I372" t="str">
            <v>N</v>
          </cell>
          <cell r="J372" t="str">
            <v>25920</v>
          </cell>
          <cell r="K372" t="str">
            <v>8</v>
          </cell>
          <cell r="L372" t="str">
            <v>N</v>
          </cell>
          <cell r="M372" t="str">
            <v>0</v>
          </cell>
          <cell r="N372" t="b">
            <v>0</v>
          </cell>
          <cell r="R372" t="str">
            <v>Should it standardized the tagging?</v>
          </cell>
          <cell r="S372" t="str">
            <v>Manufacture of fabricated metal products, except machinery and equipment</v>
          </cell>
        </row>
        <row r="373">
          <cell r="C373" t="str">
            <v>3479</v>
          </cell>
          <cell r="D373" t="str">
            <v>Coating, Engraving, and Allied Services, N.E.C.</v>
          </cell>
          <cell r="E373" t="str">
            <v>T</v>
          </cell>
          <cell r="F373" t="str">
            <v>Y</v>
          </cell>
          <cell r="H373" t="str">
            <v>MA</v>
          </cell>
          <cell r="I373" t="str">
            <v>N</v>
          </cell>
          <cell r="J373" t="str">
            <v>25920</v>
          </cell>
          <cell r="K373" t="str">
            <v>8</v>
          </cell>
          <cell r="L373" t="str">
            <v>N</v>
          </cell>
          <cell r="M373" t="str">
            <v>0</v>
          </cell>
          <cell r="N373" t="b">
            <v>0</v>
          </cell>
          <cell r="R373" t="str">
            <v>Should it standardized the tagging?</v>
          </cell>
          <cell r="S373" t="str">
            <v>Manufacture of fabricated metal products, except machinery and equipment</v>
          </cell>
        </row>
        <row r="374">
          <cell r="C374" t="str">
            <v>3421</v>
          </cell>
          <cell r="D374" t="str">
            <v>Cutlery</v>
          </cell>
          <cell r="E374" t="str">
            <v>T</v>
          </cell>
          <cell r="F374" t="str">
            <v>Y</v>
          </cell>
          <cell r="H374" t="str">
            <v>MA</v>
          </cell>
          <cell r="I374" t="str">
            <v>N</v>
          </cell>
          <cell r="J374" t="str">
            <v>25930</v>
          </cell>
          <cell r="K374" t="str">
            <v>8</v>
          </cell>
          <cell r="L374" t="str">
            <v>N</v>
          </cell>
          <cell r="M374" t="str">
            <v>0</v>
          </cell>
          <cell r="N374" t="b">
            <v>0</v>
          </cell>
          <cell r="R374" t="str">
            <v>Should it standardized the tagging?</v>
          </cell>
          <cell r="S374" t="str">
            <v>Manufacture of fabricated metal products, except machinery and equipment</v>
          </cell>
        </row>
        <row r="375">
          <cell r="C375" t="str">
            <v>3423</v>
          </cell>
          <cell r="D375" t="str">
            <v>Hand and Edge Tools, Except Machine Tools and Handsaws</v>
          </cell>
          <cell r="E375" t="str">
            <v>T</v>
          </cell>
          <cell r="F375" t="str">
            <v>Y</v>
          </cell>
          <cell r="H375" t="str">
            <v>MA</v>
          </cell>
          <cell r="I375" t="str">
            <v>N</v>
          </cell>
          <cell r="J375" t="str">
            <v>25930</v>
          </cell>
          <cell r="K375" t="str">
            <v>8</v>
          </cell>
          <cell r="L375" t="str">
            <v>N</v>
          </cell>
          <cell r="M375" t="str">
            <v>0</v>
          </cell>
          <cell r="N375" t="b">
            <v>0</v>
          </cell>
          <cell r="R375" t="str">
            <v>Should it standardized the tagging?</v>
          </cell>
          <cell r="S375" t="str">
            <v>Manufacture of fabricated metal products, except machinery and equipment</v>
          </cell>
        </row>
        <row r="376">
          <cell r="C376" t="str">
            <v>3425</v>
          </cell>
          <cell r="D376" t="str">
            <v>Saw Blades and Handsaws</v>
          </cell>
          <cell r="E376" t="str">
            <v>T</v>
          </cell>
          <cell r="F376" t="str">
            <v>Y</v>
          </cell>
          <cell r="H376" t="str">
            <v>MA</v>
          </cell>
          <cell r="I376" t="str">
            <v>N</v>
          </cell>
          <cell r="J376" t="str">
            <v>25930</v>
          </cell>
          <cell r="K376" t="str">
            <v>8</v>
          </cell>
          <cell r="L376" t="str">
            <v>N</v>
          </cell>
          <cell r="M376" t="str">
            <v>0</v>
          </cell>
          <cell r="N376" t="b">
            <v>0</v>
          </cell>
          <cell r="R376" t="str">
            <v>Should it standardized the tagging?</v>
          </cell>
          <cell r="S376" t="str">
            <v>Manufacture of fabricated metal products, except machinery and equipment</v>
          </cell>
        </row>
        <row r="377">
          <cell r="C377" t="str">
            <v>3429</v>
          </cell>
          <cell r="D377" t="str">
            <v>Hardware, N.E.C.</v>
          </cell>
          <cell r="E377" t="str">
            <v>T</v>
          </cell>
          <cell r="F377" t="str">
            <v>Y</v>
          </cell>
          <cell r="H377" t="str">
            <v>MA</v>
          </cell>
          <cell r="I377" t="str">
            <v>N</v>
          </cell>
          <cell r="J377" t="str">
            <v>25930</v>
          </cell>
          <cell r="K377" t="str">
            <v>8</v>
          </cell>
          <cell r="L377" t="str">
            <v>N</v>
          </cell>
          <cell r="M377" t="str">
            <v>0</v>
          </cell>
          <cell r="N377" t="b">
            <v>0</v>
          </cell>
          <cell r="R377" t="str">
            <v>Should it standardized the tagging?</v>
          </cell>
          <cell r="S377" t="str">
            <v>Manufacture of fabricated metal products, except machinery and equipment</v>
          </cell>
        </row>
        <row r="378">
          <cell r="C378" t="str">
            <v>3493</v>
          </cell>
          <cell r="D378" t="str">
            <v>Steel Springs, Except Wire</v>
          </cell>
          <cell r="E378" t="str">
            <v>T</v>
          </cell>
          <cell r="F378" t="str">
            <v>Y</v>
          </cell>
          <cell r="H378" t="str">
            <v>MA</v>
          </cell>
          <cell r="I378" t="str">
            <v>N</v>
          </cell>
          <cell r="J378" t="str">
            <v>2599X</v>
          </cell>
          <cell r="K378" t="str">
            <v>8</v>
          </cell>
          <cell r="L378" t="str">
            <v>N</v>
          </cell>
          <cell r="M378" t="str">
            <v>0</v>
          </cell>
          <cell r="N378" t="b">
            <v>0</v>
          </cell>
          <cell r="R378" t="str">
            <v>Should it standardized the tagging?</v>
          </cell>
          <cell r="S378" t="str">
            <v>Manufacture of fabricated metal products, except machinery and equipment</v>
          </cell>
        </row>
        <row r="379">
          <cell r="C379" t="str">
            <v>3355</v>
          </cell>
          <cell r="D379" t="str">
            <v>Aluminum Rolling and Drawing, N.E.C.</v>
          </cell>
          <cell r="E379" t="str">
            <v>T</v>
          </cell>
          <cell r="F379" t="str">
            <v>Y</v>
          </cell>
          <cell r="H379" t="str">
            <v>MA</v>
          </cell>
          <cell r="I379" t="str">
            <v>N</v>
          </cell>
          <cell r="J379" t="str">
            <v>2599X</v>
          </cell>
          <cell r="K379" t="str">
            <v>8</v>
          </cell>
          <cell r="L379" t="str">
            <v>N</v>
          </cell>
          <cell r="M379" t="str">
            <v>0</v>
          </cell>
          <cell r="N379" t="b">
            <v>0</v>
          </cell>
          <cell r="R379" t="str">
            <v>Should it standardized the tagging?</v>
          </cell>
          <cell r="S379" t="str">
            <v>Manufacture of fabricated metal products, except machinery and equipment</v>
          </cell>
        </row>
        <row r="380">
          <cell r="C380" t="str">
            <v>3443</v>
          </cell>
          <cell r="D380" t="str">
            <v>Fabricated Plate Work (Boiler Shops)</v>
          </cell>
          <cell r="E380" t="str">
            <v>T</v>
          </cell>
          <cell r="F380" t="str">
            <v>Y</v>
          </cell>
          <cell r="H380" t="str">
            <v>MA</v>
          </cell>
          <cell r="I380" t="str">
            <v>N</v>
          </cell>
          <cell r="J380" t="str">
            <v>2599X</v>
          </cell>
          <cell r="K380" t="str">
            <v>8</v>
          </cell>
          <cell r="L380" t="str">
            <v>N</v>
          </cell>
          <cell r="M380" t="str">
            <v>0</v>
          </cell>
          <cell r="N380" t="b">
            <v>0</v>
          </cell>
          <cell r="R380" t="str">
            <v>Should it standardized the tagging?</v>
          </cell>
          <cell r="S380" t="str">
            <v>Manufacture of fabricated metal products, except machinery and equipment</v>
          </cell>
        </row>
        <row r="381">
          <cell r="C381" t="str">
            <v>3465</v>
          </cell>
          <cell r="D381" t="str">
            <v>Automotive Stampings</v>
          </cell>
          <cell r="E381" t="str">
            <v>T</v>
          </cell>
          <cell r="F381" t="str">
            <v>Y</v>
          </cell>
          <cell r="H381" t="str">
            <v>MA</v>
          </cell>
          <cell r="I381" t="str">
            <v>N</v>
          </cell>
          <cell r="J381" t="str">
            <v>2599X</v>
          </cell>
          <cell r="K381" t="str">
            <v>8</v>
          </cell>
          <cell r="L381" t="str">
            <v>N</v>
          </cell>
          <cell r="M381" t="str">
            <v>0</v>
          </cell>
          <cell r="N381" t="b">
            <v>0</v>
          </cell>
          <cell r="R381" t="str">
            <v>Should it standardized the tagging?</v>
          </cell>
          <cell r="S381" t="str">
            <v>Manufacture of fabricated metal products, except machinery and equipment</v>
          </cell>
        </row>
        <row r="382">
          <cell r="C382" t="str">
            <v>3354</v>
          </cell>
          <cell r="D382" t="str">
            <v>Aluminum Extruded Products</v>
          </cell>
          <cell r="E382" t="str">
            <v>T</v>
          </cell>
          <cell r="F382" t="str">
            <v>Y</v>
          </cell>
          <cell r="H382" t="str">
            <v>MA</v>
          </cell>
          <cell r="I382" t="str">
            <v>N</v>
          </cell>
          <cell r="J382" t="str">
            <v>2599X</v>
          </cell>
          <cell r="K382" t="str">
            <v>8</v>
          </cell>
          <cell r="L382" t="str">
            <v>N</v>
          </cell>
          <cell r="M382" t="str">
            <v>0</v>
          </cell>
          <cell r="N382" t="b">
            <v>0</v>
          </cell>
          <cell r="R382" t="str">
            <v>Should it standardized the tagging?</v>
          </cell>
          <cell r="S382" t="str">
            <v>Manufacture of fabricated metal products, except machinery and equipment</v>
          </cell>
        </row>
        <row r="383">
          <cell r="C383" t="str">
            <v>3411</v>
          </cell>
          <cell r="D383" t="str">
            <v>Metal Cans</v>
          </cell>
          <cell r="E383" t="str">
            <v>T</v>
          </cell>
          <cell r="F383" t="str">
            <v>Y</v>
          </cell>
          <cell r="H383" t="str">
            <v>MA</v>
          </cell>
          <cell r="I383" t="str">
            <v>N</v>
          </cell>
          <cell r="J383" t="str">
            <v>2599X</v>
          </cell>
          <cell r="K383" t="str">
            <v>8</v>
          </cell>
          <cell r="L383" t="str">
            <v>N</v>
          </cell>
          <cell r="M383" t="str">
            <v>0</v>
          </cell>
          <cell r="N383" t="b">
            <v>0</v>
          </cell>
          <cell r="R383" t="str">
            <v>Should it standardized the tagging?</v>
          </cell>
          <cell r="S383" t="str">
            <v>Manufacture of fabricated metal products, except machinery and equipment</v>
          </cell>
        </row>
        <row r="384">
          <cell r="C384" t="str">
            <v>3412</v>
          </cell>
          <cell r="D384" t="str">
            <v>Metal Shipping Barrels, Drums, Kegs, and Pails</v>
          </cell>
          <cell r="E384" t="str">
            <v>T</v>
          </cell>
          <cell r="F384" t="str">
            <v>Y</v>
          </cell>
          <cell r="H384" t="str">
            <v>MA</v>
          </cell>
          <cell r="I384" t="str">
            <v>N</v>
          </cell>
          <cell r="J384" t="str">
            <v>2599X</v>
          </cell>
          <cell r="K384" t="str">
            <v>8</v>
          </cell>
          <cell r="L384" t="str">
            <v>N</v>
          </cell>
          <cell r="M384" t="str">
            <v>0</v>
          </cell>
          <cell r="N384" t="b">
            <v>0</v>
          </cell>
          <cell r="R384" t="str">
            <v>Should it standardized the tagging?</v>
          </cell>
          <cell r="S384" t="str">
            <v>Manufacture of fabricated metal products, except machinery and equipment</v>
          </cell>
        </row>
        <row r="385">
          <cell r="C385" t="str">
            <v>3496</v>
          </cell>
          <cell r="D385" t="str">
            <v>Miscellaneous Fabricated Wire Products</v>
          </cell>
          <cell r="E385" t="str">
            <v>T</v>
          </cell>
          <cell r="F385" t="str">
            <v>Y</v>
          </cell>
          <cell r="H385" t="str">
            <v>MA</v>
          </cell>
          <cell r="I385" t="str">
            <v>N</v>
          </cell>
          <cell r="J385" t="str">
            <v>2599X</v>
          </cell>
          <cell r="K385" t="str">
            <v>8</v>
          </cell>
          <cell r="L385" t="str">
            <v>N</v>
          </cell>
          <cell r="M385" t="str">
            <v>0</v>
          </cell>
          <cell r="N385" t="b">
            <v>0</v>
          </cell>
          <cell r="R385" t="str">
            <v>Should it standardized the tagging?</v>
          </cell>
          <cell r="S385" t="str">
            <v>Manufacture of fabricated metal products, except machinery and equipment</v>
          </cell>
        </row>
        <row r="386">
          <cell r="C386" t="str">
            <v>3444</v>
          </cell>
          <cell r="D386" t="str">
            <v>Sheet Metal Work</v>
          </cell>
          <cell r="E386" t="str">
            <v>T</v>
          </cell>
          <cell r="F386" t="str">
            <v>Y</v>
          </cell>
          <cell r="H386" t="str">
            <v>MA</v>
          </cell>
          <cell r="I386" t="str">
            <v>N</v>
          </cell>
          <cell r="J386" t="str">
            <v>2599X</v>
          </cell>
          <cell r="K386" t="str">
            <v>8</v>
          </cell>
          <cell r="L386" t="str">
            <v>N</v>
          </cell>
          <cell r="M386" t="str">
            <v>0</v>
          </cell>
          <cell r="N386" t="b">
            <v>0</v>
          </cell>
          <cell r="R386" t="str">
            <v>Should it standardized the tagging?</v>
          </cell>
          <cell r="S386" t="str">
            <v>Manufacture of fabricated metal products, except machinery and equipment</v>
          </cell>
        </row>
        <row r="387">
          <cell r="C387" t="str">
            <v>3446</v>
          </cell>
          <cell r="D387" t="str">
            <v>Architectural and Ornamental Metal Work</v>
          </cell>
          <cell r="E387" t="str">
            <v>T</v>
          </cell>
          <cell r="F387" t="str">
            <v>Y</v>
          </cell>
          <cell r="H387" t="str">
            <v>MA</v>
          </cell>
          <cell r="I387" t="str">
            <v>N</v>
          </cell>
          <cell r="J387" t="str">
            <v>2599X</v>
          </cell>
          <cell r="K387" t="str">
            <v>8</v>
          </cell>
          <cell r="L387" t="str">
            <v>N</v>
          </cell>
          <cell r="M387" t="str">
            <v>0</v>
          </cell>
          <cell r="N387" t="b">
            <v>0</v>
          </cell>
          <cell r="R387" t="str">
            <v>Should it standardized the tagging?</v>
          </cell>
          <cell r="S387" t="str">
            <v>Manufacture of fabricated metal products, except machinery and equipment</v>
          </cell>
        </row>
        <row r="388">
          <cell r="C388" t="str">
            <v>3469</v>
          </cell>
          <cell r="D388" t="str">
            <v>Metal Stampings, N.E.C.</v>
          </cell>
          <cell r="E388" t="str">
            <v>T</v>
          </cell>
          <cell r="F388" t="str">
            <v>Y</v>
          </cell>
          <cell r="H388" t="str">
            <v>MA</v>
          </cell>
          <cell r="I388" t="str">
            <v>N</v>
          </cell>
          <cell r="J388" t="str">
            <v>2599X</v>
          </cell>
          <cell r="K388" t="str">
            <v>8</v>
          </cell>
          <cell r="L388" t="str">
            <v>N</v>
          </cell>
          <cell r="M388" t="str">
            <v>0</v>
          </cell>
          <cell r="N388" t="b">
            <v>0</v>
          </cell>
          <cell r="R388" t="str">
            <v>Should it standardized the tagging?</v>
          </cell>
          <cell r="S388" t="str">
            <v>Manufacture of fabricated metal products, except machinery and equipment</v>
          </cell>
        </row>
        <row r="389">
          <cell r="C389" t="str">
            <v>3466</v>
          </cell>
          <cell r="D389" t="str">
            <v>Crowns and Closures</v>
          </cell>
          <cell r="E389" t="str">
            <v>T</v>
          </cell>
          <cell r="F389" t="str">
            <v>Y</v>
          </cell>
          <cell r="H389" t="str">
            <v>MA</v>
          </cell>
          <cell r="I389" t="str">
            <v>N</v>
          </cell>
          <cell r="J389" t="str">
            <v>2599X</v>
          </cell>
          <cell r="K389" t="str">
            <v>8</v>
          </cell>
          <cell r="L389" t="str">
            <v>N</v>
          </cell>
          <cell r="M389" t="str">
            <v>0</v>
          </cell>
          <cell r="N389" t="b">
            <v>0</v>
          </cell>
          <cell r="R389" t="str">
            <v>Should it standardized the tagging?</v>
          </cell>
          <cell r="S389" t="str">
            <v>Manufacture of fabricated metal products, except machinery and equipment</v>
          </cell>
        </row>
        <row r="390">
          <cell r="C390" t="str">
            <v>3492</v>
          </cell>
          <cell r="D390" t="str">
            <v>Fluid Power Valves and Hose Fittings</v>
          </cell>
          <cell r="E390" t="str">
            <v>T</v>
          </cell>
          <cell r="F390" t="str">
            <v>Y</v>
          </cell>
          <cell r="H390" t="str">
            <v>MA</v>
          </cell>
          <cell r="I390" t="str">
            <v>N</v>
          </cell>
          <cell r="J390" t="str">
            <v>2599X</v>
          </cell>
          <cell r="K390" t="str">
            <v>8</v>
          </cell>
          <cell r="L390" t="str">
            <v>N</v>
          </cell>
          <cell r="M390" t="str">
            <v>0</v>
          </cell>
          <cell r="N390" t="b">
            <v>0</v>
          </cell>
          <cell r="R390" t="str">
            <v>Should it standardized the tagging?</v>
          </cell>
          <cell r="S390" t="str">
            <v>Manufacture of fabricated metal products, except machinery and equipment</v>
          </cell>
        </row>
        <row r="391">
          <cell r="C391" t="str">
            <v>3494</v>
          </cell>
          <cell r="D391" t="str">
            <v>Valves and Pipe Fittings, N.E.C.</v>
          </cell>
          <cell r="E391" t="str">
            <v>T</v>
          </cell>
          <cell r="F391" t="str">
            <v>Y</v>
          </cell>
          <cell r="H391" t="str">
            <v>MA</v>
          </cell>
          <cell r="I391" t="str">
            <v>N</v>
          </cell>
          <cell r="J391" t="str">
            <v>2599X</v>
          </cell>
          <cell r="K391" t="str">
            <v>8</v>
          </cell>
          <cell r="L391" t="str">
            <v>N</v>
          </cell>
          <cell r="M391" t="str">
            <v>0</v>
          </cell>
          <cell r="N391" t="b">
            <v>0</v>
          </cell>
          <cell r="R391" t="str">
            <v>Should it standardized the tagging?</v>
          </cell>
          <cell r="S391" t="str">
            <v>Manufacture of fabricated metal products, except machinery and equipment</v>
          </cell>
        </row>
        <row r="392">
          <cell r="C392" t="str">
            <v>3495</v>
          </cell>
          <cell r="D392" t="str">
            <v>Wire Springs</v>
          </cell>
          <cell r="E392" t="str">
            <v>T</v>
          </cell>
          <cell r="F392" t="str">
            <v>Y</v>
          </cell>
          <cell r="H392" t="str">
            <v>MA</v>
          </cell>
          <cell r="I392" t="str">
            <v>N</v>
          </cell>
          <cell r="J392" t="str">
            <v>2599X</v>
          </cell>
          <cell r="K392" t="str">
            <v>8</v>
          </cell>
          <cell r="L392" t="str">
            <v>N</v>
          </cell>
          <cell r="M392" t="str">
            <v>0</v>
          </cell>
          <cell r="N392" t="b">
            <v>0</v>
          </cell>
          <cell r="R392" t="str">
            <v>Should it standardized the tagging?</v>
          </cell>
          <cell r="S392" t="str">
            <v>Manufacture of fabricated metal products, except machinery and equipment</v>
          </cell>
        </row>
        <row r="393">
          <cell r="C393" t="str">
            <v>3499</v>
          </cell>
          <cell r="D393" t="str">
            <v>Fabricated Metal Products, N.E.C.</v>
          </cell>
          <cell r="E393" t="str">
            <v>T</v>
          </cell>
          <cell r="F393" t="str">
            <v>Y</v>
          </cell>
          <cell r="H393" t="str">
            <v>MA</v>
          </cell>
          <cell r="I393" t="str">
            <v>N</v>
          </cell>
          <cell r="J393" t="str">
            <v>2599X</v>
          </cell>
          <cell r="K393" t="str">
            <v>8</v>
          </cell>
          <cell r="L393" t="str">
            <v>N</v>
          </cell>
          <cell r="M393" t="str">
            <v>0</v>
          </cell>
          <cell r="N393" t="b">
            <v>0</v>
          </cell>
          <cell r="R393" t="str">
            <v>Should it standardized the tagging?</v>
          </cell>
          <cell r="S393" t="str">
            <v>Manufacture of fabricated metal products, except machinery and equipment</v>
          </cell>
        </row>
        <row r="394">
          <cell r="C394" t="str">
            <v>3491</v>
          </cell>
          <cell r="D394" t="str">
            <v>Industrial Valves</v>
          </cell>
          <cell r="E394" t="str">
            <v>T</v>
          </cell>
          <cell r="F394" t="str">
            <v>Y</v>
          </cell>
          <cell r="H394" t="str">
            <v>MA</v>
          </cell>
          <cell r="I394" t="str">
            <v>N</v>
          </cell>
          <cell r="J394" t="str">
            <v>2599X</v>
          </cell>
          <cell r="K394" t="str">
            <v>8</v>
          </cell>
          <cell r="L394" t="str">
            <v>N</v>
          </cell>
          <cell r="M394" t="str">
            <v>0</v>
          </cell>
          <cell r="N394" t="b">
            <v>0</v>
          </cell>
          <cell r="R394" t="str">
            <v>Should it standardized the tagging?</v>
          </cell>
          <cell r="S394" t="str">
            <v>Manufacture of fabricated metal products, except machinery and equipment</v>
          </cell>
        </row>
        <row r="395">
          <cell r="C395" t="str">
            <v>3313</v>
          </cell>
          <cell r="D395" t="str">
            <v>Electrometallurgical Products, Except Steel</v>
          </cell>
          <cell r="E395" t="str">
            <v>T</v>
          </cell>
          <cell r="F395" t="str">
            <v>Y</v>
          </cell>
          <cell r="H395" t="str">
            <v>MA</v>
          </cell>
          <cell r="I395" t="str">
            <v>N</v>
          </cell>
          <cell r="J395" t="str">
            <v>2599X</v>
          </cell>
          <cell r="K395" t="str">
            <v>8</v>
          </cell>
          <cell r="L395" t="str">
            <v>N</v>
          </cell>
          <cell r="M395" t="str">
            <v>0</v>
          </cell>
          <cell r="N395" t="b">
            <v>0</v>
          </cell>
          <cell r="R395" t="str">
            <v>Should it standardized the tagging?</v>
          </cell>
          <cell r="S395" t="str">
            <v>Manufacture of fabricated metal products, except machinery and equipment</v>
          </cell>
        </row>
        <row r="396">
          <cell r="C396" t="str">
            <v>3489</v>
          </cell>
          <cell r="D396" t="str">
            <v>Ordnance and Accessories, N.E.C.</v>
          </cell>
          <cell r="E396" t="str">
            <v>T</v>
          </cell>
          <cell r="F396" t="str">
            <v>Y</v>
          </cell>
          <cell r="H396" t="str">
            <v>MA</v>
          </cell>
          <cell r="I396" t="str">
            <v>N</v>
          </cell>
          <cell r="J396" t="str">
            <v>2599X</v>
          </cell>
          <cell r="K396" t="str">
            <v>8</v>
          </cell>
          <cell r="L396" t="str">
            <v>N</v>
          </cell>
          <cell r="M396" t="str">
            <v>0</v>
          </cell>
          <cell r="N396" t="b">
            <v>0</v>
          </cell>
          <cell r="R396" t="str">
            <v>Should it standardized the tagging?</v>
          </cell>
          <cell r="S396" t="str">
            <v>Manufacture of fabricated metal products, except machinery and equipment</v>
          </cell>
        </row>
        <row r="397">
          <cell r="C397" t="str">
            <v>3497</v>
          </cell>
          <cell r="D397" t="str">
            <v>Metal Foil and Leaf</v>
          </cell>
          <cell r="E397" t="str">
            <v>T</v>
          </cell>
          <cell r="F397" t="str">
            <v>Y</v>
          </cell>
          <cell r="H397" t="str">
            <v>MA</v>
          </cell>
          <cell r="I397" t="str">
            <v>N</v>
          </cell>
          <cell r="J397" t="str">
            <v>2599X</v>
          </cell>
          <cell r="K397" t="str">
            <v>8</v>
          </cell>
          <cell r="L397" t="str">
            <v>N</v>
          </cell>
          <cell r="M397" t="str">
            <v>0</v>
          </cell>
          <cell r="N397" t="b">
            <v>0</v>
          </cell>
          <cell r="R397" t="str">
            <v>Should it standardized the tagging?</v>
          </cell>
          <cell r="S397" t="str">
            <v>Manufacture of fabricated metal products, except machinery and equipment</v>
          </cell>
        </row>
        <row r="398">
          <cell r="C398" t="str">
            <v>3498</v>
          </cell>
          <cell r="D398" t="str">
            <v>Fabricated Pipe and Pipe Fittings</v>
          </cell>
          <cell r="E398" t="str">
            <v>T</v>
          </cell>
          <cell r="F398" t="str">
            <v>Y</v>
          </cell>
          <cell r="H398" t="str">
            <v>MA</v>
          </cell>
          <cell r="I398" t="str">
            <v>N</v>
          </cell>
          <cell r="J398" t="str">
            <v>2599X</v>
          </cell>
          <cell r="K398" t="str">
            <v>8</v>
          </cell>
          <cell r="L398" t="str">
            <v>N</v>
          </cell>
          <cell r="M398" t="str">
            <v>0</v>
          </cell>
          <cell r="N398" t="b">
            <v>0</v>
          </cell>
          <cell r="R398" t="str">
            <v>Should it standardized the tagging?</v>
          </cell>
          <cell r="S398" t="str">
            <v>Manufacture of fabricated metal products, except machinery and equipment</v>
          </cell>
        </row>
        <row r="399">
          <cell r="C399" t="str">
            <v>3353</v>
          </cell>
          <cell r="D399" t="str">
            <v>Aluminum Sheet, Plate, and Foil</v>
          </cell>
          <cell r="E399" t="str">
            <v>T</v>
          </cell>
          <cell r="F399" t="str">
            <v>Y</v>
          </cell>
          <cell r="H399" t="str">
            <v>MA</v>
          </cell>
          <cell r="I399" t="str">
            <v>N</v>
          </cell>
          <cell r="J399" t="str">
            <v>2599X</v>
          </cell>
          <cell r="K399" t="str">
            <v>8</v>
          </cell>
          <cell r="L399" t="str">
            <v>N</v>
          </cell>
          <cell r="M399" t="str">
            <v>0</v>
          </cell>
          <cell r="N399" t="b">
            <v>0</v>
          </cell>
          <cell r="R399" t="str">
            <v>Should it standardized the tagging?</v>
          </cell>
          <cell r="S399" t="str">
            <v>Manufacture of fabricated metal products, except machinery and equipment</v>
          </cell>
        </row>
        <row r="400">
          <cell r="C400" t="str">
            <v>3672</v>
          </cell>
          <cell r="D400" t="str">
            <v>Printed Circuit Boards</v>
          </cell>
          <cell r="E400" t="str">
            <v>T</v>
          </cell>
          <cell r="F400" t="str">
            <v>Y</v>
          </cell>
          <cell r="H400" t="str">
            <v>MA</v>
          </cell>
          <cell r="I400" t="str">
            <v>N</v>
          </cell>
          <cell r="J400" t="str">
            <v>26300</v>
          </cell>
          <cell r="K400" t="str">
            <v>8</v>
          </cell>
          <cell r="L400" t="str">
            <v>T</v>
          </cell>
          <cell r="M400" t="str">
            <v>8</v>
          </cell>
          <cell r="N400" t="b">
            <v>1</v>
          </cell>
          <cell r="S400" t="str">
            <v>Manufacture of electronic/ optical/ electrical equipment products</v>
          </cell>
        </row>
        <row r="401">
          <cell r="C401" t="str">
            <v>3674</v>
          </cell>
          <cell r="D401" t="str">
            <v>Semiconductors and Related Devices</v>
          </cell>
          <cell r="E401" t="str">
            <v>T</v>
          </cell>
          <cell r="F401" t="str">
            <v>Y</v>
          </cell>
          <cell r="H401" t="str">
            <v>MA</v>
          </cell>
          <cell r="I401" t="str">
            <v>N</v>
          </cell>
          <cell r="J401" t="str">
            <v>26300</v>
          </cell>
          <cell r="K401" t="str">
            <v>8</v>
          </cell>
          <cell r="L401" t="str">
            <v>T</v>
          </cell>
          <cell r="M401" t="str">
            <v>8</v>
          </cell>
          <cell r="N401" t="b">
            <v>1</v>
          </cell>
          <cell r="S401" t="str">
            <v>Manufacture of electronic/ optical/ electrical equipment products</v>
          </cell>
        </row>
        <row r="402">
          <cell r="C402" t="str">
            <v>3675</v>
          </cell>
          <cell r="D402" t="str">
            <v>Electronic Capacitors</v>
          </cell>
          <cell r="E402" t="str">
            <v>T</v>
          </cell>
          <cell r="F402" t="str">
            <v>Y</v>
          </cell>
          <cell r="H402" t="str">
            <v>MA</v>
          </cell>
          <cell r="I402" t="str">
            <v>N</v>
          </cell>
          <cell r="J402" t="str">
            <v>26300</v>
          </cell>
          <cell r="K402" t="str">
            <v>8</v>
          </cell>
          <cell r="L402" t="str">
            <v>T</v>
          </cell>
          <cell r="M402" t="str">
            <v>8</v>
          </cell>
          <cell r="N402" t="b">
            <v>1</v>
          </cell>
          <cell r="S402" t="str">
            <v>Manufacture of electronic/ optical/ electrical equipment products</v>
          </cell>
        </row>
        <row r="403">
          <cell r="C403" t="str">
            <v>3692</v>
          </cell>
          <cell r="D403" t="str">
            <v>Primary Batteries, Dry and Wet</v>
          </cell>
          <cell r="E403" t="str">
            <v>T</v>
          </cell>
          <cell r="F403" t="str">
            <v>Y</v>
          </cell>
          <cell r="H403" t="str">
            <v>MA</v>
          </cell>
          <cell r="I403" t="str">
            <v>N</v>
          </cell>
          <cell r="J403" t="str">
            <v>26300</v>
          </cell>
          <cell r="K403" t="str">
            <v>8</v>
          </cell>
          <cell r="L403" t="str">
            <v>T</v>
          </cell>
          <cell r="M403" t="str">
            <v>8</v>
          </cell>
          <cell r="N403" t="b">
            <v>1</v>
          </cell>
          <cell r="S403" t="str">
            <v>Manufacture of electronic/ optical/ electrical equipment products</v>
          </cell>
        </row>
        <row r="404">
          <cell r="C404" t="str">
            <v>3671</v>
          </cell>
          <cell r="D404" t="str">
            <v>Electron Tubes</v>
          </cell>
          <cell r="E404" t="str">
            <v>T</v>
          </cell>
          <cell r="F404" t="str">
            <v>Y</v>
          </cell>
          <cell r="H404" t="str">
            <v>MA</v>
          </cell>
          <cell r="I404" t="str">
            <v>N</v>
          </cell>
          <cell r="J404" t="str">
            <v>26300</v>
          </cell>
          <cell r="K404" t="str">
            <v>8</v>
          </cell>
          <cell r="L404" t="str">
            <v>T</v>
          </cell>
          <cell r="M404" t="str">
            <v>8</v>
          </cell>
          <cell r="N404" t="b">
            <v>1</v>
          </cell>
          <cell r="S404" t="str">
            <v>Manufacture of electronic/ optical/ electrical equipment products</v>
          </cell>
        </row>
        <row r="405">
          <cell r="C405" t="str">
            <v>3676</v>
          </cell>
          <cell r="D405" t="str">
            <v>Electronic Resistors</v>
          </cell>
          <cell r="E405" t="str">
            <v>T</v>
          </cell>
          <cell r="F405" t="str">
            <v>Y</v>
          </cell>
          <cell r="H405" t="str">
            <v>MA</v>
          </cell>
          <cell r="I405" t="str">
            <v>N</v>
          </cell>
          <cell r="J405" t="str">
            <v>26300</v>
          </cell>
          <cell r="K405" t="str">
            <v>8</v>
          </cell>
          <cell r="L405" t="str">
            <v>T</v>
          </cell>
          <cell r="M405" t="str">
            <v>8</v>
          </cell>
          <cell r="N405" t="b">
            <v>1</v>
          </cell>
          <cell r="S405" t="str">
            <v>Manufacture of electronic/ optical/ electrical equipment products</v>
          </cell>
        </row>
        <row r="406">
          <cell r="C406" t="str">
            <v>3677</v>
          </cell>
          <cell r="D406" t="str">
            <v>Electronic Coils, Transformers, and Other Inductors</v>
          </cell>
          <cell r="E406" t="str">
            <v>T</v>
          </cell>
          <cell r="F406" t="str">
            <v>Y</v>
          </cell>
          <cell r="H406" t="str">
            <v>MA</v>
          </cell>
          <cell r="I406" t="str">
            <v>N</v>
          </cell>
          <cell r="J406" t="str">
            <v>26300</v>
          </cell>
          <cell r="K406" t="str">
            <v>8</v>
          </cell>
          <cell r="L406" t="str">
            <v>T</v>
          </cell>
          <cell r="M406" t="str">
            <v>8</v>
          </cell>
          <cell r="N406" t="b">
            <v>1</v>
          </cell>
          <cell r="S406" t="str">
            <v>Manufacture of electronic/ optical/ electrical equipment products</v>
          </cell>
        </row>
        <row r="407">
          <cell r="C407" t="str">
            <v>3678</v>
          </cell>
          <cell r="D407" t="str">
            <v>Electronic Connectors</v>
          </cell>
          <cell r="E407" t="str">
            <v>T</v>
          </cell>
          <cell r="F407" t="str">
            <v>Y</v>
          </cell>
          <cell r="H407" t="str">
            <v>MA</v>
          </cell>
          <cell r="I407" t="str">
            <v>N</v>
          </cell>
          <cell r="J407" t="str">
            <v>26300</v>
          </cell>
          <cell r="K407" t="str">
            <v>8</v>
          </cell>
          <cell r="L407" t="str">
            <v>T</v>
          </cell>
          <cell r="M407" t="str">
            <v>8</v>
          </cell>
          <cell r="N407" t="b">
            <v>1</v>
          </cell>
          <cell r="S407" t="str">
            <v>Manufacture of electronic/ optical/ electrical equipment products</v>
          </cell>
        </row>
        <row r="408">
          <cell r="C408" t="str">
            <v>3679</v>
          </cell>
          <cell r="D408" t="str">
            <v>Electronic Components, N.E.C.</v>
          </cell>
          <cell r="E408" t="str">
            <v>T</v>
          </cell>
          <cell r="F408" t="str">
            <v>Y</v>
          </cell>
          <cell r="H408" t="str">
            <v>MA</v>
          </cell>
          <cell r="I408" t="str">
            <v>N</v>
          </cell>
          <cell r="J408" t="str">
            <v>26300</v>
          </cell>
          <cell r="K408" t="str">
            <v>8</v>
          </cell>
          <cell r="L408" t="str">
            <v>T</v>
          </cell>
          <cell r="M408" t="str">
            <v>8</v>
          </cell>
          <cell r="N408" t="b">
            <v>1</v>
          </cell>
          <cell r="S408" t="str">
            <v>Manufacture of electronic/ optical/ electrical equipment products</v>
          </cell>
        </row>
        <row r="409">
          <cell r="C409" t="str">
            <v>3691</v>
          </cell>
          <cell r="D409" t="str">
            <v>Storage Batteries</v>
          </cell>
          <cell r="E409" t="str">
            <v>T</v>
          </cell>
          <cell r="F409" t="str">
            <v>Y</v>
          </cell>
          <cell r="H409" t="str">
            <v>MA</v>
          </cell>
          <cell r="I409" t="str">
            <v>N</v>
          </cell>
          <cell r="J409" t="str">
            <v>26300</v>
          </cell>
          <cell r="K409" t="str">
            <v>8</v>
          </cell>
          <cell r="L409" t="str">
            <v>T</v>
          </cell>
          <cell r="M409" t="str">
            <v>8</v>
          </cell>
          <cell r="N409" t="b">
            <v>1</v>
          </cell>
          <cell r="S409" t="str">
            <v>Manufacture of electronic/ optical/ electrical equipment products</v>
          </cell>
        </row>
        <row r="410">
          <cell r="C410" t="str">
            <v>3661</v>
          </cell>
          <cell r="D410" t="str">
            <v>Telephone and Telegraph Apparatus</v>
          </cell>
          <cell r="E410" t="str">
            <v>T</v>
          </cell>
          <cell r="F410" t="str">
            <v>Y</v>
          </cell>
          <cell r="H410" t="str">
            <v>MA</v>
          </cell>
          <cell r="I410" t="str">
            <v>N</v>
          </cell>
          <cell r="J410" t="str">
            <v>26300</v>
          </cell>
          <cell r="K410" t="str">
            <v>8</v>
          </cell>
          <cell r="L410" t="str">
            <v>T</v>
          </cell>
          <cell r="M410" t="str">
            <v>8</v>
          </cell>
          <cell r="N410" t="b">
            <v>1</v>
          </cell>
          <cell r="S410" t="str">
            <v>Manufacture of electronic/ optical/ electrical equipment products</v>
          </cell>
        </row>
        <row r="411">
          <cell r="C411" t="str">
            <v>26300</v>
          </cell>
          <cell r="D411" t="str">
            <v>TV radio communication equipment</v>
          </cell>
          <cell r="E411" t="str">
            <v>T</v>
          </cell>
          <cell r="F411" t="str">
            <v>Y</v>
          </cell>
          <cell r="H411" t="str">
            <v>MA</v>
          </cell>
          <cell r="I411" t="str">
            <v>N</v>
          </cell>
          <cell r="J411" t="str">
            <v>26300</v>
          </cell>
          <cell r="K411" t="str">
            <v>8</v>
          </cell>
          <cell r="L411" t="str">
            <v>T</v>
          </cell>
          <cell r="M411" t="str">
            <v>8</v>
          </cell>
          <cell r="N411" t="b">
            <v>1</v>
          </cell>
          <cell r="S411" t="str">
            <v>Manufacture of electronic/ optical/ electrical equipment products</v>
          </cell>
        </row>
        <row r="412">
          <cell r="C412" t="str">
            <v>3663</v>
          </cell>
          <cell r="D412" t="str">
            <v>Radio and Television Broadcasting and Communications Equipment</v>
          </cell>
          <cell r="E412" t="str">
            <v>T</v>
          </cell>
          <cell r="F412" t="str">
            <v>Y</v>
          </cell>
          <cell r="H412" t="str">
            <v>MA</v>
          </cell>
          <cell r="I412" t="str">
            <v>N</v>
          </cell>
          <cell r="J412" t="str">
            <v>26300</v>
          </cell>
          <cell r="K412" t="str">
            <v>8</v>
          </cell>
          <cell r="L412" t="str">
            <v>T</v>
          </cell>
          <cell r="M412" t="str">
            <v>8</v>
          </cell>
          <cell r="N412" t="b">
            <v>1</v>
          </cell>
          <cell r="S412" t="str">
            <v>Manufacture of electronic/ optical/ electrical equipment products</v>
          </cell>
        </row>
        <row r="413">
          <cell r="C413" t="str">
            <v>3669</v>
          </cell>
          <cell r="D413" t="str">
            <v>Communications Equipment, N.E.C.</v>
          </cell>
          <cell r="E413" t="str">
            <v>T</v>
          </cell>
          <cell r="F413" t="str">
            <v>Y</v>
          </cell>
          <cell r="H413" t="str">
            <v>MA</v>
          </cell>
          <cell r="I413" t="str">
            <v>N</v>
          </cell>
          <cell r="J413" t="str">
            <v>26300</v>
          </cell>
          <cell r="K413" t="str">
            <v>8</v>
          </cell>
          <cell r="L413" t="str">
            <v>T</v>
          </cell>
          <cell r="M413" t="str">
            <v>8</v>
          </cell>
          <cell r="N413" t="b">
            <v>1</v>
          </cell>
          <cell r="S413" t="str">
            <v>Manufacture of electronic/ optical/ electrical equipment products</v>
          </cell>
        </row>
        <row r="414">
          <cell r="C414" t="str">
            <v>3823</v>
          </cell>
          <cell r="D414" t="str">
            <v>Industrial Instruments for Measurement, Display, and Control of Process Variables; and Related Products</v>
          </cell>
          <cell r="E414" t="str">
            <v>T</v>
          </cell>
          <cell r="F414" t="str">
            <v>Y</v>
          </cell>
          <cell r="H414" t="str">
            <v>MA</v>
          </cell>
          <cell r="I414" t="str">
            <v>N</v>
          </cell>
          <cell r="J414" t="str">
            <v>265XX</v>
          </cell>
          <cell r="K414" t="str">
            <v>8</v>
          </cell>
          <cell r="L414" t="str">
            <v>T</v>
          </cell>
          <cell r="M414" t="str">
            <v>8</v>
          </cell>
          <cell r="N414" t="b">
            <v>1</v>
          </cell>
          <cell r="S414" t="str">
            <v>Manufacture of electronic/ optical/ electrical equipment products</v>
          </cell>
        </row>
        <row r="415">
          <cell r="C415" t="str">
            <v>3821</v>
          </cell>
          <cell r="D415" t="str">
            <v>Laboratory Apparatus and Furniture</v>
          </cell>
          <cell r="E415" t="str">
            <v>T</v>
          </cell>
          <cell r="F415" t="str">
            <v>Y</v>
          </cell>
          <cell r="H415" t="str">
            <v>MA</v>
          </cell>
          <cell r="I415" t="str">
            <v>N</v>
          </cell>
          <cell r="J415" t="str">
            <v>265XX</v>
          </cell>
          <cell r="K415" t="str">
            <v>8</v>
          </cell>
          <cell r="L415" t="str">
            <v>T</v>
          </cell>
          <cell r="M415" t="str">
            <v>8</v>
          </cell>
          <cell r="N415" t="b">
            <v>1</v>
          </cell>
          <cell r="S415" t="str">
            <v>Manufacture of electronic/ optical/ electrical equipment products</v>
          </cell>
        </row>
        <row r="416">
          <cell r="C416" t="str">
            <v>3873</v>
          </cell>
          <cell r="D416" t="str">
            <v>Watches, Clocks, Clockwork Operated Devices, and Parts</v>
          </cell>
          <cell r="E416" t="str">
            <v>T</v>
          </cell>
          <cell r="F416" t="str">
            <v>Y</v>
          </cell>
          <cell r="H416" t="str">
            <v>MA</v>
          </cell>
          <cell r="I416" t="str">
            <v>N</v>
          </cell>
          <cell r="J416" t="str">
            <v>265XX</v>
          </cell>
          <cell r="K416" t="str">
            <v>8</v>
          </cell>
          <cell r="L416" t="str">
            <v>T</v>
          </cell>
          <cell r="M416" t="str">
            <v>8</v>
          </cell>
          <cell r="N416" t="b">
            <v>1</v>
          </cell>
          <cell r="S416" t="str">
            <v>Manufacture of electronic/ optical/ electrical equipment products</v>
          </cell>
        </row>
        <row r="417">
          <cell r="C417" t="str">
            <v>3825</v>
          </cell>
          <cell r="D417" t="str">
            <v>Instruments for Measuring and Testing of Electricity and Electrical Signals</v>
          </cell>
          <cell r="E417" t="str">
            <v>T</v>
          </cell>
          <cell r="F417" t="str">
            <v>Y</v>
          </cell>
          <cell r="H417" t="str">
            <v>MA</v>
          </cell>
          <cell r="I417" t="str">
            <v>N</v>
          </cell>
          <cell r="J417" t="str">
            <v>32500</v>
          </cell>
          <cell r="K417" t="str">
            <v>8</v>
          </cell>
          <cell r="L417" t="str">
            <v>T</v>
          </cell>
          <cell r="M417" t="str">
            <v>8</v>
          </cell>
          <cell r="N417" t="b">
            <v>1</v>
          </cell>
          <cell r="S417" t="str">
            <v>Manufacture of medical related products</v>
          </cell>
        </row>
        <row r="418">
          <cell r="C418" t="str">
            <v>3822</v>
          </cell>
          <cell r="D418" t="str">
            <v>Automatic Controls for Regulating Residential and Commercial Environments and Appliances</v>
          </cell>
          <cell r="E418" t="str">
            <v>T</v>
          </cell>
          <cell r="F418" t="str">
            <v>Y</v>
          </cell>
          <cell r="H418" t="str">
            <v>MA</v>
          </cell>
          <cell r="I418" t="str">
            <v>N</v>
          </cell>
          <cell r="J418" t="str">
            <v>32500</v>
          </cell>
          <cell r="K418" t="str">
            <v>8</v>
          </cell>
          <cell r="L418" t="str">
            <v>T</v>
          </cell>
          <cell r="M418" t="str">
            <v>8</v>
          </cell>
          <cell r="N418" t="b">
            <v>1</v>
          </cell>
          <cell r="S418" t="str">
            <v>Manufacture of medical related products</v>
          </cell>
        </row>
        <row r="419">
          <cell r="C419" t="str">
            <v>3824</v>
          </cell>
          <cell r="D419" t="str">
            <v>Totalizing Fluid Meters and Counting Devices</v>
          </cell>
          <cell r="E419" t="str">
            <v>T</v>
          </cell>
          <cell r="F419" t="str">
            <v>Y</v>
          </cell>
          <cell r="H419" t="str">
            <v>MA</v>
          </cell>
          <cell r="I419" t="str">
            <v>N</v>
          </cell>
          <cell r="J419" t="str">
            <v>32500</v>
          </cell>
          <cell r="K419" t="str">
            <v>8</v>
          </cell>
          <cell r="L419" t="str">
            <v>T</v>
          </cell>
          <cell r="M419" t="str">
            <v>8</v>
          </cell>
          <cell r="N419" t="b">
            <v>1</v>
          </cell>
          <cell r="S419" t="str">
            <v>Manufacture of medical related products</v>
          </cell>
        </row>
        <row r="420">
          <cell r="C420" t="str">
            <v>3829</v>
          </cell>
          <cell r="D420" t="str">
            <v>Measuring and Controlling Devices, N.E.C.</v>
          </cell>
          <cell r="E420" t="str">
            <v>T</v>
          </cell>
          <cell r="F420" t="str">
            <v>Y</v>
          </cell>
          <cell r="H420" t="str">
            <v>MA</v>
          </cell>
          <cell r="I420" t="str">
            <v>N</v>
          </cell>
          <cell r="J420" t="str">
            <v>32500</v>
          </cell>
          <cell r="K420" t="str">
            <v>8</v>
          </cell>
          <cell r="L420" t="str">
            <v>T</v>
          </cell>
          <cell r="M420" t="str">
            <v>8</v>
          </cell>
          <cell r="N420" t="b">
            <v>1</v>
          </cell>
          <cell r="S420" t="str">
            <v>Manufacture of medical related products</v>
          </cell>
        </row>
        <row r="421">
          <cell r="C421" t="str">
            <v>3827</v>
          </cell>
          <cell r="D421" t="str">
            <v>Optical Instruments and Lenses</v>
          </cell>
          <cell r="E421" t="str">
            <v>T</v>
          </cell>
          <cell r="F421" t="str">
            <v>Y</v>
          </cell>
          <cell r="H421" t="str">
            <v>MA</v>
          </cell>
          <cell r="I421" t="str">
            <v>N</v>
          </cell>
          <cell r="J421" t="str">
            <v>2670X</v>
          </cell>
          <cell r="K421" t="str">
            <v>8</v>
          </cell>
          <cell r="L421" t="str">
            <v>T</v>
          </cell>
          <cell r="M421" t="str">
            <v>8</v>
          </cell>
          <cell r="N421" t="b">
            <v>1</v>
          </cell>
          <cell r="S421" t="str">
            <v>Manufacture of electronic/ optical/ electrical equipment products</v>
          </cell>
        </row>
        <row r="422">
          <cell r="C422" t="str">
            <v>3861</v>
          </cell>
          <cell r="D422" t="str">
            <v>Photographic Equipment and Supplies</v>
          </cell>
          <cell r="E422" t="str">
            <v>T</v>
          </cell>
          <cell r="F422" t="str">
            <v>Y</v>
          </cell>
          <cell r="H422" t="str">
            <v>MA</v>
          </cell>
          <cell r="I422" t="str">
            <v>N</v>
          </cell>
          <cell r="J422" t="str">
            <v>2670X</v>
          </cell>
          <cell r="K422" t="str">
            <v>8</v>
          </cell>
          <cell r="L422" t="str">
            <v>T</v>
          </cell>
          <cell r="M422" t="str">
            <v>8</v>
          </cell>
          <cell r="N422" t="b">
            <v>1</v>
          </cell>
          <cell r="S422" t="str">
            <v>Manufacture of electronic/ optical/ electrical equipment products</v>
          </cell>
        </row>
        <row r="423">
          <cell r="C423" t="str">
            <v>26999</v>
          </cell>
          <cell r="D423" t="str">
            <v>Other manufacture of computer, electronic and optical products</v>
          </cell>
          <cell r="E423" t="str">
            <v>T</v>
          </cell>
          <cell r="F423" t="str">
            <v>Y</v>
          </cell>
          <cell r="H423" t="str">
            <v>MA</v>
          </cell>
          <cell r="I423" t="str">
            <v>N</v>
          </cell>
          <cell r="J423" t="str">
            <v>26999</v>
          </cell>
          <cell r="K423" t="str">
            <v>8</v>
          </cell>
          <cell r="L423" t="str">
            <v>T</v>
          </cell>
          <cell r="M423" t="str">
            <v>8</v>
          </cell>
          <cell r="N423" t="b">
            <v>1</v>
          </cell>
          <cell r="S423" t="str">
            <v>Manufacture of electronic/ optical/ electrical equipment products</v>
          </cell>
        </row>
        <row r="424">
          <cell r="C424" t="str">
            <v>3632</v>
          </cell>
          <cell r="D424" t="str">
            <v>Household Refrigerators and Home and Farm Freezers</v>
          </cell>
          <cell r="E424" t="str">
            <v>T</v>
          </cell>
          <cell r="F424" t="str">
            <v>Y</v>
          </cell>
          <cell r="H424" t="str">
            <v>MA</v>
          </cell>
          <cell r="I424" t="str">
            <v>N</v>
          </cell>
          <cell r="J424" t="str">
            <v>27500</v>
          </cell>
          <cell r="K424" t="str">
            <v>8</v>
          </cell>
          <cell r="L424" t="str">
            <v>T</v>
          </cell>
          <cell r="M424" t="str">
            <v>8</v>
          </cell>
          <cell r="N424" t="b">
            <v>1</v>
          </cell>
          <cell r="S424" t="str">
            <v>Manufacture of electronic/ optical/ electrical equipment products</v>
          </cell>
        </row>
        <row r="425">
          <cell r="C425" t="str">
            <v>3639</v>
          </cell>
          <cell r="D425" t="str">
            <v>Household Appliances, N.E.C.</v>
          </cell>
          <cell r="E425" t="str">
            <v>T</v>
          </cell>
          <cell r="F425" t="str">
            <v>Y</v>
          </cell>
          <cell r="H425" t="str">
            <v>MA</v>
          </cell>
          <cell r="I425" t="str">
            <v>N</v>
          </cell>
          <cell r="J425" t="str">
            <v>27500</v>
          </cell>
          <cell r="K425" t="str">
            <v>8</v>
          </cell>
          <cell r="L425" t="str">
            <v>T</v>
          </cell>
          <cell r="M425" t="str">
            <v>8</v>
          </cell>
          <cell r="N425" t="b">
            <v>1</v>
          </cell>
          <cell r="S425" t="str">
            <v>Manufacture of electronic/ optical/ electrical equipment products</v>
          </cell>
        </row>
        <row r="426">
          <cell r="C426" t="str">
            <v>3431</v>
          </cell>
          <cell r="D426" t="str">
            <v>Enameled Iron and Metal Sanitary Ware</v>
          </cell>
          <cell r="E426" t="str">
            <v>T</v>
          </cell>
          <cell r="F426" t="str">
            <v>Y</v>
          </cell>
          <cell r="H426" t="str">
            <v>MA</v>
          </cell>
          <cell r="I426" t="str">
            <v>N</v>
          </cell>
          <cell r="J426" t="str">
            <v>27500</v>
          </cell>
          <cell r="K426" t="str">
            <v>8</v>
          </cell>
          <cell r="L426" t="str">
            <v>N</v>
          </cell>
          <cell r="M426" t="str">
            <v>0</v>
          </cell>
          <cell r="N426" t="b">
            <v>0</v>
          </cell>
          <cell r="R426" t="str">
            <v>Should it standardized the tagging?</v>
          </cell>
          <cell r="S426" t="str">
            <v>Manufacture of electronic/ optical/ electrical equipment products</v>
          </cell>
        </row>
        <row r="427">
          <cell r="C427" t="str">
            <v>3432</v>
          </cell>
          <cell r="D427" t="str">
            <v>Plumbing Fixture Fittings and Trim</v>
          </cell>
          <cell r="E427" t="str">
            <v>T</v>
          </cell>
          <cell r="F427" t="str">
            <v>Y</v>
          </cell>
          <cell r="H427" t="str">
            <v>MA</v>
          </cell>
          <cell r="I427" t="str">
            <v>N</v>
          </cell>
          <cell r="J427" t="str">
            <v>27500</v>
          </cell>
          <cell r="K427" t="str">
            <v>8</v>
          </cell>
          <cell r="L427" t="str">
            <v>N</v>
          </cell>
          <cell r="M427" t="str">
            <v>0</v>
          </cell>
          <cell r="N427" t="b">
            <v>0</v>
          </cell>
          <cell r="R427" t="str">
            <v>Should it standardized the tagging?</v>
          </cell>
          <cell r="S427" t="str">
            <v>Manufacture of electronic/ optical/ electrical equipment products</v>
          </cell>
        </row>
        <row r="428">
          <cell r="C428" t="str">
            <v>3433</v>
          </cell>
          <cell r="D428" t="str">
            <v>Heating Equipment, Except Electric and Warm Air Furnaces</v>
          </cell>
          <cell r="E428" t="str">
            <v>T</v>
          </cell>
          <cell r="F428" t="str">
            <v>Y</v>
          </cell>
          <cell r="H428" t="str">
            <v>MA</v>
          </cell>
          <cell r="I428" t="str">
            <v>N</v>
          </cell>
          <cell r="J428" t="str">
            <v>27500</v>
          </cell>
          <cell r="K428" t="str">
            <v>8</v>
          </cell>
          <cell r="L428" t="str">
            <v>T</v>
          </cell>
          <cell r="M428" t="str">
            <v>8</v>
          </cell>
          <cell r="N428" t="b">
            <v>1</v>
          </cell>
          <cell r="S428" t="str">
            <v>Manufacture of electronic/ optical/ electrical equipment products</v>
          </cell>
        </row>
        <row r="429">
          <cell r="C429" t="str">
            <v>3442</v>
          </cell>
          <cell r="D429" t="str">
            <v>Metal Doors, Sash, Frames, Molding, and Trim</v>
          </cell>
          <cell r="E429" t="str">
            <v>T</v>
          </cell>
          <cell r="F429" t="str">
            <v>Y</v>
          </cell>
          <cell r="H429" t="str">
            <v>MA</v>
          </cell>
          <cell r="I429" t="str">
            <v>N</v>
          </cell>
          <cell r="J429" t="str">
            <v>27500</v>
          </cell>
          <cell r="K429" t="str">
            <v>8</v>
          </cell>
          <cell r="L429" t="str">
            <v>N</v>
          </cell>
          <cell r="M429" t="str">
            <v>0</v>
          </cell>
          <cell r="N429" t="b">
            <v>0</v>
          </cell>
          <cell r="R429" t="str">
            <v>Should it standardized the tagging?</v>
          </cell>
          <cell r="S429" t="str">
            <v>Manufacture of electronic/ optical/ electrical equipment products</v>
          </cell>
        </row>
        <row r="430">
          <cell r="C430" t="str">
            <v>3635</v>
          </cell>
          <cell r="D430" t="str">
            <v>Household Vacuum Cleaners</v>
          </cell>
          <cell r="E430" t="str">
            <v>T</v>
          </cell>
          <cell r="F430" t="str">
            <v>Y</v>
          </cell>
          <cell r="H430" t="str">
            <v>MA</v>
          </cell>
          <cell r="I430" t="str">
            <v>N</v>
          </cell>
          <cell r="J430" t="str">
            <v>27500</v>
          </cell>
          <cell r="K430" t="str">
            <v>8</v>
          </cell>
          <cell r="L430" t="str">
            <v>T</v>
          </cell>
          <cell r="M430" t="str">
            <v>8</v>
          </cell>
          <cell r="N430" t="b">
            <v>1</v>
          </cell>
          <cell r="S430" t="str">
            <v>Manufacture of electronic/ optical/ electrical equipment products</v>
          </cell>
        </row>
        <row r="431">
          <cell r="C431" t="str">
            <v>3634</v>
          </cell>
          <cell r="D431" t="str">
            <v>Electric Housewares and Fans</v>
          </cell>
          <cell r="E431" t="str">
            <v>T</v>
          </cell>
          <cell r="F431" t="str">
            <v>Y</v>
          </cell>
          <cell r="H431" t="str">
            <v>MA</v>
          </cell>
          <cell r="I431" t="str">
            <v>N</v>
          </cell>
          <cell r="J431" t="str">
            <v>27500</v>
          </cell>
          <cell r="K431" t="str">
            <v>8</v>
          </cell>
          <cell r="L431" t="str">
            <v>T</v>
          </cell>
          <cell r="M431" t="str">
            <v>8</v>
          </cell>
          <cell r="N431" t="b">
            <v>1</v>
          </cell>
          <cell r="S431" t="str">
            <v>Manufacture of electronic/ optical/ electrical equipment products</v>
          </cell>
        </row>
        <row r="432">
          <cell r="C432" t="str">
            <v>3633</v>
          </cell>
          <cell r="D432" t="str">
            <v>Household Laundry Equipment</v>
          </cell>
          <cell r="E432" t="str">
            <v>T</v>
          </cell>
          <cell r="F432" t="str">
            <v>Y</v>
          </cell>
          <cell r="H432" t="str">
            <v>MA</v>
          </cell>
          <cell r="I432" t="str">
            <v>N</v>
          </cell>
          <cell r="J432" t="str">
            <v>27500</v>
          </cell>
          <cell r="K432" t="str">
            <v>8</v>
          </cell>
          <cell r="L432" t="str">
            <v>T</v>
          </cell>
          <cell r="M432" t="str">
            <v>8</v>
          </cell>
          <cell r="N432" t="b">
            <v>1</v>
          </cell>
          <cell r="S432" t="str">
            <v>Manufacture of electronic/ optical/ electrical equipment products</v>
          </cell>
        </row>
        <row r="433">
          <cell r="C433" t="str">
            <v>3631</v>
          </cell>
          <cell r="D433" t="str">
            <v>Household Cooking Equipment</v>
          </cell>
          <cell r="E433" t="str">
            <v>T</v>
          </cell>
          <cell r="F433" t="str">
            <v>Y</v>
          </cell>
          <cell r="H433" t="str">
            <v>MA</v>
          </cell>
          <cell r="I433" t="str">
            <v>N</v>
          </cell>
          <cell r="J433" t="str">
            <v>27500</v>
          </cell>
          <cell r="K433" t="str">
            <v>8</v>
          </cell>
          <cell r="L433" t="str">
            <v>T</v>
          </cell>
          <cell r="M433" t="str">
            <v>8</v>
          </cell>
          <cell r="N433" t="b">
            <v>1</v>
          </cell>
          <cell r="S433" t="str">
            <v>Manufacture of electronic/ optical/ electrical equipment products</v>
          </cell>
        </row>
        <row r="434">
          <cell r="C434" t="str">
            <v>3596</v>
          </cell>
          <cell r="D434" t="str">
            <v>Scales and Balances, Except Laboratory</v>
          </cell>
          <cell r="E434" t="str">
            <v>T</v>
          </cell>
          <cell r="F434" t="str">
            <v>Y</v>
          </cell>
          <cell r="H434" t="str">
            <v>MA</v>
          </cell>
          <cell r="I434" t="str">
            <v>N</v>
          </cell>
          <cell r="J434" t="str">
            <v>27500</v>
          </cell>
          <cell r="K434" t="str">
            <v>8</v>
          </cell>
          <cell r="L434" t="str">
            <v>T</v>
          </cell>
          <cell r="M434" t="str">
            <v>8</v>
          </cell>
          <cell r="N434" t="b">
            <v>1</v>
          </cell>
          <cell r="S434" t="str">
            <v>Manufacture of electronic/ optical/ electrical equipment products</v>
          </cell>
        </row>
        <row r="435">
          <cell r="C435" t="str">
            <v>3612</v>
          </cell>
          <cell r="D435" t="str">
            <v>Power, Distribution, and Specialty Transformers</v>
          </cell>
          <cell r="E435" t="str">
            <v>T</v>
          </cell>
          <cell r="F435" t="str">
            <v>Y</v>
          </cell>
          <cell r="H435" t="str">
            <v>MA</v>
          </cell>
          <cell r="I435" t="str">
            <v>N</v>
          </cell>
          <cell r="J435" t="str">
            <v>27999</v>
          </cell>
          <cell r="K435" t="str">
            <v>8</v>
          </cell>
          <cell r="L435" t="str">
            <v>T</v>
          </cell>
          <cell r="M435" t="str">
            <v>8</v>
          </cell>
          <cell r="N435" t="b">
            <v>1</v>
          </cell>
          <cell r="S435" t="str">
            <v>Manufacture of electronic/ optical/ electrical equipment products</v>
          </cell>
        </row>
        <row r="436">
          <cell r="C436" t="str">
            <v>3613</v>
          </cell>
          <cell r="D436" t="str">
            <v>Switchgear and Switchboard Apparatus</v>
          </cell>
          <cell r="E436" t="str">
            <v>T</v>
          </cell>
          <cell r="F436" t="str">
            <v>Y</v>
          </cell>
          <cell r="H436" t="str">
            <v>MA</v>
          </cell>
          <cell r="I436" t="str">
            <v>N</v>
          </cell>
          <cell r="J436" t="str">
            <v>27999</v>
          </cell>
          <cell r="K436" t="str">
            <v>8</v>
          </cell>
          <cell r="L436" t="str">
            <v>T</v>
          </cell>
          <cell r="M436" t="str">
            <v>8</v>
          </cell>
          <cell r="N436" t="b">
            <v>1</v>
          </cell>
          <cell r="S436" t="str">
            <v>Manufacture of electronic/ optical/ electrical equipment products</v>
          </cell>
        </row>
        <row r="437">
          <cell r="C437" t="str">
            <v>27999</v>
          </cell>
          <cell r="D437" t="str">
            <v>insulated wire and cable</v>
          </cell>
          <cell r="E437" t="str">
            <v>T</v>
          </cell>
          <cell r="F437" t="str">
            <v>Y</v>
          </cell>
          <cell r="H437" t="str">
            <v>MA</v>
          </cell>
          <cell r="I437" t="str">
            <v>N</v>
          </cell>
          <cell r="J437" t="str">
            <v>27999</v>
          </cell>
          <cell r="K437" t="str">
            <v>8</v>
          </cell>
          <cell r="L437" t="str">
            <v>T</v>
          </cell>
          <cell r="M437" t="str">
            <v>8</v>
          </cell>
          <cell r="N437" t="b">
            <v>1</v>
          </cell>
          <cell r="S437" t="str">
            <v>Manufacture of electronic/ optical/ electrical equipment products</v>
          </cell>
        </row>
        <row r="438">
          <cell r="C438" t="str">
            <v>28000</v>
          </cell>
          <cell r="D438" t="str">
            <v>acumulators, primary cells and primary batteries</v>
          </cell>
          <cell r="E438" t="str">
            <v>T</v>
          </cell>
          <cell r="F438" t="str">
            <v>Y</v>
          </cell>
          <cell r="H438" t="str">
            <v>MA</v>
          </cell>
          <cell r="I438" t="str">
            <v>N</v>
          </cell>
          <cell r="J438" t="str">
            <v>27999</v>
          </cell>
          <cell r="K438" t="str">
            <v>8</v>
          </cell>
          <cell r="L438" t="str">
            <v>T</v>
          </cell>
          <cell r="M438" t="str">
            <v>8</v>
          </cell>
          <cell r="N438" t="b">
            <v>1</v>
          </cell>
          <cell r="S438" t="str">
            <v>Manufacture of electronic/ optical/ electrical equipment products</v>
          </cell>
        </row>
        <row r="439">
          <cell r="C439" t="str">
            <v>28001</v>
          </cell>
          <cell r="D439" t="str">
            <v>electric lamps and lighting equipment</v>
          </cell>
          <cell r="E439" t="str">
            <v>T</v>
          </cell>
          <cell r="F439" t="str">
            <v>Y</v>
          </cell>
          <cell r="H439" t="str">
            <v>MA</v>
          </cell>
          <cell r="I439" t="str">
            <v>N</v>
          </cell>
          <cell r="J439" t="str">
            <v>27999</v>
          </cell>
          <cell r="K439" t="str">
            <v>8</v>
          </cell>
          <cell r="L439" t="str">
            <v>T</v>
          </cell>
          <cell r="M439" t="str">
            <v>8</v>
          </cell>
          <cell r="N439" t="b">
            <v>1</v>
          </cell>
          <cell r="S439" t="str">
            <v>Manufacture of electronic/ optical/ electrical equipment products</v>
          </cell>
        </row>
        <row r="440">
          <cell r="C440" t="str">
            <v>3578</v>
          </cell>
          <cell r="D440" t="str">
            <v>Calculating and Accounting Machines, Except Electronic Computers</v>
          </cell>
          <cell r="E440" t="str">
            <v>T</v>
          </cell>
          <cell r="F440" t="str">
            <v>Y</v>
          </cell>
          <cell r="H440" t="str">
            <v>MA</v>
          </cell>
          <cell r="I440" t="str">
            <v>N</v>
          </cell>
          <cell r="J440" t="str">
            <v>27999</v>
          </cell>
          <cell r="K440" t="str">
            <v>8</v>
          </cell>
          <cell r="L440" t="str">
            <v>T</v>
          </cell>
          <cell r="M440" t="str">
            <v>8</v>
          </cell>
          <cell r="N440" t="b">
            <v>1</v>
          </cell>
          <cell r="S440" t="str">
            <v>Manufacture of electronic/ optical/ electrical equipment products</v>
          </cell>
        </row>
        <row r="441">
          <cell r="C441" t="str">
            <v>3624</v>
          </cell>
          <cell r="D441" t="str">
            <v>Carbon and Graphite Products</v>
          </cell>
          <cell r="E441" t="str">
            <v>T</v>
          </cell>
          <cell r="F441" t="str">
            <v>Y</v>
          </cell>
          <cell r="H441" t="str">
            <v>MA</v>
          </cell>
          <cell r="I441" t="str">
            <v>N</v>
          </cell>
          <cell r="J441" t="str">
            <v>27999</v>
          </cell>
          <cell r="K441" t="str">
            <v>8</v>
          </cell>
          <cell r="L441" t="str">
            <v>T</v>
          </cell>
          <cell r="M441" t="str">
            <v>8</v>
          </cell>
          <cell r="N441" t="b">
            <v>1</v>
          </cell>
          <cell r="S441" t="str">
            <v>Manufacture of electronic/ optical/ electrical equipment products</v>
          </cell>
        </row>
        <row r="442">
          <cell r="C442" t="str">
            <v>3621</v>
          </cell>
          <cell r="D442" t="str">
            <v>Motors and Generators</v>
          </cell>
          <cell r="E442" t="str">
            <v>T</v>
          </cell>
          <cell r="F442" t="str">
            <v>Y</v>
          </cell>
          <cell r="H442" t="str">
            <v>MA</v>
          </cell>
          <cell r="I442" t="str">
            <v>N</v>
          </cell>
          <cell r="J442" t="str">
            <v>27999</v>
          </cell>
          <cell r="K442" t="str">
            <v>8</v>
          </cell>
          <cell r="L442" t="str">
            <v>T</v>
          </cell>
          <cell r="M442" t="str">
            <v>8</v>
          </cell>
          <cell r="N442" t="b">
            <v>1</v>
          </cell>
          <cell r="S442" t="str">
            <v>Manufacture of electronic/ optical/ electrical equipment products</v>
          </cell>
        </row>
        <row r="443">
          <cell r="C443" t="str">
            <v>3645</v>
          </cell>
          <cell r="D443" t="str">
            <v>Residential Electric Lighting Fixtures</v>
          </cell>
          <cell r="E443" t="str">
            <v>T</v>
          </cell>
          <cell r="F443" t="str">
            <v>Y</v>
          </cell>
          <cell r="H443" t="str">
            <v>MA</v>
          </cell>
          <cell r="I443" t="str">
            <v>N</v>
          </cell>
          <cell r="J443" t="str">
            <v>27999</v>
          </cell>
          <cell r="K443" t="str">
            <v>8</v>
          </cell>
          <cell r="L443" t="str">
            <v>T</v>
          </cell>
          <cell r="M443" t="str">
            <v>8</v>
          </cell>
          <cell r="N443" t="b">
            <v>1</v>
          </cell>
          <cell r="S443" t="str">
            <v>Manufacture of electronic/ optical/ electrical equipment products</v>
          </cell>
        </row>
        <row r="444">
          <cell r="C444" t="str">
            <v>3699</v>
          </cell>
          <cell r="D444" t="str">
            <v>Electrical Machinery, Equipment, and Supplies, N.E.C.</v>
          </cell>
          <cell r="E444" t="str">
            <v>T</v>
          </cell>
          <cell r="F444" t="str">
            <v>Y</v>
          </cell>
          <cell r="H444" t="str">
            <v>MA</v>
          </cell>
          <cell r="I444" t="str">
            <v>N</v>
          </cell>
          <cell r="J444" t="str">
            <v>27999</v>
          </cell>
          <cell r="K444" t="str">
            <v>8</v>
          </cell>
          <cell r="L444" t="str">
            <v>T</v>
          </cell>
          <cell r="M444" t="str">
            <v>8</v>
          </cell>
          <cell r="N444" t="b">
            <v>1</v>
          </cell>
          <cell r="S444" t="str">
            <v>Manufacture of electronic/ optical/ electrical equipment products</v>
          </cell>
        </row>
        <row r="445">
          <cell r="C445" t="str">
            <v>3643</v>
          </cell>
          <cell r="D445" t="str">
            <v>Current-Carrying Wiring Devices</v>
          </cell>
          <cell r="E445" t="str">
            <v>T</v>
          </cell>
          <cell r="F445" t="str">
            <v>Y</v>
          </cell>
          <cell r="H445" t="str">
            <v>MA</v>
          </cell>
          <cell r="I445" t="str">
            <v>N</v>
          </cell>
          <cell r="J445" t="str">
            <v>27999</v>
          </cell>
          <cell r="K445" t="str">
            <v>8</v>
          </cell>
          <cell r="L445" t="str">
            <v>T</v>
          </cell>
          <cell r="M445" t="str">
            <v>8</v>
          </cell>
          <cell r="N445" t="b">
            <v>1</v>
          </cell>
          <cell r="S445" t="str">
            <v>Manufacture of electronic/ optical/ electrical equipment products</v>
          </cell>
        </row>
        <row r="446">
          <cell r="C446" t="str">
            <v>3641</v>
          </cell>
          <cell r="D446" t="str">
            <v>Electric Lamp Bulbs and Tubes</v>
          </cell>
          <cell r="E446" t="str">
            <v>T</v>
          </cell>
          <cell r="F446" t="str">
            <v>Y</v>
          </cell>
          <cell r="H446" t="str">
            <v>MA</v>
          </cell>
          <cell r="I446" t="str">
            <v>N</v>
          </cell>
          <cell r="J446" t="str">
            <v>27999</v>
          </cell>
          <cell r="K446" t="str">
            <v>8</v>
          </cell>
          <cell r="L446" t="str">
            <v>T</v>
          </cell>
          <cell r="M446" t="str">
            <v>8</v>
          </cell>
          <cell r="N446" t="b">
            <v>1</v>
          </cell>
          <cell r="S446" t="str">
            <v>Manufacture of electronic/ optical/ electrical equipment products</v>
          </cell>
        </row>
        <row r="447">
          <cell r="C447" t="str">
            <v>3548</v>
          </cell>
          <cell r="D447" t="str">
            <v>Electric and Gas Welding and Soldering Equipment</v>
          </cell>
          <cell r="E447" t="str">
            <v>T</v>
          </cell>
          <cell r="F447" t="str">
            <v>Y</v>
          </cell>
          <cell r="H447" t="str">
            <v>MA</v>
          </cell>
          <cell r="I447" t="str">
            <v>N</v>
          </cell>
          <cell r="J447" t="str">
            <v>27999</v>
          </cell>
          <cell r="K447" t="str">
            <v>8</v>
          </cell>
          <cell r="L447" t="str">
            <v>T</v>
          </cell>
          <cell r="M447" t="str">
            <v>8</v>
          </cell>
          <cell r="N447" t="b">
            <v>1</v>
          </cell>
          <cell r="S447" t="str">
            <v>Manufacture of electronic/ optical/ electrical equipment products</v>
          </cell>
        </row>
        <row r="448">
          <cell r="C448" t="str">
            <v>3625</v>
          </cell>
          <cell r="D448" t="str">
            <v>Relays and Industrial Controls</v>
          </cell>
          <cell r="E448" t="str">
            <v>T</v>
          </cell>
          <cell r="F448" t="str">
            <v>Y</v>
          </cell>
          <cell r="H448" t="str">
            <v>MA</v>
          </cell>
          <cell r="I448" t="str">
            <v>N</v>
          </cell>
          <cell r="J448" t="str">
            <v>27999</v>
          </cell>
          <cell r="K448" t="str">
            <v>8</v>
          </cell>
          <cell r="L448" t="str">
            <v>T</v>
          </cell>
          <cell r="M448" t="str">
            <v>8</v>
          </cell>
          <cell r="N448" t="b">
            <v>1</v>
          </cell>
          <cell r="S448" t="str">
            <v>Manufacture of electronic/ optical/ electrical equipment products</v>
          </cell>
        </row>
        <row r="449">
          <cell r="C449" t="str">
            <v>3571</v>
          </cell>
          <cell r="D449" t="str">
            <v>Electronic Computers</v>
          </cell>
          <cell r="E449" t="str">
            <v>T</v>
          </cell>
          <cell r="F449" t="str">
            <v>Y</v>
          </cell>
          <cell r="H449" t="str">
            <v>MA</v>
          </cell>
          <cell r="I449" t="str">
            <v>N</v>
          </cell>
          <cell r="J449" t="str">
            <v>27999</v>
          </cell>
          <cell r="K449" t="str">
            <v>8</v>
          </cell>
          <cell r="L449" t="str">
            <v>T</v>
          </cell>
          <cell r="M449" t="str">
            <v>8</v>
          </cell>
          <cell r="N449" t="b">
            <v>1</v>
          </cell>
          <cell r="S449" t="str">
            <v>Manufacture of electronic/ optical/ electrical equipment products</v>
          </cell>
        </row>
        <row r="450">
          <cell r="C450" t="str">
            <v>3572</v>
          </cell>
          <cell r="D450" t="str">
            <v>Computer Storage Devices</v>
          </cell>
          <cell r="E450" t="str">
            <v>T</v>
          </cell>
          <cell r="F450" t="str">
            <v>Y</v>
          </cell>
          <cell r="H450" t="str">
            <v>MA</v>
          </cell>
          <cell r="I450" t="str">
            <v>N</v>
          </cell>
          <cell r="J450" t="str">
            <v>27999</v>
          </cell>
          <cell r="K450" t="str">
            <v>8</v>
          </cell>
          <cell r="L450" t="str">
            <v>T</v>
          </cell>
          <cell r="M450" t="str">
            <v>8</v>
          </cell>
          <cell r="N450" t="b">
            <v>1</v>
          </cell>
          <cell r="S450" t="str">
            <v>Manufacture of electronic/ optical/ electrical equipment products</v>
          </cell>
        </row>
        <row r="451">
          <cell r="C451" t="str">
            <v>3575</v>
          </cell>
          <cell r="D451" t="str">
            <v>Computer Terminals</v>
          </cell>
          <cell r="E451" t="str">
            <v>T</v>
          </cell>
          <cell r="F451" t="str">
            <v>Y</v>
          </cell>
          <cell r="H451" t="str">
            <v>MA</v>
          </cell>
          <cell r="I451" t="str">
            <v>N</v>
          </cell>
          <cell r="J451" t="str">
            <v>27999</v>
          </cell>
          <cell r="K451" t="str">
            <v>8</v>
          </cell>
          <cell r="L451" t="str">
            <v>T</v>
          </cell>
          <cell r="M451" t="str">
            <v>8</v>
          </cell>
          <cell r="N451" t="b">
            <v>1</v>
          </cell>
          <cell r="S451" t="str">
            <v>Manufacture of electronic/ optical/ electrical equipment products</v>
          </cell>
        </row>
        <row r="452">
          <cell r="C452" t="str">
            <v>3577</v>
          </cell>
          <cell r="D452" t="str">
            <v>Computer Peripheral Equipment, N.E.C.</v>
          </cell>
          <cell r="E452" t="str">
            <v>T</v>
          </cell>
          <cell r="F452" t="str">
            <v>Y</v>
          </cell>
          <cell r="H452" t="str">
            <v>MA</v>
          </cell>
          <cell r="I452" t="str">
            <v>N</v>
          </cell>
          <cell r="J452" t="str">
            <v>27999</v>
          </cell>
          <cell r="K452" t="str">
            <v>8</v>
          </cell>
          <cell r="L452" t="str">
            <v>T</v>
          </cell>
          <cell r="M452" t="str">
            <v>8</v>
          </cell>
          <cell r="N452" t="b">
            <v>1</v>
          </cell>
          <cell r="S452" t="str">
            <v>Manufacture of electronic/ optical/ electrical equipment products</v>
          </cell>
        </row>
        <row r="453">
          <cell r="C453" t="str">
            <v>3579</v>
          </cell>
          <cell r="D453" t="str">
            <v>Office Machines, N.E.C.</v>
          </cell>
          <cell r="E453" t="str">
            <v>T</v>
          </cell>
          <cell r="F453" t="str">
            <v>Y</v>
          </cell>
          <cell r="H453" t="str">
            <v>MA</v>
          </cell>
          <cell r="I453" t="str">
            <v>N</v>
          </cell>
          <cell r="J453" t="str">
            <v>27999</v>
          </cell>
          <cell r="K453" t="str">
            <v>8</v>
          </cell>
          <cell r="L453" t="str">
            <v>T</v>
          </cell>
          <cell r="M453" t="str">
            <v>8</v>
          </cell>
          <cell r="N453" t="b">
            <v>1</v>
          </cell>
          <cell r="S453" t="str">
            <v>Manufacture of electronic/ optical/ electrical equipment products</v>
          </cell>
        </row>
        <row r="454">
          <cell r="C454" t="str">
            <v>3581</v>
          </cell>
          <cell r="D454" t="str">
            <v>Automatic Vending Machines</v>
          </cell>
          <cell r="E454" t="str">
            <v>T</v>
          </cell>
          <cell r="F454" t="str">
            <v>Y</v>
          </cell>
          <cell r="H454" t="str">
            <v>MA</v>
          </cell>
          <cell r="I454" t="str">
            <v>N</v>
          </cell>
          <cell r="J454" t="str">
            <v>27999</v>
          </cell>
          <cell r="K454" t="str">
            <v>8</v>
          </cell>
          <cell r="L454" t="str">
            <v>T</v>
          </cell>
          <cell r="M454" t="str">
            <v>8</v>
          </cell>
          <cell r="N454" t="b">
            <v>1</v>
          </cell>
          <cell r="S454" t="str">
            <v>Manufacture of electronic/ optical/ electrical equipment products</v>
          </cell>
        </row>
        <row r="455">
          <cell r="C455" t="str">
            <v>3585</v>
          </cell>
          <cell r="D455" t="str">
            <v>Air-Conditioning and Warm Air Heating Equipment and Commercial and Industrial Refrigeration Equipment</v>
          </cell>
          <cell r="E455" t="str">
            <v>T</v>
          </cell>
          <cell r="F455" t="str">
            <v>Y</v>
          </cell>
          <cell r="H455" t="str">
            <v>MA</v>
          </cell>
          <cell r="I455" t="str">
            <v>N</v>
          </cell>
          <cell r="J455" t="str">
            <v>27999</v>
          </cell>
          <cell r="K455" t="str">
            <v>8</v>
          </cell>
          <cell r="L455" t="str">
            <v>T</v>
          </cell>
          <cell r="M455" t="str">
            <v>8</v>
          </cell>
          <cell r="N455" t="b">
            <v>1</v>
          </cell>
          <cell r="S455" t="str">
            <v>Manufacture of electronic/ optical/ electrical equipment products</v>
          </cell>
        </row>
        <row r="456">
          <cell r="C456" t="str">
            <v>3582</v>
          </cell>
          <cell r="D456" t="str">
            <v>Commercial Laundry, Drycleaning, and Pressing Machines</v>
          </cell>
          <cell r="E456" t="str">
            <v>T</v>
          </cell>
          <cell r="F456" t="str">
            <v>Y</v>
          </cell>
          <cell r="H456" t="str">
            <v>MA</v>
          </cell>
          <cell r="I456" t="str">
            <v>N</v>
          </cell>
          <cell r="J456" t="str">
            <v>27999</v>
          </cell>
          <cell r="K456" t="str">
            <v>8</v>
          </cell>
          <cell r="L456" t="str">
            <v>T</v>
          </cell>
          <cell r="M456" t="str">
            <v>8</v>
          </cell>
          <cell r="N456" t="b">
            <v>1</v>
          </cell>
          <cell r="S456" t="str">
            <v>Manufacture of electronic/ optical/ electrical equipment products</v>
          </cell>
        </row>
        <row r="457">
          <cell r="C457" t="str">
            <v>3586</v>
          </cell>
          <cell r="D457" t="str">
            <v>Measuring and Dispensing Pumps</v>
          </cell>
          <cell r="E457" t="str">
            <v>T</v>
          </cell>
          <cell r="F457" t="str">
            <v>Y</v>
          </cell>
          <cell r="H457" t="str">
            <v>MA</v>
          </cell>
          <cell r="I457" t="str">
            <v>N</v>
          </cell>
          <cell r="J457" t="str">
            <v>27999</v>
          </cell>
          <cell r="K457" t="str">
            <v>8</v>
          </cell>
          <cell r="L457" t="str">
            <v>T</v>
          </cell>
          <cell r="M457" t="str">
            <v>8</v>
          </cell>
          <cell r="N457" t="b">
            <v>1</v>
          </cell>
          <cell r="S457" t="str">
            <v>Manufacture of electronic/ optical/ electrical equipment products</v>
          </cell>
        </row>
        <row r="458">
          <cell r="C458" t="str">
            <v>3629</v>
          </cell>
          <cell r="D458" t="str">
            <v>Electrical Industrial Apparatus, N.E.C.</v>
          </cell>
          <cell r="E458" t="str">
            <v>T</v>
          </cell>
          <cell r="F458" t="str">
            <v>Y</v>
          </cell>
          <cell r="H458" t="str">
            <v>MA</v>
          </cell>
          <cell r="I458" t="str">
            <v>N</v>
          </cell>
          <cell r="J458" t="str">
            <v>27999</v>
          </cell>
          <cell r="K458" t="str">
            <v>8</v>
          </cell>
          <cell r="L458" t="str">
            <v>T</v>
          </cell>
          <cell r="M458" t="str">
            <v>8</v>
          </cell>
          <cell r="N458" t="b">
            <v>1</v>
          </cell>
          <cell r="S458" t="str">
            <v>Manufacture of electronic/ optical/ electrical equipment products</v>
          </cell>
        </row>
        <row r="459">
          <cell r="C459" t="str">
            <v>3644</v>
          </cell>
          <cell r="D459" t="str">
            <v>Noncurrent-Carrying Wiring Devices</v>
          </cell>
          <cell r="E459" t="str">
            <v>T</v>
          </cell>
          <cell r="F459" t="str">
            <v>Y</v>
          </cell>
          <cell r="H459" t="str">
            <v>MA</v>
          </cell>
          <cell r="I459" t="str">
            <v>N</v>
          </cell>
          <cell r="J459" t="str">
            <v>27999</v>
          </cell>
          <cell r="K459" t="str">
            <v>8</v>
          </cell>
          <cell r="L459" t="str">
            <v>T</v>
          </cell>
          <cell r="M459" t="str">
            <v>8</v>
          </cell>
          <cell r="N459" t="b">
            <v>1</v>
          </cell>
          <cell r="S459" t="str">
            <v>Manufacture of electronic/ optical/ electrical equipment products</v>
          </cell>
        </row>
        <row r="460">
          <cell r="C460" t="str">
            <v>3646</v>
          </cell>
          <cell r="D460" t="str">
            <v>Commercial, Industrial, and Institutional Electric Lighting Fixtures</v>
          </cell>
          <cell r="E460" t="str">
            <v>T</v>
          </cell>
          <cell r="F460" t="str">
            <v>Y</v>
          </cell>
          <cell r="H460" t="str">
            <v>MA</v>
          </cell>
          <cell r="I460" t="str">
            <v>N</v>
          </cell>
          <cell r="J460" t="str">
            <v>27999</v>
          </cell>
          <cell r="K460" t="str">
            <v>8</v>
          </cell>
          <cell r="L460" t="str">
            <v>T</v>
          </cell>
          <cell r="M460" t="str">
            <v>8</v>
          </cell>
          <cell r="N460" t="b">
            <v>1</v>
          </cell>
          <cell r="S460" t="str">
            <v>Manufacture of electronic/ optical/ electrical equipment products</v>
          </cell>
        </row>
        <row r="461">
          <cell r="C461" t="str">
            <v>3647</v>
          </cell>
          <cell r="D461" t="str">
            <v>Vehicular Lighting Equipment</v>
          </cell>
          <cell r="E461" t="str">
            <v>T</v>
          </cell>
          <cell r="F461" t="str">
            <v>Y</v>
          </cell>
          <cell r="H461" t="str">
            <v>MA</v>
          </cell>
          <cell r="I461" t="str">
            <v>N</v>
          </cell>
          <cell r="J461" t="str">
            <v>27999</v>
          </cell>
          <cell r="K461" t="str">
            <v>8</v>
          </cell>
          <cell r="L461" t="str">
            <v>T</v>
          </cell>
          <cell r="M461" t="str">
            <v>8</v>
          </cell>
          <cell r="N461" t="b">
            <v>1</v>
          </cell>
          <cell r="S461" t="str">
            <v>Manufacture of electronic/ optical/ electrical equipment products</v>
          </cell>
        </row>
        <row r="462">
          <cell r="C462" t="str">
            <v>3648</v>
          </cell>
          <cell r="D462" t="str">
            <v>Lighting Equipment, N.E.C.</v>
          </cell>
          <cell r="E462" t="str">
            <v>T</v>
          </cell>
          <cell r="F462" t="str">
            <v>Y</v>
          </cell>
          <cell r="H462" t="str">
            <v>MA</v>
          </cell>
          <cell r="I462" t="str">
            <v>N</v>
          </cell>
          <cell r="J462" t="str">
            <v>27999</v>
          </cell>
          <cell r="K462" t="str">
            <v>8</v>
          </cell>
          <cell r="L462" t="str">
            <v>T</v>
          </cell>
          <cell r="M462" t="str">
            <v>8</v>
          </cell>
          <cell r="N462" t="b">
            <v>1</v>
          </cell>
          <cell r="S462" t="str">
            <v>Manufacture of electronic/ optical/ electrical equipment products</v>
          </cell>
        </row>
        <row r="463">
          <cell r="C463" t="str">
            <v>3651</v>
          </cell>
          <cell r="D463" t="str">
            <v>Household Audio and Video Equipment</v>
          </cell>
          <cell r="E463" t="str">
            <v>T</v>
          </cell>
          <cell r="F463" t="str">
            <v>Y</v>
          </cell>
          <cell r="H463" t="str">
            <v>MA</v>
          </cell>
          <cell r="I463" t="str">
            <v>N</v>
          </cell>
          <cell r="J463" t="str">
            <v>27999</v>
          </cell>
          <cell r="K463" t="str">
            <v>8</v>
          </cell>
          <cell r="L463" t="str">
            <v>T</v>
          </cell>
          <cell r="M463" t="str">
            <v>8</v>
          </cell>
          <cell r="N463" t="b">
            <v>1</v>
          </cell>
          <cell r="S463" t="str">
            <v>Manufacture of electronic/ optical/ electrical equipment products</v>
          </cell>
        </row>
        <row r="464">
          <cell r="C464" t="str">
            <v>3694</v>
          </cell>
          <cell r="D464" t="str">
            <v>Electrical Equipment for Internal Combustion Engines</v>
          </cell>
          <cell r="E464" t="str">
            <v>T</v>
          </cell>
          <cell r="F464" t="str">
            <v>Y</v>
          </cell>
          <cell r="H464" t="str">
            <v>MA</v>
          </cell>
          <cell r="I464" t="str">
            <v>N</v>
          </cell>
          <cell r="J464" t="str">
            <v>27999</v>
          </cell>
          <cell r="K464" t="str">
            <v>8</v>
          </cell>
          <cell r="L464" t="str">
            <v>T</v>
          </cell>
          <cell r="M464" t="str">
            <v>8</v>
          </cell>
          <cell r="N464" t="b">
            <v>1</v>
          </cell>
          <cell r="S464" t="str">
            <v>Manufacture of electronic/ optical/ electrical equipment products</v>
          </cell>
        </row>
        <row r="465">
          <cell r="C465" t="str">
            <v>28170</v>
          </cell>
          <cell r="D465" t="str">
            <v>office, accounting &amp; computing machinery</v>
          </cell>
          <cell r="E465" t="str">
            <v>T</v>
          </cell>
          <cell r="F465" t="str">
            <v>Y</v>
          </cell>
          <cell r="H465" t="str">
            <v>MA</v>
          </cell>
          <cell r="I465" t="str">
            <v>N</v>
          </cell>
          <cell r="J465" t="str">
            <v>28170</v>
          </cell>
          <cell r="K465" t="str">
            <v>8</v>
          </cell>
          <cell r="L465" t="str">
            <v>T</v>
          </cell>
          <cell r="M465" t="str">
            <v>8</v>
          </cell>
          <cell r="N465" t="b">
            <v>1</v>
          </cell>
          <cell r="S465" t="str">
            <v>Manufacture of machinery/ motor vehicles/ other transport equipment</v>
          </cell>
        </row>
        <row r="466">
          <cell r="C466" t="str">
            <v>2819X</v>
          </cell>
          <cell r="D466" t="str">
            <v>Engines &amp; Turbines</v>
          </cell>
          <cell r="E466" t="str">
            <v>T</v>
          </cell>
          <cell r="F466" t="str">
            <v>Y</v>
          </cell>
          <cell r="H466" t="str">
            <v>MA</v>
          </cell>
          <cell r="I466" t="str">
            <v>N</v>
          </cell>
          <cell r="J466" t="str">
            <v>2819X</v>
          </cell>
          <cell r="K466" t="str">
            <v>8</v>
          </cell>
          <cell r="L466" t="str">
            <v>T</v>
          </cell>
          <cell r="M466" t="str">
            <v>8</v>
          </cell>
          <cell r="N466" t="b">
            <v>1</v>
          </cell>
          <cell r="S466" t="str">
            <v>Manufacture of machinery/ motor vehicles/ other transport equipment</v>
          </cell>
        </row>
        <row r="467">
          <cell r="C467" t="str">
            <v>2819Y</v>
          </cell>
          <cell r="D467" t="str">
            <v>Machinery equipment exclude electrical</v>
          </cell>
          <cell r="E467" t="str">
            <v>T</v>
          </cell>
          <cell r="F467" t="str">
            <v>Y</v>
          </cell>
          <cell r="H467" t="str">
            <v>MA</v>
          </cell>
          <cell r="I467" t="str">
            <v>N</v>
          </cell>
          <cell r="J467" t="str">
            <v>2819X</v>
          </cell>
          <cell r="K467" t="str">
            <v>8</v>
          </cell>
          <cell r="L467" t="str">
            <v>T</v>
          </cell>
          <cell r="M467" t="str">
            <v>8</v>
          </cell>
          <cell r="N467" t="b">
            <v>1</v>
          </cell>
          <cell r="S467" t="str">
            <v>Manufacture of machinery/ motor vehicles/ other transport equipment</v>
          </cell>
        </row>
        <row r="468">
          <cell r="C468" t="str">
            <v>3563</v>
          </cell>
          <cell r="D468" t="str">
            <v>Air and Gas Compressors</v>
          </cell>
          <cell r="E468" t="str">
            <v>T</v>
          </cell>
          <cell r="F468" t="str">
            <v>Y</v>
          </cell>
          <cell r="H468" t="str">
            <v>MA</v>
          </cell>
          <cell r="I468" t="str">
            <v>N</v>
          </cell>
          <cell r="J468" t="str">
            <v>2819X</v>
          </cell>
          <cell r="K468" t="str">
            <v>8</v>
          </cell>
          <cell r="L468" t="str">
            <v>T</v>
          </cell>
          <cell r="M468" t="str">
            <v>8</v>
          </cell>
          <cell r="N468" t="b">
            <v>1</v>
          </cell>
          <cell r="S468" t="str">
            <v>Manufacture of machinery/ motor vehicles/ other transport equipment</v>
          </cell>
        </row>
        <row r="469">
          <cell r="C469" t="str">
            <v>3561</v>
          </cell>
          <cell r="D469" t="str">
            <v>Pumps and Pumping Equipment</v>
          </cell>
          <cell r="E469" t="str">
            <v>T</v>
          </cell>
          <cell r="F469" t="str">
            <v>Y</v>
          </cell>
          <cell r="H469" t="str">
            <v>MA</v>
          </cell>
          <cell r="I469" t="str">
            <v>N</v>
          </cell>
          <cell r="J469" t="str">
            <v>2819X</v>
          </cell>
          <cell r="K469" t="str">
            <v>8</v>
          </cell>
          <cell r="L469" t="str">
            <v>T</v>
          </cell>
          <cell r="M469" t="str">
            <v>8</v>
          </cell>
          <cell r="N469" t="b">
            <v>1</v>
          </cell>
          <cell r="S469" t="str">
            <v>Manufacture of machinery/ motor vehicles/ other transport equipment</v>
          </cell>
        </row>
        <row r="470">
          <cell r="C470" t="str">
            <v>3452</v>
          </cell>
          <cell r="D470" t="str">
            <v>Bolts, Nuts, Screws, Rivets, and Washers</v>
          </cell>
          <cell r="E470" t="str">
            <v>T</v>
          </cell>
          <cell r="F470" t="str">
            <v>Y</v>
          </cell>
          <cell r="H470" t="str">
            <v>MA</v>
          </cell>
          <cell r="I470" t="str">
            <v>N</v>
          </cell>
          <cell r="J470" t="str">
            <v>2819X</v>
          </cell>
          <cell r="K470" t="str">
            <v>8</v>
          </cell>
          <cell r="L470" t="str">
            <v>T</v>
          </cell>
          <cell r="M470" t="str">
            <v>8</v>
          </cell>
          <cell r="N470" t="b">
            <v>1</v>
          </cell>
          <cell r="S470" t="str">
            <v>Manufacture of machinery/ motor vehicles/ other transport equipment</v>
          </cell>
        </row>
        <row r="471">
          <cell r="C471" t="str">
            <v>3547</v>
          </cell>
          <cell r="D471" t="str">
            <v>Rolling Mill Machinery and Equipment</v>
          </cell>
          <cell r="E471" t="str">
            <v>T</v>
          </cell>
          <cell r="F471" t="str">
            <v>Y</v>
          </cell>
          <cell r="H471" t="str">
            <v>MA</v>
          </cell>
          <cell r="I471" t="str">
            <v>N</v>
          </cell>
          <cell r="J471" t="str">
            <v>2819X</v>
          </cell>
          <cell r="K471" t="str">
            <v>8</v>
          </cell>
          <cell r="L471" t="str">
            <v>T</v>
          </cell>
          <cell r="M471" t="str">
            <v>8</v>
          </cell>
          <cell r="N471" t="b">
            <v>1</v>
          </cell>
          <cell r="S471" t="str">
            <v>Manufacture of machinery/ motor vehicles/ other transport equipment</v>
          </cell>
        </row>
        <row r="472">
          <cell r="C472" t="str">
            <v>3546</v>
          </cell>
          <cell r="D472" t="str">
            <v>Power-Driven Handtools</v>
          </cell>
          <cell r="E472" t="str">
            <v>T</v>
          </cell>
          <cell r="F472" t="str">
            <v>Y</v>
          </cell>
          <cell r="H472" t="str">
            <v>MA</v>
          </cell>
          <cell r="I472" t="str">
            <v>N</v>
          </cell>
          <cell r="J472" t="str">
            <v>2819X</v>
          </cell>
          <cell r="K472" t="str">
            <v>8</v>
          </cell>
          <cell r="L472" t="str">
            <v>T</v>
          </cell>
          <cell r="M472" t="str">
            <v>8</v>
          </cell>
          <cell r="N472" t="b">
            <v>1</v>
          </cell>
          <cell r="S472" t="str">
            <v>Manufacture of machinery/ motor vehicles/ other transport equipment</v>
          </cell>
        </row>
        <row r="473">
          <cell r="C473" t="str">
            <v>3562</v>
          </cell>
          <cell r="D473" t="str">
            <v>Ball and Roller Bearings</v>
          </cell>
          <cell r="E473" t="str">
            <v>T</v>
          </cell>
          <cell r="F473" t="str">
            <v>Y</v>
          </cell>
          <cell r="H473" t="str">
            <v>MA</v>
          </cell>
          <cell r="I473" t="str">
            <v>N</v>
          </cell>
          <cell r="J473" t="str">
            <v>2819X</v>
          </cell>
          <cell r="K473" t="str">
            <v>8</v>
          </cell>
          <cell r="L473" t="str">
            <v>T</v>
          </cell>
          <cell r="M473" t="str">
            <v>8</v>
          </cell>
          <cell r="N473" t="b">
            <v>1</v>
          </cell>
          <cell r="S473" t="str">
            <v>Manufacture of machinery/ motor vehicles/ other transport equipment</v>
          </cell>
        </row>
        <row r="474">
          <cell r="C474" t="str">
            <v>3564</v>
          </cell>
          <cell r="D474" t="str">
            <v>Industrial and Commercial Fans and Blowers and Air Purification Equipment</v>
          </cell>
          <cell r="E474" t="str">
            <v>T</v>
          </cell>
          <cell r="F474" t="str">
            <v>Y</v>
          </cell>
          <cell r="H474" t="str">
            <v>MA</v>
          </cell>
          <cell r="I474" t="str">
            <v>N</v>
          </cell>
          <cell r="J474" t="str">
            <v>2819X</v>
          </cell>
          <cell r="K474" t="str">
            <v>8</v>
          </cell>
          <cell r="L474" t="str">
            <v>T</v>
          </cell>
          <cell r="M474" t="str">
            <v>8</v>
          </cell>
          <cell r="N474" t="b">
            <v>1</v>
          </cell>
          <cell r="S474" t="str">
            <v>Manufacture of machinery/ motor vehicles/ other transport equipment</v>
          </cell>
        </row>
        <row r="475">
          <cell r="C475" t="str">
            <v>3569</v>
          </cell>
          <cell r="D475" t="str">
            <v>General Industrial Machinery and Equipment, N.E.C.</v>
          </cell>
          <cell r="E475" t="str">
            <v>T</v>
          </cell>
          <cell r="F475" t="str">
            <v>Y</v>
          </cell>
          <cell r="H475" t="str">
            <v>MA</v>
          </cell>
          <cell r="I475" t="str">
            <v>N</v>
          </cell>
          <cell r="J475" t="str">
            <v>2819X</v>
          </cell>
          <cell r="K475" t="str">
            <v>8</v>
          </cell>
          <cell r="L475" t="str">
            <v>T</v>
          </cell>
          <cell r="M475" t="str">
            <v>8</v>
          </cell>
          <cell r="N475" t="b">
            <v>1</v>
          </cell>
          <cell r="S475" t="str">
            <v>Manufacture of machinery/ motor vehicles/ other transport equipment</v>
          </cell>
        </row>
        <row r="476">
          <cell r="C476" t="str">
            <v>3524</v>
          </cell>
          <cell r="D476" t="str">
            <v>Lawn and Garden Tractors and Home Lawn and Garden Equipment</v>
          </cell>
          <cell r="E476" t="str">
            <v>T</v>
          </cell>
          <cell r="F476" t="str">
            <v>Y</v>
          </cell>
          <cell r="H476" t="str">
            <v>MA</v>
          </cell>
          <cell r="I476" t="str">
            <v>N</v>
          </cell>
          <cell r="J476" t="str">
            <v>2819X</v>
          </cell>
          <cell r="K476" t="str">
            <v>8</v>
          </cell>
          <cell r="L476" t="str">
            <v>T</v>
          </cell>
          <cell r="M476" t="str">
            <v>8</v>
          </cell>
          <cell r="N476" t="b">
            <v>1</v>
          </cell>
          <cell r="S476" t="str">
            <v>Manufacture of machinery/ motor vehicles/ other transport equipment</v>
          </cell>
        </row>
        <row r="477">
          <cell r="C477" t="str">
            <v>28220</v>
          </cell>
          <cell r="D477" t="str">
            <v>Manufacture of metal-forming machinery and machine tools</v>
          </cell>
          <cell r="E477" t="str">
            <v>T</v>
          </cell>
          <cell r="F477" t="str">
            <v>Y</v>
          </cell>
          <cell r="H477" t="str">
            <v>MA</v>
          </cell>
          <cell r="I477" t="str">
            <v>N</v>
          </cell>
          <cell r="J477" t="str">
            <v>28220</v>
          </cell>
          <cell r="K477" t="str">
            <v>8</v>
          </cell>
          <cell r="L477" t="str">
            <v>T</v>
          </cell>
          <cell r="M477" t="str">
            <v>8</v>
          </cell>
          <cell r="N477" t="b">
            <v>1</v>
          </cell>
          <cell r="S477" t="str">
            <v>Manufacture of machinery/ motor vehicles/ other transport equipment</v>
          </cell>
        </row>
        <row r="478">
          <cell r="C478" t="str">
            <v>3523</v>
          </cell>
          <cell r="D478" t="str">
            <v>Farm Machinery and Equipment</v>
          </cell>
          <cell r="E478" t="str">
            <v>T</v>
          </cell>
          <cell r="F478" t="str">
            <v>Y</v>
          </cell>
          <cell r="H478" t="str">
            <v>MA</v>
          </cell>
          <cell r="I478" t="str">
            <v>N</v>
          </cell>
          <cell r="J478" t="str">
            <v>28299</v>
          </cell>
          <cell r="K478" t="str">
            <v>8</v>
          </cell>
          <cell r="L478" t="str">
            <v>T</v>
          </cell>
          <cell r="M478" t="str">
            <v>8</v>
          </cell>
          <cell r="N478" t="b">
            <v>1</v>
          </cell>
          <cell r="S478" t="str">
            <v>Manufacture of machinery/ motor vehicles/ other transport equipment</v>
          </cell>
        </row>
        <row r="479">
          <cell r="C479" t="str">
            <v>3532</v>
          </cell>
          <cell r="D479" t="str">
            <v>Mining Machinery and Equipment, Except Oil and Gas Field Machinery and Equipment</v>
          </cell>
          <cell r="E479" t="str">
            <v>T</v>
          </cell>
          <cell r="F479" t="str">
            <v>Y</v>
          </cell>
          <cell r="H479" t="str">
            <v>MA</v>
          </cell>
          <cell r="I479" t="str">
            <v>N</v>
          </cell>
          <cell r="J479" t="str">
            <v>28299</v>
          </cell>
          <cell r="K479" t="str">
            <v>8</v>
          </cell>
          <cell r="L479" t="str">
            <v>T</v>
          </cell>
          <cell r="M479" t="str">
            <v>8</v>
          </cell>
          <cell r="N479" t="b">
            <v>1</v>
          </cell>
          <cell r="S479" t="str">
            <v>Manufacture of machinery/ motor vehicles/ other transport equipment</v>
          </cell>
        </row>
        <row r="480">
          <cell r="C480" t="str">
            <v>3555</v>
          </cell>
          <cell r="D480" t="str">
            <v>Printing Trades Machinery and Equipment</v>
          </cell>
          <cell r="E480" t="str">
            <v>T</v>
          </cell>
          <cell r="F480" t="str">
            <v>Y</v>
          </cell>
          <cell r="H480" t="str">
            <v>MA</v>
          </cell>
          <cell r="I480" t="str">
            <v>N</v>
          </cell>
          <cell r="J480" t="str">
            <v>28299</v>
          </cell>
          <cell r="K480" t="str">
            <v>8</v>
          </cell>
          <cell r="L480" t="str">
            <v>T</v>
          </cell>
          <cell r="M480" t="str">
            <v>8</v>
          </cell>
          <cell r="N480" t="b">
            <v>1</v>
          </cell>
          <cell r="S480" t="str">
            <v>Manufacture of machinery/ motor vehicles/ other transport equipment</v>
          </cell>
        </row>
        <row r="481">
          <cell r="C481" t="str">
            <v>3559</v>
          </cell>
          <cell r="D481" t="str">
            <v>Special Industry Machinery, N.E.C.</v>
          </cell>
          <cell r="E481" t="str">
            <v>T</v>
          </cell>
          <cell r="F481" t="str">
            <v>Y</v>
          </cell>
          <cell r="H481" t="str">
            <v>MA</v>
          </cell>
          <cell r="I481" t="str">
            <v>N</v>
          </cell>
          <cell r="J481" t="str">
            <v>28299</v>
          </cell>
          <cell r="K481" t="str">
            <v>8</v>
          </cell>
          <cell r="L481" t="str">
            <v>T</v>
          </cell>
          <cell r="M481" t="str">
            <v>8</v>
          </cell>
          <cell r="N481" t="b">
            <v>1</v>
          </cell>
          <cell r="S481" t="str">
            <v>Manufacture of machinery/ motor vehicles/ other transport equipment</v>
          </cell>
        </row>
        <row r="482">
          <cell r="C482" t="str">
            <v>3549</v>
          </cell>
          <cell r="D482" t="str">
            <v>Metalworking Machinery, N.E.C.</v>
          </cell>
          <cell r="E482" t="str">
            <v>T</v>
          </cell>
          <cell r="F482" t="str">
            <v>Y</v>
          </cell>
          <cell r="H482" t="str">
            <v>MA</v>
          </cell>
          <cell r="I482" t="str">
            <v>N</v>
          </cell>
          <cell r="J482" t="str">
            <v>28299</v>
          </cell>
          <cell r="K482" t="str">
            <v>8</v>
          </cell>
          <cell r="L482" t="str">
            <v>T</v>
          </cell>
          <cell r="M482" t="str">
            <v>8</v>
          </cell>
          <cell r="N482" t="b">
            <v>1</v>
          </cell>
          <cell r="S482" t="str">
            <v>Manufacture of machinery/ motor vehicles/ other transport equipment</v>
          </cell>
        </row>
        <row r="483">
          <cell r="C483" t="str">
            <v>3533</v>
          </cell>
          <cell r="D483" t="str">
            <v>Oil and Gas Field Machinery and Equipment</v>
          </cell>
          <cell r="E483" t="str">
            <v>T</v>
          </cell>
          <cell r="F483" t="str">
            <v>Y</v>
          </cell>
          <cell r="H483" t="str">
            <v>MA</v>
          </cell>
          <cell r="I483" t="str">
            <v>N</v>
          </cell>
          <cell r="J483" t="str">
            <v>28299</v>
          </cell>
          <cell r="K483" t="str">
            <v>8</v>
          </cell>
          <cell r="L483" t="str">
            <v>T</v>
          </cell>
          <cell r="M483" t="str">
            <v>8</v>
          </cell>
          <cell r="N483" t="b">
            <v>1</v>
          </cell>
          <cell r="S483" t="str">
            <v>Manufacture of machinery/ motor vehicles/ other transport equipment</v>
          </cell>
        </row>
        <row r="484">
          <cell r="C484" t="str">
            <v>3552</v>
          </cell>
          <cell r="D484" t="str">
            <v>Textile Machinery</v>
          </cell>
          <cell r="E484" t="str">
            <v>T</v>
          </cell>
          <cell r="F484" t="str">
            <v>Y</v>
          </cell>
          <cell r="H484" t="str">
            <v>MA</v>
          </cell>
          <cell r="I484" t="str">
            <v>N</v>
          </cell>
          <cell r="J484" t="str">
            <v>28299</v>
          </cell>
          <cell r="K484" t="str">
            <v>8</v>
          </cell>
          <cell r="L484" t="str">
            <v>T</v>
          </cell>
          <cell r="M484" t="str">
            <v>8</v>
          </cell>
          <cell r="N484" t="b">
            <v>1</v>
          </cell>
          <cell r="S484" t="str">
            <v>Manufacture of machinery/ motor vehicles/ other transport equipment</v>
          </cell>
        </row>
        <row r="485">
          <cell r="C485" t="str">
            <v>3553</v>
          </cell>
          <cell r="D485" t="str">
            <v>Woodworking Machinery</v>
          </cell>
          <cell r="E485" t="str">
            <v>T</v>
          </cell>
          <cell r="F485" t="str">
            <v>Y</v>
          </cell>
          <cell r="H485" t="str">
            <v>MA</v>
          </cell>
          <cell r="I485" t="str">
            <v>N</v>
          </cell>
          <cell r="J485" t="str">
            <v>28299</v>
          </cell>
          <cell r="K485" t="str">
            <v>8</v>
          </cell>
          <cell r="L485" t="str">
            <v>T</v>
          </cell>
          <cell r="M485" t="str">
            <v>8</v>
          </cell>
          <cell r="N485" t="b">
            <v>1</v>
          </cell>
          <cell r="S485" t="str">
            <v>Manufacture of machinery/ motor vehicles/ other transport equipment</v>
          </cell>
        </row>
        <row r="486">
          <cell r="C486" t="str">
            <v>3554</v>
          </cell>
          <cell r="D486" t="str">
            <v>Paper Industries Machinery</v>
          </cell>
          <cell r="E486" t="str">
            <v>T</v>
          </cell>
          <cell r="F486" t="str">
            <v>Y</v>
          </cell>
          <cell r="H486" t="str">
            <v>MA</v>
          </cell>
          <cell r="I486" t="str">
            <v>N</v>
          </cell>
          <cell r="J486" t="str">
            <v>28299</v>
          </cell>
          <cell r="K486" t="str">
            <v>8</v>
          </cell>
          <cell r="L486" t="str">
            <v>T</v>
          </cell>
          <cell r="M486" t="str">
            <v>8</v>
          </cell>
          <cell r="N486" t="b">
            <v>1</v>
          </cell>
          <cell r="S486" t="str">
            <v>Manufacture of machinery/ motor vehicles/ other transport equipment</v>
          </cell>
        </row>
        <row r="487">
          <cell r="C487" t="str">
            <v>3565</v>
          </cell>
          <cell r="D487" t="str">
            <v>Packaging Machinery</v>
          </cell>
          <cell r="E487" t="str">
            <v>T</v>
          </cell>
          <cell r="F487" t="str">
            <v>Y</v>
          </cell>
          <cell r="H487" t="str">
            <v>MA</v>
          </cell>
          <cell r="I487" t="str">
            <v>N</v>
          </cell>
          <cell r="J487" t="str">
            <v>28299</v>
          </cell>
          <cell r="K487" t="str">
            <v>8</v>
          </cell>
          <cell r="L487" t="str">
            <v>T</v>
          </cell>
          <cell r="M487" t="str">
            <v>8</v>
          </cell>
          <cell r="N487" t="b">
            <v>1</v>
          </cell>
          <cell r="S487" t="str">
            <v>Manufacture of machinery/ motor vehicles/ other transport equipment</v>
          </cell>
        </row>
        <row r="488">
          <cell r="C488" t="str">
            <v>3566</v>
          </cell>
          <cell r="D488" t="str">
            <v>Speed Changers, Industrial High-Speed Drives, and Gears</v>
          </cell>
          <cell r="E488" t="str">
            <v>T</v>
          </cell>
          <cell r="F488" t="str">
            <v>Y</v>
          </cell>
          <cell r="H488" t="str">
            <v>MA</v>
          </cell>
          <cell r="I488" t="str">
            <v>N</v>
          </cell>
          <cell r="J488" t="str">
            <v>28299</v>
          </cell>
          <cell r="K488" t="str">
            <v>8</v>
          </cell>
          <cell r="L488" t="str">
            <v>T</v>
          </cell>
          <cell r="M488" t="str">
            <v>8</v>
          </cell>
          <cell r="N488" t="b">
            <v>1</v>
          </cell>
          <cell r="S488" t="str">
            <v>Manufacture of machinery/ motor vehicles/ other transport equipment</v>
          </cell>
        </row>
        <row r="489">
          <cell r="C489" t="str">
            <v>3568</v>
          </cell>
          <cell r="D489" t="str">
            <v>Mechanical Power Transmission Equipment, N.E.C.</v>
          </cell>
          <cell r="E489" t="str">
            <v>T</v>
          </cell>
          <cell r="F489" t="str">
            <v>Y</v>
          </cell>
          <cell r="H489" t="str">
            <v>MA</v>
          </cell>
          <cell r="I489" t="str">
            <v>N</v>
          </cell>
          <cell r="J489" t="str">
            <v>28299</v>
          </cell>
          <cell r="K489" t="str">
            <v>8</v>
          </cell>
          <cell r="L489" t="str">
            <v>T</v>
          </cell>
          <cell r="M489" t="str">
            <v>8</v>
          </cell>
          <cell r="N489" t="b">
            <v>1</v>
          </cell>
          <cell r="S489" t="str">
            <v>Manufacture of machinery/ motor vehicles/ other transport equipment</v>
          </cell>
        </row>
        <row r="490">
          <cell r="C490" t="str">
            <v>3531</v>
          </cell>
          <cell r="D490" t="str">
            <v>Construction Machinery and Equipment</v>
          </cell>
          <cell r="E490" t="str">
            <v>T</v>
          </cell>
          <cell r="F490" t="str">
            <v>Y</v>
          </cell>
          <cell r="H490" t="str">
            <v>MA</v>
          </cell>
          <cell r="I490" t="str">
            <v>N</v>
          </cell>
          <cell r="J490" t="str">
            <v>28299</v>
          </cell>
          <cell r="K490" t="str">
            <v>8</v>
          </cell>
          <cell r="L490" t="str">
            <v>T</v>
          </cell>
          <cell r="M490" t="str">
            <v>8</v>
          </cell>
          <cell r="N490" t="b">
            <v>1</v>
          </cell>
          <cell r="S490" t="str">
            <v>Manufacture of machinery/ motor vehicles/ other transport equipment</v>
          </cell>
        </row>
        <row r="491">
          <cell r="C491" t="str">
            <v>3599</v>
          </cell>
          <cell r="D491" t="str">
            <v>Industrial and Commercial Machinery and Equipment, N.E.C.</v>
          </cell>
          <cell r="E491" t="str">
            <v>T</v>
          </cell>
          <cell r="F491" t="str">
            <v>Y</v>
          </cell>
          <cell r="H491" t="str">
            <v>MA</v>
          </cell>
          <cell r="I491" t="str">
            <v>N</v>
          </cell>
          <cell r="J491" t="str">
            <v>28299</v>
          </cell>
          <cell r="K491" t="str">
            <v>8</v>
          </cell>
          <cell r="L491" t="str">
            <v>T</v>
          </cell>
          <cell r="M491" t="str">
            <v>8</v>
          </cell>
          <cell r="N491" t="b">
            <v>1</v>
          </cell>
          <cell r="S491" t="str">
            <v>Manufacture of machinery/ motor vehicles/ other transport equipment</v>
          </cell>
        </row>
        <row r="492">
          <cell r="C492" t="str">
            <v>3556</v>
          </cell>
          <cell r="D492" t="str">
            <v>Food Products Machinery</v>
          </cell>
          <cell r="E492" t="str">
            <v>T</v>
          </cell>
          <cell r="F492" t="str">
            <v>Y</v>
          </cell>
          <cell r="H492" t="str">
            <v>MA</v>
          </cell>
          <cell r="I492" t="str">
            <v>N</v>
          </cell>
          <cell r="J492" t="str">
            <v>28299</v>
          </cell>
          <cell r="K492" t="str">
            <v>8</v>
          </cell>
          <cell r="L492" t="str">
            <v>T</v>
          </cell>
          <cell r="M492" t="str">
            <v>8</v>
          </cell>
          <cell r="N492" t="b">
            <v>1</v>
          </cell>
          <cell r="S492" t="str">
            <v>Manufacture of machinery/ motor vehicles/ other transport equipment</v>
          </cell>
        </row>
        <row r="493">
          <cell r="C493" t="str">
            <v>3567</v>
          </cell>
          <cell r="D493" t="str">
            <v>Industrial Process Furnaces and Ovens</v>
          </cell>
          <cell r="E493" t="str">
            <v>T</v>
          </cell>
          <cell r="F493" t="str">
            <v>Y</v>
          </cell>
          <cell r="H493" t="str">
            <v>MA</v>
          </cell>
          <cell r="I493" t="str">
            <v>N</v>
          </cell>
          <cell r="J493" t="str">
            <v>28299</v>
          </cell>
          <cell r="K493" t="str">
            <v>8</v>
          </cell>
          <cell r="L493" t="str">
            <v>T</v>
          </cell>
          <cell r="M493" t="str">
            <v>8</v>
          </cell>
          <cell r="N493" t="b">
            <v>1</v>
          </cell>
          <cell r="S493" t="str">
            <v>Manufacture of machinery/ motor vehicles/ other transport equipment</v>
          </cell>
        </row>
        <row r="494">
          <cell r="C494" t="str">
            <v>28299</v>
          </cell>
          <cell r="D494" t="str">
            <v>Electrical industrial machinery</v>
          </cell>
          <cell r="E494" t="str">
            <v>T</v>
          </cell>
          <cell r="F494" t="str">
            <v>Y</v>
          </cell>
          <cell r="H494" t="str">
            <v>MA</v>
          </cell>
          <cell r="I494" t="str">
            <v>N</v>
          </cell>
          <cell r="J494" t="str">
            <v>28299</v>
          </cell>
          <cell r="K494" t="str">
            <v>8</v>
          </cell>
          <cell r="L494" t="str">
            <v>T</v>
          </cell>
          <cell r="M494" t="str">
            <v>8</v>
          </cell>
          <cell r="N494" t="b">
            <v>1</v>
          </cell>
          <cell r="S494" t="str">
            <v>Manufacture of machinery/ motor vehicles/ other transport equipment</v>
          </cell>
        </row>
        <row r="495">
          <cell r="C495" t="str">
            <v>3535</v>
          </cell>
          <cell r="D495" t="str">
            <v>Conveyors and Conveying Equipment</v>
          </cell>
          <cell r="E495" t="str">
            <v>T</v>
          </cell>
          <cell r="F495" t="str">
            <v>Y</v>
          </cell>
          <cell r="H495" t="str">
            <v>MA</v>
          </cell>
          <cell r="I495" t="str">
            <v>N</v>
          </cell>
          <cell r="J495" t="str">
            <v>28299</v>
          </cell>
          <cell r="K495" t="str">
            <v>8</v>
          </cell>
          <cell r="L495" t="str">
            <v>T</v>
          </cell>
          <cell r="M495" t="str">
            <v>8</v>
          </cell>
          <cell r="N495" t="b">
            <v>1</v>
          </cell>
          <cell r="S495" t="str">
            <v>Manufacture of machinery/ motor vehicles/ other transport equipment</v>
          </cell>
        </row>
        <row r="496">
          <cell r="C496" t="str">
            <v>3451</v>
          </cell>
          <cell r="D496" t="str">
            <v>Screw Machine Products</v>
          </cell>
          <cell r="E496" t="str">
            <v>T</v>
          </cell>
          <cell r="F496" t="str">
            <v>Y</v>
          </cell>
          <cell r="H496" t="str">
            <v>MA</v>
          </cell>
          <cell r="I496" t="str">
            <v>N</v>
          </cell>
          <cell r="J496" t="str">
            <v>28299</v>
          </cell>
          <cell r="K496" t="str">
            <v>8</v>
          </cell>
          <cell r="L496" t="str">
            <v>T</v>
          </cell>
          <cell r="M496" t="str">
            <v>8</v>
          </cell>
          <cell r="N496" t="b">
            <v>1</v>
          </cell>
          <cell r="S496" t="str">
            <v>Manufacture of machinery/ motor vehicles/ other transport equipment</v>
          </cell>
        </row>
        <row r="497">
          <cell r="C497" t="str">
            <v>3544</v>
          </cell>
          <cell r="D497" t="str">
            <v>Special Dies and Tools, Die Sets, Jigs and Fixtures, and Industrial Molds</v>
          </cell>
          <cell r="E497" t="str">
            <v>T</v>
          </cell>
          <cell r="F497" t="str">
            <v>Y</v>
          </cell>
          <cell r="H497" t="str">
            <v>MA</v>
          </cell>
          <cell r="I497" t="str">
            <v>N</v>
          </cell>
          <cell r="J497" t="str">
            <v>28299</v>
          </cell>
          <cell r="K497" t="str">
            <v>8</v>
          </cell>
          <cell r="L497" t="str">
            <v>T</v>
          </cell>
          <cell r="M497" t="str">
            <v>8</v>
          </cell>
          <cell r="N497" t="b">
            <v>1</v>
          </cell>
          <cell r="S497" t="str">
            <v>Manufacture of machinery/ motor vehicles/ other transport equipment</v>
          </cell>
        </row>
        <row r="498">
          <cell r="C498" t="str">
            <v>3534</v>
          </cell>
          <cell r="D498" t="str">
            <v>Elevators and Moving Stairways</v>
          </cell>
          <cell r="E498" t="str">
            <v>T</v>
          </cell>
          <cell r="F498" t="str">
            <v>Y</v>
          </cell>
          <cell r="H498" t="str">
            <v>MA</v>
          </cell>
          <cell r="I498" t="str">
            <v>N</v>
          </cell>
          <cell r="J498" t="str">
            <v>28299</v>
          </cell>
          <cell r="K498" t="str">
            <v>8</v>
          </cell>
          <cell r="L498" t="str">
            <v>T</v>
          </cell>
          <cell r="M498" t="str">
            <v>8</v>
          </cell>
          <cell r="N498" t="b">
            <v>1</v>
          </cell>
          <cell r="S498" t="str">
            <v>Manufacture of machinery/ motor vehicles/ other transport equipment</v>
          </cell>
        </row>
        <row r="499">
          <cell r="C499" t="str">
            <v>3545</v>
          </cell>
          <cell r="D499" t="str">
            <v>Cutting Tools, Machine Tool Accessories, and Machinists' Precision Measuring Devices</v>
          </cell>
          <cell r="E499" t="str">
            <v>T</v>
          </cell>
          <cell r="F499" t="str">
            <v>Y</v>
          </cell>
          <cell r="H499" t="str">
            <v>MA</v>
          </cell>
          <cell r="I499" t="str">
            <v>N</v>
          </cell>
          <cell r="J499" t="str">
            <v>28299</v>
          </cell>
          <cell r="K499" t="str">
            <v>8</v>
          </cell>
          <cell r="L499" t="str">
            <v>T</v>
          </cell>
          <cell r="M499" t="str">
            <v>8</v>
          </cell>
          <cell r="N499" t="b">
            <v>1</v>
          </cell>
          <cell r="S499" t="str">
            <v>Manufacture of machinery/ motor vehicles/ other transport equipment</v>
          </cell>
        </row>
        <row r="500">
          <cell r="C500" t="str">
            <v>3541</v>
          </cell>
          <cell r="D500" t="str">
            <v>Machine Tools, Metal Cutting Types</v>
          </cell>
          <cell r="E500" t="str">
            <v>T</v>
          </cell>
          <cell r="F500" t="str">
            <v>Y</v>
          </cell>
          <cell r="H500" t="str">
            <v>MA</v>
          </cell>
          <cell r="I500" t="str">
            <v>N</v>
          </cell>
          <cell r="J500" t="str">
            <v>28299</v>
          </cell>
          <cell r="K500" t="str">
            <v>8</v>
          </cell>
          <cell r="L500" t="str">
            <v>T</v>
          </cell>
          <cell r="M500" t="str">
            <v>8</v>
          </cell>
          <cell r="N500" t="b">
            <v>1</v>
          </cell>
          <cell r="S500" t="str">
            <v>Manufacture of machinery/ motor vehicles/ other transport equipment</v>
          </cell>
        </row>
        <row r="501">
          <cell r="C501" t="str">
            <v>3543</v>
          </cell>
          <cell r="D501" t="str">
            <v>Industrial Patterns</v>
          </cell>
          <cell r="E501" t="str">
            <v>T</v>
          </cell>
          <cell r="F501" t="str">
            <v>Y</v>
          </cell>
          <cell r="H501" t="str">
            <v>MA</v>
          </cell>
          <cell r="I501" t="str">
            <v>N</v>
          </cell>
          <cell r="J501" t="str">
            <v>28299</v>
          </cell>
          <cell r="K501" t="str">
            <v>8</v>
          </cell>
          <cell r="L501" t="str">
            <v>T</v>
          </cell>
          <cell r="M501" t="str">
            <v>8</v>
          </cell>
          <cell r="N501" t="b">
            <v>1</v>
          </cell>
          <cell r="S501" t="str">
            <v>Manufacture of machinery/ motor vehicles/ other transport equipment</v>
          </cell>
        </row>
        <row r="502">
          <cell r="C502" t="str">
            <v>3542</v>
          </cell>
          <cell r="D502" t="str">
            <v>Machine Tools, Metal Forming Types</v>
          </cell>
          <cell r="E502" t="str">
            <v>T</v>
          </cell>
          <cell r="F502" t="str">
            <v>Y</v>
          </cell>
          <cell r="H502" t="str">
            <v>MA</v>
          </cell>
          <cell r="I502" t="str">
            <v>N</v>
          </cell>
          <cell r="J502" t="str">
            <v>28299</v>
          </cell>
          <cell r="K502" t="str">
            <v>8</v>
          </cell>
          <cell r="L502" t="str">
            <v>T</v>
          </cell>
          <cell r="M502" t="str">
            <v>8</v>
          </cell>
          <cell r="N502" t="b">
            <v>1</v>
          </cell>
          <cell r="S502" t="str">
            <v>Manufacture of machinery/ motor vehicles/ other transport equipment</v>
          </cell>
        </row>
        <row r="503">
          <cell r="C503" t="str">
            <v>3589</v>
          </cell>
          <cell r="D503" t="str">
            <v>Service Industry Machinery, N.E.C.</v>
          </cell>
          <cell r="E503" t="str">
            <v>T</v>
          </cell>
          <cell r="F503" t="str">
            <v>Y</v>
          </cell>
          <cell r="H503" t="str">
            <v>MA</v>
          </cell>
          <cell r="I503" t="str">
            <v>N</v>
          </cell>
          <cell r="J503" t="str">
            <v>28299</v>
          </cell>
          <cell r="K503" t="str">
            <v>8</v>
          </cell>
          <cell r="L503" t="str">
            <v>T</v>
          </cell>
          <cell r="M503" t="str">
            <v>8</v>
          </cell>
          <cell r="N503" t="b">
            <v>1</v>
          </cell>
          <cell r="S503" t="str">
            <v>Manufacture of machinery/ motor vehicles/ other transport equipment</v>
          </cell>
        </row>
        <row r="504">
          <cell r="C504" t="str">
            <v>3711</v>
          </cell>
          <cell r="D504" t="str">
            <v>Motor Vehicles and Passenger Car Bodies</v>
          </cell>
          <cell r="E504" t="str">
            <v>T</v>
          </cell>
          <cell r="F504" t="str">
            <v>Y</v>
          </cell>
          <cell r="H504" t="str">
            <v>MA</v>
          </cell>
          <cell r="I504" t="str">
            <v>N</v>
          </cell>
          <cell r="J504" t="str">
            <v>29XXX</v>
          </cell>
          <cell r="K504" t="str">
            <v>8</v>
          </cell>
          <cell r="L504" t="str">
            <v>T</v>
          </cell>
          <cell r="M504" t="str">
            <v>8</v>
          </cell>
          <cell r="N504" t="b">
            <v>1</v>
          </cell>
          <cell r="S504" t="str">
            <v>Manufacture of machinery/ motor vehicles/ other transport equipment</v>
          </cell>
        </row>
        <row r="505">
          <cell r="C505" t="str">
            <v>3715</v>
          </cell>
          <cell r="D505" t="str">
            <v>Truck Trailers</v>
          </cell>
          <cell r="E505" t="str">
            <v>T</v>
          </cell>
          <cell r="F505" t="str">
            <v>Y</v>
          </cell>
          <cell r="H505" t="str">
            <v>MA</v>
          </cell>
          <cell r="I505" t="str">
            <v>N</v>
          </cell>
          <cell r="J505" t="str">
            <v>29XXX</v>
          </cell>
          <cell r="K505" t="str">
            <v>8</v>
          </cell>
          <cell r="L505" t="str">
            <v>T</v>
          </cell>
          <cell r="M505" t="str">
            <v>8</v>
          </cell>
          <cell r="N505" t="b">
            <v>1</v>
          </cell>
          <cell r="S505" t="str">
            <v>Manufacture of machinery/ motor vehicles/ other transport equipment</v>
          </cell>
        </row>
        <row r="506">
          <cell r="C506" t="str">
            <v>3716</v>
          </cell>
          <cell r="D506" t="str">
            <v>Motor Homes</v>
          </cell>
          <cell r="E506" t="str">
            <v>T</v>
          </cell>
          <cell r="F506" t="str">
            <v>Y</v>
          </cell>
          <cell r="H506" t="str">
            <v>MA</v>
          </cell>
          <cell r="I506" t="str">
            <v>N</v>
          </cell>
          <cell r="J506" t="str">
            <v>29XXX</v>
          </cell>
          <cell r="K506" t="str">
            <v>8</v>
          </cell>
          <cell r="L506" t="str">
            <v>T</v>
          </cell>
          <cell r="M506" t="str">
            <v>8</v>
          </cell>
          <cell r="N506" t="b">
            <v>1</v>
          </cell>
          <cell r="S506" t="str">
            <v>Manufacture of machinery/ motor vehicles/ other transport equipment</v>
          </cell>
        </row>
        <row r="507">
          <cell r="C507" t="str">
            <v>3713</v>
          </cell>
          <cell r="D507" t="str">
            <v>Truck and Bus Bodies</v>
          </cell>
          <cell r="E507" t="str">
            <v>T</v>
          </cell>
          <cell r="F507" t="str">
            <v>Y</v>
          </cell>
          <cell r="H507" t="str">
            <v>MA</v>
          </cell>
          <cell r="I507" t="str">
            <v>N</v>
          </cell>
          <cell r="J507" t="str">
            <v>29XXX</v>
          </cell>
          <cell r="K507" t="str">
            <v>8</v>
          </cell>
          <cell r="L507" t="str">
            <v>T</v>
          </cell>
          <cell r="M507" t="str">
            <v>8</v>
          </cell>
          <cell r="N507" t="b">
            <v>1</v>
          </cell>
          <cell r="S507" t="str">
            <v>Manufacture of machinery/ motor vehicles/ other transport equipment</v>
          </cell>
        </row>
        <row r="508">
          <cell r="C508" t="str">
            <v>3792</v>
          </cell>
          <cell r="D508" t="str">
            <v>Travel Trailers and Campers</v>
          </cell>
          <cell r="E508" t="str">
            <v>T</v>
          </cell>
          <cell r="F508" t="str">
            <v>Y</v>
          </cell>
          <cell r="H508" t="str">
            <v>MA</v>
          </cell>
          <cell r="I508" t="str">
            <v>N</v>
          </cell>
          <cell r="J508" t="str">
            <v>29XXX</v>
          </cell>
          <cell r="K508" t="str">
            <v>8</v>
          </cell>
          <cell r="L508" t="str">
            <v>T</v>
          </cell>
          <cell r="M508" t="str">
            <v>8</v>
          </cell>
          <cell r="N508" t="b">
            <v>1</v>
          </cell>
          <cell r="S508" t="str">
            <v>Manufacture of machinery/ motor vehicles/ other transport equipment</v>
          </cell>
        </row>
        <row r="509">
          <cell r="C509" t="str">
            <v>3714</v>
          </cell>
          <cell r="D509" t="str">
            <v>Motor Vehicle Parts and Accessories</v>
          </cell>
          <cell r="E509" t="str">
            <v>T</v>
          </cell>
          <cell r="F509" t="str">
            <v>Y</v>
          </cell>
          <cell r="H509" t="str">
            <v>MA</v>
          </cell>
          <cell r="I509" t="str">
            <v>N</v>
          </cell>
          <cell r="J509" t="str">
            <v>29XXX</v>
          </cell>
          <cell r="K509" t="str">
            <v>8</v>
          </cell>
          <cell r="L509" t="str">
            <v>T</v>
          </cell>
          <cell r="M509" t="str">
            <v>8</v>
          </cell>
          <cell r="N509" t="b">
            <v>1</v>
          </cell>
          <cell r="S509" t="str">
            <v>Manufacture of machinery/ motor vehicles/ other transport equipment</v>
          </cell>
        </row>
        <row r="510">
          <cell r="C510" t="str">
            <v>3731</v>
          </cell>
          <cell r="D510" t="str">
            <v>Shipbuilding and Repair of Nuclear Propelled Ships:</v>
          </cell>
          <cell r="E510" t="str">
            <v>T</v>
          </cell>
          <cell r="F510" t="str">
            <v>Y</v>
          </cell>
          <cell r="H510" t="str">
            <v>MA</v>
          </cell>
          <cell r="I510" t="str">
            <v>N</v>
          </cell>
          <cell r="J510" t="str">
            <v>301XX</v>
          </cell>
          <cell r="K510" t="str">
            <v>8</v>
          </cell>
          <cell r="L510" t="str">
            <v>T</v>
          </cell>
          <cell r="M510" t="str">
            <v>8</v>
          </cell>
          <cell r="N510" t="b">
            <v>1</v>
          </cell>
          <cell r="S510" t="str">
            <v>Manufacture of machinery/ motor vehicles/ other transport equipment</v>
          </cell>
        </row>
        <row r="511">
          <cell r="C511" t="str">
            <v>3732</v>
          </cell>
          <cell r="D511" t="str">
            <v>Boat Building and Repairing</v>
          </cell>
          <cell r="E511" t="str">
            <v>T</v>
          </cell>
          <cell r="F511" t="str">
            <v>Y</v>
          </cell>
          <cell r="H511" t="str">
            <v>MA</v>
          </cell>
          <cell r="I511" t="str">
            <v>N</v>
          </cell>
          <cell r="J511" t="str">
            <v>301XX</v>
          </cell>
          <cell r="K511" t="str">
            <v>8</v>
          </cell>
          <cell r="L511" t="str">
            <v>T</v>
          </cell>
          <cell r="M511" t="str">
            <v>8</v>
          </cell>
          <cell r="N511" t="b">
            <v>1</v>
          </cell>
          <cell r="S511" t="str">
            <v>Manufacture of machinery/ motor vehicles/ other transport equipment</v>
          </cell>
        </row>
        <row r="512">
          <cell r="C512" t="str">
            <v>3743</v>
          </cell>
          <cell r="D512" t="str">
            <v>Railroad Equipment</v>
          </cell>
          <cell r="E512" t="str">
            <v>T</v>
          </cell>
          <cell r="F512" t="str">
            <v>Y</v>
          </cell>
          <cell r="H512" t="str">
            <v>MA</v>
          </cell>
          <cell r="I512" t="str">
            <v>N</v>
          </cell>
          <cell r="J512" t="str">
            <v>30200</v>
          </cell>
          <cell r="K512" t="str">
            <v>8</v>
          </cell>
          <cell r="L512" t="str">
            <v>T</v>
          </cell>
          <cell r="M512" t="str">
            <v>8</v>
          </cell>
          <cell r="N512" t="b">
            <v>1</v>
          </cell>
          <cell r="S512" t="str">
            <v>Manufacture of machinery/ motor vehicles/ other transport equipment</v>
          </cell>
        </row>
        <row r="513">
          <cell r="C513" t="str">
            <v>4011</v>
          </cell>
          <cell r="D513" t="str">
            <v>Railroads, Line-Haul Operating</v>
          </cell>
          <cell r="E513" t="str">
            <v>N</v>
          </cell>
          <cell r="F513" t="str">
            <v>Y</v>
          </cell>
          <cell r="H513" t="str">
            <v>MA</v>
          </cell>
          <cell r="I513" t="str">
            <v>N</v>
          </cell>
          <cell r="J513" t="str">
            <v>30200</v>
          </cell>
          <cell r="K513" t="str">
            <v>8</v>
          </cell>
          <cell r="L513" t="str">
            <v>N</v>
          </cell>
          <cell r="M513" t="str">
            <v>0</v>
          </cell>
          <cell r="N513" t="b">
            <v>1</v>
          </cell>
          <cell r="S513" t="str">
            <v>Manufacture of machinery/ motor vehicles/ other transport equipment</v>
          </cell>
        </row>
        <row r="514">
          <cell r="C514" t="str">
            <v>3721</v>
          </cell>
          <cell r="D514" t="str">
            <v>Aircraft</v>
          </cell>
          <cell r="E514" t="str">
            <v>T</v>
          </cell>
          <cell r="F514" t="str">
            <v>Y</v>
          </cell>
          <cell r="H514" t="str">
            <v>MA</v>
          </cell>
          <cell r="I514" t="str">
            <v>N</v>
          </cell>
          <cell r="J514" t="str">
            <v>30999</v>
          </cell>
          <cell r="K514" t="str">
            <v>8</v>
          </cell>
          <cell r="L514" t="str">
            <v>T</v>
          </cell>
          <cell r="M514" t="str">
            <v>8</v>
          </cell>
          <cell r="N514" t="b">
            <v>1</v>
          </cell>
          <cell r="S514" t="str">
            <v>Manufacture of machinery/ motor vehicles/ other transport equipment</v>
          </cell>
        </row>
        <row r="515">
          <cell r="C515" t="str">
            <v>3761</v>
          </cell>
          <cell r="D515" t="str">
            <v>Guided Missiles and Space Vehicles</v>
          </cell>
          <cell r="E515" t="str">
            <v>T</v>
          </cell>
          <cell r="F515" t="str">
            <v>Y</v>
          </cell>
          <cell r="H515" t="str">
            <v>MA</v>
          </cell>
          <cell r="I515" t="str">
            <v>N</v>
          </cell>
          <cell r="J515" t="str">
            <v>30999</v>
          </cell>
          <cell r="K515" t="str">
            <v>8</v>
          </cell>
          <cell r="L515" t="str">
            <v>T</v>
          </cell>
          <cell r="M515" t="str">
            <v>8</v>
          </cell>
          <cell r="N515" t="b">
            <v>1</v>
          </cell>
          <cell r="S515" t="str">
            <v>Manufacture of machinery/ motor vehicles/ other transport equipment</v>
          </cell>
        </row>
        <row r="516">
          <cell r="C516" t="str">
            <v>3764</v>
          </cell>
          <cell r="D516" t="str">
            <v>Guided Missile and Space Vehicle Propulsion Units and Propulsion Unit Parts</v>
          </cell>
          <cell r="E516" t="str">
            <v>T</v>
          </cell>
          <cell r="F516" t="str">
            <v>Y</v>
          </cell>
          <cell r="H516" t="str">
            <v>MA</v>
          </cell>
          <cell r="I516" t="str">
            <v>N</v>
          </cell>
          <cell r="J516" t="str">
            <v>30999</v>
          </cell>
          <cell r="K516" t="str">
            <v>8</v>
          </cell>
          <cell r="L516" t="str">
            <v>T</v>
          </cell>
          <cell r="M516" t="str">
            <v>8</v>
          </cell>
          <cell r="N516" t="b">
            <v>1</v>
          </cell>
          <cell r="S516" t="str">
            <v>Manufacture of machinery/ motor vehicles/ other transport equipment</v>
          </cell>
        </row>
        <row r="517">
          <cell r="C517" t="str">
            <v>3769</v>
          </cell>
          <cell r="D517" t="str">
            <v>Guided Missile and Space Vehicle Parts and Auxiliary Equipment, N.E.C</v>
          </cell>
          <cell r="E517" t="str">
            <v>T</v>
          </cell>
          <cell r="F517" t="str">
            <v>Y</v>
          </cell>
          <cell r="H517" t="str">
            <v>MA</v>
          </cell>
          <cell r="I517" t="str">
            <v>N</v>
          </cell>
          <cell r="J517" t="str">
            <v>30999</v>
          </cell>
          <cell r="K517" t="str">
            <v>8</v>
          </cell>
          <cell r="L517" t="str">
            <v>T</v>
          </cell>
          <cell r="M517" t="str">
            <v>8</v>
          </cell>
          <cell r="N517" t="b">
            <v>1</v>
          </cell>
          <cell r="S517" t="str">
            <v>Manufacture of machinery/ motor vehicles/ other transport equipment</v>
          </cell>
        </row>
        <row r="518">
          <cell r="C518" t="str">
            <v>3795</v>
          </cell>
          <cell r="D518" t="str">
            <v>Tanks and Tank Components</v>
          </cell>
          <cell r="E518" t="str">
            <v>T</v>
          </cell>
          <cell r="F518" t="str">
            <v>Y</v>
          </cell>
          <cell r="H518" t="str">
            <v>MA</v>
          </cell>
          <cell r="I518" t="str">
            <v>N</v>
          </cell>
          <cell r="J518" t="str">
            <v>30999</v>
          </cell>
          <cell r="K518" t="str">
            <v>8</v>
          </cell>
          <cell r="L518" t="str">
            <v>T</v>
          </cell>
          <cell r="M518" t="str">
            <v>8</v>
          </cell>
          <cell r="N518" t="b">
            <v>1</v>
          </cell>
          <cell r="S518" t="str">
            <v>Manufacture of machinery/ motor vehicles/ other transport equipment</v>
          </cell>
        </row>
        <row r="519">
          <cell r="C519" t="str">
            <v>3812</v>
          </cell>
          <cell r="D519" t="str">
            <v>Search, Detection, Navigation, Guidance, Aeronautical, and Nautical Systems and Instruments</v>
          </cell>
          <cell r="E519" t="str">
            <v>T</v>
          </cell>
          <cell r="F519" t="str">
            <v>Y</v>
          </cell>
          <cell r="H519" t="str">
            <v>MA</v>
          </cell>
          <cell r="I519" t="str">
            <v>N</v>
          </cell>
          <cell r="J519" t="str">
            <v>30999</v>
          </cell>
          <cell r="K519" t="str">
            <v>8</v>
          </cell>
          <cell r="L519" t="str">
            <v>T</v>
          </cell>
          <cell r="M519" t="str">
            <v>8</v>
          </cell>
          <cell r="N519" t="b">
            <v>1</v>
          </cell>
          <cell r="S519" t="str">
            <v>Manufacture of machinery/ motor vehicles/ other transport equipment</v>
          </cell>
        </row>
        <row r="520">
          <cell r="C520" t="str">
            <v>3751</v>
          </cell>
          <cell r="D520" t="str">
            <v>Motorcycles, Bicycles, and Parts</v>
          </cell>
          <cell r="E520" t="str">
            <v>T</v>
          </cell>
          <cell r="F520" t="str">
            <v>Y</v>
          </cell>
          <cell r="H520" t="str">
            <v>MA</v>
          </cell>
          <cell r="I520" t="str">
            <v>N</v>
          </cell>
          <cell r="J520" t="str">
            <v>30999</v>
          </cell>
          <cell r="K520" t="str">
            <v>8</v>
          </cell>
          <cell r="L520" t="str">
            <v>T</v>
          </cell>
          <cell r="M520" t="str">
            <v>8</v>
          </cell>
          <cell r="N520" t="b">
            <v>1</v>
          </cell>
          <cell r="S520" t="str">
            <v>Manufacture of machinery/ motor vehicles/ other transport equipment</v>
          </cell>
        </row>
        <row r="521">
          <cell r="C521" t="str">
            <v>3728</v>
          </cell>
          <cell r="D521" t="str">
            <v>Aircraft Parts and Auxiliary Equipment, N.E.C.</v>
          </cell>
          <cell r="E521" t="str">
            <v>T</v>
          </cell>
          <cell r="F521" t="str">
            <v>Y</v>
          </cell>
          <cell r="H521" t="str">
            <v>MA</v>
          </cell>
          <cell r="I521" t="str">
            <v>N</v>
          </cell>
          <cell r="J521" t="str">
            <v>30999</v>
          </cell>
          <cell r="K521" t="str">
            <v>8</v>
          </cell>
          <cell r="L521" t="str">
            <v>T</v>
          </cell>
          <cell r="M521" t="str">
            <v>8</v>
          </cell>
          <cell r="N521" t="b">
            <v>1</v>
          </cell>
          <cell r="S521" t="str">
            <v>Manufacture of machinery/ motor vehicles/ other transport equipment</v>
          </cell>
        </row>
        <row r="522">
          <cell r="C522" t="str">
            <v>3724</v>
          </cell>
          <cell r="D522" t="str">
            <v>Aircraft Engines and Engine Parts</v>
          </cell>
          <cell r="E522" t="str">
            <v>T</v>
          </cell>
          <cell r="F522" t="str">
            <v>Y</v>
          </cell>
          <cell r="H522" t="str">
            <v>MA</v>
          </cell>
          <cell r="I522" t="str">
            <v>N</v>
          </cell>
          <cell r="J522" t="str">
            <v>30999</v>
          </cell>
          <cell r="K522" t="str">
            <v>8</v>
          </cell>
          <cell r="L522" t="str">
            <v>T</v>
          </cell>
          <cell r="M522" t="str">
            <v>8</v>
          </cell>
          <cell r="N522" t="b">
            <v>1</v>
          </cell>
          <cell r="S522" t="str">
            <v>Manufacture of machinery/ motor vehicles/ other transport equipment</v>
          </cell>
        </row>
        <row r="523">
          <cell r="C523" t="str">
            <v>3799</v>
          </cell>
          <cell r="D523" t="str">
            <v>Transportation Equipment, N.E.C.</v>
          </cell>
          <cell r="E523" t="str">
            <v>T</v>
          </cell>
          <cell r="F523" t="str">
            <v>Y</v>
          </cell>
          <cell r="H523" t="str">
            <v>MA</v>
          </cell>
          <cell r="I523" t="str">
            <v>N</v>
          </cell>
          <cell r="J523" t="str">
            <v>30999</v>
          </cell>
          <cell r="K523" t="str">
            <v>8</v>
          </cell>
          <cell r="L523" t="str">
            <v>T</v>
          </cell>
          <cell r="M523" t="str">
            <v>8</v>
          </cell>
          <cell r="N523" t="b">
            <v>1</v>
          </cell>
          <cell r="S523" t="str">
            <v>Manufacture of machinery/ motor vehicles/ other transport equipment</v>
          </cell>
        </row>
        <row r="524">
          <cell r="C524" t="str">
            <v>3536</v>
          </cell>
          <cell r="D524" t="str">
            <v>Overhead Traveling Cranes, Hoists, and Monorail Systems</v>
          </cell>
          <cell r="E524" t="str">
            <v>T</v>
          </cell>
          <cell r="F524" t="str">
            <v>Y</v>
          </cell>
          <cell r="H524" t="str">
            <v>MA</v>
          </cell>
          <cell r="I524" t="str">
            <v>N</v>
          </cell>
          <cell r="J524" t="str">
            <v>30999</v>
          </cell>
          <cell r="K524" t="str">
            <v>8</v>
          </cell>
          <cell r="L524" t="str">
            <v>T</v>
          </cell>
          <cell r="M524" t="str">
            <v>8</v>
          </cell>
          <cell r="N524" t="b">
            <v>1</v>
          </cell>
          <cell r="S524" t="str">
            <v>Manufacture of machinery/ motor vehicles/ other transport equipment</v>
          </cell>
        </row>
        <row r="525">
          <cell r="C525" t="str">
            <v>3537</v>
          </cell>
          <cell r="D525" t="str">
            <v>Industrial Trucks, Tractors, Trailers, and Stackers</v>
          </cell>
          <cell r="E525" t="str">
            <v>T</v>
          </cell>
          <cell r="F525" t="str">
            <v>Y</v>
          </cell>
          <cell r="H525" t="str">
            <v>MA</v>
          </cell>
          <cell r="I525" t="str">
            <v>N</v>
          </cell>
          <cell r="J525" t="str">
            <v>30999</v>
          </cell>
          <cell r="K525" t="str">
            <v>8</v>
          </cell>
          <cell r="L525" t="str">
            <v>T</v>
          </cell>
          <cell r="M525" t="str">
            <v>8</v>
          </cell>
          <cell r="N525" t="b">
            <v>1</v>
          </cell>
          <cell r="S525" t="str">
            <v>Manufacture of machinery/ motor vehicles/ other transport equipment</v>
          </cell>
        </row>
        <row r="526">
          <cell r="C526" t="str">
            <v>3594</v>
          </cell>
          <cell r="D526" t="str">
            <v>Fluid Power Pumps and Motors</v>
          </cell>
          <cell r="E526" t="str">
            <v>T</v>
          </cell>
          <cell r="F526" t="str">
            <v>Y</v>
          </cell>
          <cell r="H526" t="str">
            <v>MA</v>
          </cell>
          <cell r="I526" t="str">
            <v>N</v>
          </cell>
          <cell r="J526" t="str">
            <v>30999</v>
          </cell>
          <cell r="K526" t="str">
            <v>8</v>
          </cell>
          <cell r="L526" t="str">
            <v>T</v>
          </cell>
          <cell r="M526" t="str">
            <v>8</v>
          </cell>
          <cell r="N526" t="b">
            <v>1</v>
          </cell>
          <cell r="S526" t="str">
            <v>Manufacture of machinery/ motor vehicles/ other transport equipment</v>
          </cell>
        </row>
        <row r="527">
          <cell r="C527" t="str">
            <v>3593</v>
          </cell>
          <cell r="D527" t="str">
            <v>Fluid Power Cylinders and Actuators</v>
          </cell>
          <cell r="E527" t="str">
            <v>T</v>
          </cell>
          <cell r="F527" t="str">
            <v>Y</v>
          </cell>
          <cell r="H527" t="str">
            <v>MA</v>
          </cell>
          <cell r="I527" t="str">
            <v>N</v>
          </cell>
          <cell r="J527" t="str">
            <v>30999</v>
          </cell>
          <cell r="K527" t="str">
            <v>8</v>
          </cell>
          <cell r="L527" t="str">
            <v>T</v>
          </cell>
          <cell r="M527" t="str">
            <v>8</v>
          </cell>
          <cell r="N527" t="b">
            <v>1</v>
          </cell>
          <cell r="S527" t="str">
            <v>Manufacture of machinery/ motor vehicles/ other transport equipment</v>
          </cell>
        </row>
        <row r="528">
          <cell r="C528" t="str">
            <v>3592</v>
          </cell>
          <cell r="D528" t="str">
            <v>Carburetors, Pistons, Piston Rings, and Valves</v>
          </cell>
          <cell r="E528" t="str">
            <v>T</v>
          </cell>
          <cell r="F528" t="str">
            <v>Y</v>
          </cell>
          <cell r="H528" t="str">
            <v>MA</v>
          </cell>
          <cell r="I528" t="str">
            <v>N</v>
          </cell>
          <cell r="J528" t="str">
            <v>30999</v>
          </cell>
          <cell r="K528" t="str">
            <v>8</v>
          </cell>
          <cell r="L528" t="str">
            <v>T</v>
          </cell>
          <cell r="M528" t="str">
            <v>8</v>
          </cell>
          <cell r="N528" t="b">
            <v>1</v>
          </cell>
          <cell r="S528" t="str">
            <v>Manufacture of machinery/ motor vehicles/ other transport equipment</v>
          </cell>
        </row>
        <row r="529">
          <cell r="C529" t="str">
            <v>2515</v>
          </cell>
          <cell r="D529" t="str">
            <v>Mattresses, Foundations, and Convertible Beds</v>
          </cell>
          <cell r="E529" t="str">
            <v>H</v>
          </cell>
          <cell r="F529" t="str">
            <v>Y</v>
          </cell>
          <cell r="H529" t="str">
            <v>MA</v>
          </cell>
          <cell r="I529" t="str">
            <v>N</v>
          </cell>
          <cell r="J529" t="str">
            <v>3100X</v>
          </cell>
          <cell r="K529" t="str">
            <v>8</v>
          </cell>
          <cell r="L529" t="str">
            <v>H</v>
          </cell>
          <cell r="M529" t="str">
            <v>0</v>
          </cell>
          <cell r="N529" t="b">
            <v>1</v>
          </cell>
          <cell r="S529" t="str">
            <v>Manufacture of furniture</v>
          </cell>
        </row>
        <row r="530">
          <cell r="C530" t="str">
            <v>2511</v>
          </cell>
          <cell r="D530" t="str">
            <v>Wood Household Furniture, Except Upholstered</v>
          </cell>
          <cell r="E530" t="str">
            <v>H</v>
          </cell>
          <cell r="F530" t="str">
            <v>Y</v>
          </cell>
          <cell r="G530" t="str">
            <v>N</v>
          </cell>
          <cell r="H530" t="str">
            <v>MA</v>
          </cell>
          <cell r="I530" t="str">
            <v>N</v>
          </cell>
          <cell r="J530" t="str">
            <v>3100X</v>
          </cell>
          <cell r="K530" t="str">
            <v>8</v>
          </cell>
          <cell r="L530" t="str">
            <v>H</v>
          </cell>
          <cell r="M530" t="str">
            <v>0</v>
          </cell>
          <cell r="N530" t="b">
            <v>1</v>
          </cell>
          <cell r="P530" t="str">
            <v>Y</v>
          </cell>
          <cell r="S530" t="str">
            <v>Manufacture of furniture</v>
          </cell>
        </row>
        <row r="531">
          <cell r="C531" t="str">
            <v>2542</v>
          </cell>
          <cell r="D531" t="str">
            <v>Office and Store Fixtures, Partitions, Shelving, and Lockers, Except Wood</v>
          </cell>
          <cell r="E531" t="str">
            <v>H</v>
          </cell>
          <cell r="F531" t="str">
            <v>Y</v>
          </cell>
          <cell r="H531" t="str">
            <v>MA</v>
          </cell>
          <cell r="I531" t="str">
            <v>N</v>
          </cell>
          <cell r="J531" t="str">
            <v>3100X</v>
          </cell>
          <cell r="K531" t="str">
            <v>8</v>
          </cell>
          <cell r="L531" t="str">
            <v>H</v>
          </cell>
          <cell r="M531" t="str">
            <v>0</v>
          </cell>
          <cell r="N531" t="b">
            <v>1</v>
          </cell>
          <cell r="S531" t="str">
            <v>Manufacture of furniture</v>
          </cell>
        </row>
        <row r="532">
          <cell r="C532" t="str">
            <v>2541</v>
          </cell>
          <cell r="D532" t="str">
            <v>Wood Office and Store Fixtures, Partitions, Shelving, and Lockers</v>
          </cell>
          <cell r="E532" t="str">
            <v>H</v>
          </cell>
          <cell r="F532" t="str">
            <v>Y</v>
          </cell>
          <cell r="H532" t="str">
            <v>MA</v>
          </cell>
          <cell r="I532" t="str">
            <v>N</v>
          </cell>
          <cell r="J532" t="str">
            <v>3100X</v>
          </cell>
          <cell r="K532" t="str">
            <v>8</v>
          </cell>
          <cell r="L532" t="str">
            <v>H</v>
          </cell>
          <cell r="M532" t="str">
            <v>0</v>
          </cell>
          <cell r="N532" t="b">
            <v>1</v>
          </cell>
          <cell r="S532" t="str">
            <v>Manufacture of furniture</v>
          </cell>
        </row>
        <row r="533">
          <cell r="C533" t="str">
            <v>2512</v>
          </cell>
          <cell r="D533" t="str">
            <v>Wood Household Furniture, Upholstered</v>
          </cell>
          <cell r="E533" t="str">
            <v>H</v>
          </cell>
          <cell r="F533" t="str">
            <v>Y</v>
          </cell>
          <cell r="H533" t="str">
            <v>MA</v>
          </cell>
          <cell r="I533" t="str">
            <v>N</v>
          </cell>
          <cell r="J533" t="str">
            <v>3100X</v>
          </cell>
          <cell r="K533" t="str">
            <v>8</v>
          </cell>
          <cell r="L533" t="str">
            <v>H</v>
          </cell>
          <cell r="M533" t="str">
            <v>0</v>
          </cell>
          <cell r="N533" t="b">
            <v>1</v>
          </cell>
          <cell r="P533" t="str">
            <v>Y</v>
          </cell>
          <cell r="S533" t="str">
            <v>Manufacture of furniture</v>
          </cell>
        </row>
        <row r="534">
          <cell r="C534" t="str">
            <v>2521</v>
          </cell>
          <cell r="D534" t="str">
            <v>Wood Office Furniture</v>
          </cell>
          <cell r="E534" t="str">
            <v>H</v>
          </cell>
          <cell r="F534" t="str">
            <v>Y</v>
          </cell>
          <cell r="H534" t="str">
            <v>MA</v>
          </cell>
          <cell r="I534" t="str">
            <v>N</v>
          </cell>
          <cell r="J534" t="str">
            <v>3100X</v>
          </cell>
          <cell r="K534" t="str">
            <v>8</v>
          </cell>
          <cell r="L534" t="str">
            <v>H</v>
          </cell>
          <cell r="M534" t="str">
            <v>0</v>
          </cell>
          <cell r="N534" t="b">
            <v>1</v>
          </cell>
          <cell r="P534" t="str">
            <v>Y</v>
          </cell>
          <cell r="S534" t="str">
            <v>Manufacture of furniture</v>
          </cell>
        </row>
        <row r="535">
          <cell r="C535" t="str">
            <v>2514</v>
          </cell>
          <cell r="D535" t="str">
            <v>Metal Household Furniture</v>
          </cell>
          <cell r="E535" t="str">
            <v>H</v>
          </cell>
          <cell r="F535" t="str">
            <v>Y</v>
          </cell>
          <cell r="H535" t="str">
            <v>MA</v>
          </cell>
          <cell r="I535" t="str">
            <v>N</v>
          </cell>
          <cell r="J535" t="str">
            <v>3100X</v>
          </cell>
          <cell r="K535" t="str">
            <v>8</v>
          </cell>
          <cell r="L535" t="str">
            <v>H</v>
          </cell>
          <cell r="M535" t="str">
            <v>0</v>
          </cell>
          <cell r="N535" t="b">
            <v>1</v>
          </cell>
          <cell r="P535" t="str">
            <v>Y</v>
          </cell>
          <cell r="S535" t="str">
            <v>Manufacture of furniture</v>
          </cell>
        </row>
        <row r="536">
          <cell r="C536" t="str">
            <v>2519</v>
          </cell>
          <cell r="D536" t="str">
            <v>Household Furniture, N.E.C.</v>
          </cell>
          <cell r="E536" t="str">
            <v>H</v>
          </cell>
          <cell r="F536" t="str">
            <v>Y</v>
          </cell>
          <cell r="H536" t="str">
            <v>MA</v>
          </cell>
          <cell r="I536" t="str">
            <v>N</v>
          </cell>
          <cell r="J536" t="str">
            <v>3100X</v>
          </cell>
          <cell r="K536" t="str">
            <v>8</v>
          </cell>
          <cell r="L536" t="str">
            <v>H</v>
          </cell>
          <cell r="M536" t="str">
            <v>0</v>
          </cell>
          <cell r="N536" t="b">
            <v>1</v>
          </cell>
          <cell r="P536" t="str">
            <v>Y</v>
          </cell>
          <cell r="S536" t="str">
            <v>Manufacture of furniture</v>
          </cell>
        </row>
        <row r="537">
          <cell r="C537" t="str">
            <v>2517</v>
          </cell>
          <cell r="D537" t="str">
            <v>Wood Television, Radio, Phonograph, and Sewing Machine Cabinets</v>
          </cell>
          <cell r="E537" t="str">
            <v>H</v>
          </cell>
          <cell r="F537" t="str">
            <v>Y</v>
          </cell>
          <cell r="H537" t="str">
            <v>MA</v>
          </cell>
          <cell r="I537" t="str">
            <v>N</v>
          </cell>
          <cell r="J537" t="str">
            <v>3100X</v>
          </cell>
          <cell r="K537" t="str">
            <v>8</v>
          </cell>
          <cell r="L537" t="str">
            <v>H</v>
          </cell>
          <cell r="M537" t="str">
            <v>0</v>
          </cell>
          <cell r="N537" t="b">
            <v>1</v>
          </cell>
          <cell r="S537" t="str">
            <v>Manufacture of furniture</v>
          </cell>
        </row>
        <row r="538">
          <cell r="C538" t="str">
            <v>2522</v>
          </cell>
          <cell r="D538" t="str">
            <v>Office Furniture, Except Wood</v>
          </cell>
          <cell r="E538" t="str">
            <v>H</v>
          </cell>
          <cell r="F538" t="str">
            <v>Y</v>
          </cell>
          <cell r="H538" t="str">
            <v>MA</v>
          </cell>
          <cell r="I538" t="str">
            <v>N</v>
          </cell>
          <cell r="J538" t="str">
            <v>3100X</v>
          </cell>
          <cell r="K538" t="str">
            <v>8</v>
          </cell>
          <cell r="L538" t="str">
            <v>H</v>
          </cell>
          <cell r="M538" t="str">
            <v>0</v>
          </cell>
          <cell r="N538" t="b">
            <v>1</v>
          </cell>
          <cell r="P538" t="str">
            <v>Y</v>
          </cell>
          <cell r="S538" t="str">
            <v>Manufacture of furniture</v>
          </cell>
        </row>
        <row r="539">
          <cell r="C539" t="str">
            <v>2531</v>
          </cell>
          <cell r="D539" t="str">
            <v>Public Building and Related Furniture</v>
          </cell>
          <cell r="E539" t="str">
            <v>H</v>
          </cell>
          <cell r="F539" t="str">
            <v>Y</v>
          </cell>
          <cell r="H539" t="str">
            <v>MA</v>
          </cell>
          <cell r="I539" t="str">
            <v>N</v>
          </cell>
          <cell r="J539" t="str">
            <v>3100X</v>
          </cell>
          <cell r="K539" t="str">
            <v>8</v>
          </cell>
          <cell r="L539" t="str">
            <v>H</v>
          </cell>
          <cell r="M539" t="str">
            <v>0</v>
          </cell>
          <cell r="N539" t="b">
            <v>1</v>
          </cell>
          <cell r="P539" t="str">
            <v>Y</v>
          </cell>
          <cell r="S539" t="str">
            <v>Manufacture of furniture</v>
          </cell>
        </row>
        <row r="540">
          <cell r="C540" t="str">
            <v>2591</v>
          </cell>
          <cell r="D540" t="str">
            <v>Drapery Hardware and Window Blinds and Shades .</v>
          </cell>
          <cell r="E540" t="str">
            <v>H</v>
          </cell>
          <cell r="F540" t="str">
            <v>Y</v>
          </cell>
          <cell r="H540" t="str">
            <v>MA</v>
          </cell>
          <cell r="I540" t="str">
            <v>N</v>
          </cell>
          <cell r="J540" t="str">
            <v>3100X</v>
          </cell>
          <cell r="K540" t="str">
            <v>10</v>
          </cell>
          <cell r="L540" t="str">
            <v>H</v>
          </cell>
          <cell r="M540" t="str">
            <v>0</v>
          </cell>
          <cell r="N540" t="b">
            <v>1</v>
          </cell>
          <cell r="S540" t="str">
            <v>Manufacture of furniture</v>
          </cell>
        </row>
        <row r="541">
          <cell r="C541" t="str">
            <v>2599</v>
          </cell>
          <cell r="D541" t="str">
            <v>Furniture and Fixtures, N.E.C.</v>
          </cell>
          <cell r="E541" t="str">
            <v>H</v>
          </cell>
          <cell r="F541" t="str">
            <v>Y</v>
          </cell>
          <cell r="H541" t="str">
            <v>MA</v>
          </cell>
          <cell r="I541" t="str">
            <v>N</v>
          </cell>
          <cell r="J541" t="str">
            <v>3100X</v>
          </cell>
          <cell r="K541" t="str">
            <v>8</v>
          </cell>
          <cell r="L541" t="str">
            <v>H</v>
          </cell>
          <cell r="M541" t="str">
            <v>0</v>
          </cell>
          <cell r="N541" t="b">
            <v>1</v>
          </cell>
          <cell r="P541" t="str">
            <v>Y</v>
          </cell>
          <cell r="S541" t="str">
            <v>Manufacture of furniture</v>
          </cell>
        </row>
        <row r="542">
          <cell r="C542" t="str">
            <v>3851</v>
          </cell>
          <cell r="D542" t="str">
            <v>Ophthalmic Goods</v>
          </cell>
          <cell r="E542" t="str">
            <v>T</v>
          </cell>
          <cell r="F542" t="str">
            <v>Y</v>
          </cell>
          <cell r="H542" t="str">
            <v>MA</v>
          </cell>
          <cell r="I542" t="str">
            <v>N</v>
          </cell>
          <cell r="J542" t="str">
            <v>32500</v>
          </cell>
          <cell r="K542" t="str">
            <v>8</v>
          </cell>
          <cell r="L542" t="str">
            <v>T</v>
          </cell>
          <cell r="M542" t="str">
            <v>8</v>
          </cell>
          <cell r="N542" t="b">
            <v>1</v>
          </cell>
          <cell r="S542" t="str">
            <v>Manufacture of medical related products</v>
          </cell>
        </row>
        <row r="543">
          <cell r="C543" t="str">
            <v>3841</v>
          </cell>
          <cell r="D543" t="str">
            <v>Surgical and Medical Instruments and Apparatus</v>
          </cell>
          <cell r="E543" t="str">
            <v>T</v>
          </cell>
          <cell r="F543" t="str">
            <v>Y</v>
          </cell>
          <cell r="H543" t="str">
            <v>MA</v>
          </cell>
          <cell r="I543" t="str">
            <v>N</v>
          </cell>
          <cell r="J543" t="str">
            <v>32500</v>
          </cell>
          <cell r="K543" t="str">
            <v>8</v>
          </cell>
          <cell r="L543" t="str">
            <v>T</v>
          </cell>
          <cell r="M543" t="str">
            <v>8</v>
          </cell>
          <cell r="N543" t="b">
            <v>1</v>
          </cell>
          <cell r="S543" t="str">
            <v>Manufacture of medical related products</v>
          </cell>
        </row>
        <row r="544">
          <cell r="C544" t="str">
            <v>3843</v>
          </cell>
          <cell r="D544" t="str">
            <v>Dental Equipment and Supplies</v>
          </cell>
          <cell r="E544" t="str">
            <v>T</v>
          </cell>
          <cell r="F544" t="str">
            <v>Y</v>
          </cell>
          <cell r="H544" t="str">
            <v>MA</v>
          </cell>
          <cell r="I544" t="str">
            <v>N</v>
          </cell>
          <cell r="J544" t="str">
            <v>32500</v>
          </cell>
          <cell r="K544" t="str">
            <v>8</v>
          </cell>
          <cell r="L544" t="str">
            <v>T</v>
          </cell>
          <cell r="M544" t="str">
            <v>8</v>
          </cell>
          <cell r="N544" t="b">
            <v>1</v>
          </cell>
          <cell r="S544" t="str">
            <v>Manufacture of medical related products</v>
          </cell>
        </row>
        <row r="545">
          <cell r="C545" t="str">
            <v>3844</v>
          </cell>
          <cell r="D545" t="str">
            <v>X-Ray Apparatus and Tubes and Related Irradiation Apparatus</v>
          </cell>
          <cell r="E545" t="str">
            <v>T</v>
          </cell>
          <cell r="F545" t="str">
            <v>Y</v>
          </cell>
          <cell r="H545" t="str">
            <v>MA</v>
          </cell>
          <cell r="I545" t="str">
            <v>N</v>
          </cell>
          <cell r="J545" t="str">
            <v>32500</v>
          </cell>
          <cell r="K545" t="str">
            <v>8</v>
          </cell>
          <cell r="L545" t="str">
            <v>T</v>
          </cell>
          <cell r="M545" t="str">
            <v>8</v>
          </cell>
          <cell r="N545" t="b">
            <v>1</v>
          </cell>
          <cell r="S545" t="str">
            <v>Manufacture of medical related products</v>
          </cell>
        </row>
        <row r="546">
          <cell r="C546" t="str">
            <v>3845</v>
          </cell>
          <cell r="D546" t="str">
            <v>Electromedical and Electrotherapeutic Apparatus</v>
          </cell>
          <cell r="E546" t="str">
            <v>T</v>
          </cell>
          <cell r="F546" t="str">
            <v>Y</v>
          </cell>
          <cell r="H546" t="str">
            <v>MA</v>
          </cell>
          <cell r="I546" t="str">
            <v>N</v>
          </cell>
          <cell r="J546" t="str">
            <v>32500</v>
          </cell>
          <cell r="K546" t="str">
            <v>8</v>
          </cell>
          <cell r="L546" t="str">
            <v>T</v>
          </cell>
          <cell r="M546" t="str">
            <v>8</v>
          </cell>
          <cell r="N546" t="b">
            <v>1</v>
          </cell>
          <cell r="S546" t="str">
            <v>Manufacture of medical related products</v>
          </cell>
        </row>
        <row r="547">
          <cell r="C547" t="str">
            <v>3842</v>
          </cell>
          <cell r="D547" t="str">
            <v>Orthopedic, Prosthetic, and Surgical Appliances and Supplies</v>
          </cell>
          <cell r="E547" t="str">
            <v>T</v>
          </cell>
          <cell r="F547" t="str">
            <v>Y</v>
          </cell>
          <cell r="H547" t="str">
            <v>MA</v>
          </cell>
          <cell r="I547" t="str">
            <v>N</v>
          </cell>
          <cell r="J547" t="str">
            <v>32500</v>
          </cell>
          <cell r="K547" t="str">
            <v>8</v>
          </cell>
          <cell r="L547" t="str">
            <v>T</v>
          </cell>
          <cell r="M547" t="str">
            <v>8</v>
          </cell>
          <cell r="N547" t="b">
            <v>1</v>
          </cell>
          <cell r="S547" t="str">
            <v>Manufacture of medical related products</v>
          </cell>
        </row>
        <row r="548">
          <cell r="C548" t="str">
            <v>3826</v>
          </cell>
          <cell r="D548" t="str">
            <v>Laboratory Analytical Instruments</v>
          </cell>
          <cell r="E548" t="str">
            <v>T</v>
          </cell>
          <cell r="F548" t="str">
            <v>Y</v>
          </cell>
          <cell r="H548" t="str">
            <v>MA</v>
          </cell>
          <cell r="I548" t="str">
            <v>N</v>
          </cell>
          <cell r="J548" t="str">
            <v>32500</v>
          </cell>
          <cell r="K548" t="str">
            <v>8</v>
          </cell>
          <cell r="L548" t="str">
            <v>T</v>
          </cell>
          <cell r="M548" t="str">
            <v>8</v>
          </cell>
          <cell r="N548" t="b">
            <v>1</v>
          </cell>
          <cell r="S548" t="str">
            <v>Manufacture of medical related products</v>
          </cell>
        </row>
        <row r="549">
          <cell r="C549" t="str">
            <v>3911</v>
          </cell>
          <cell r="D549" t="str">
            <v>Jewelry, Precious Metal</v>
          </cell>
          <cell r="E549" t="str">
            <v>T</v>
          </cell>
          <cell r="F549" t="str">
            <v>Y</v>
          </cell>
          <cell r="H549" t="str">
            <v>MA</v>
          </cell>
          <cell r="I549" t="str">
            <v>N</v>
          </cell>
          <cell r="J549" t="str">
            <v>3290X</v>
          </cell>
          <cell r="K549" t="str">
            <v>8</v>
          </cell>
          <cell r="L549" t="str">
            <v>N</v>
          </cell>
          <cell r="M549" t="str">
            <v>0</v>
          </cell>
          <cell r="N549" t="b">
            <v>0</v>
          </cell>
          <cell r="R549" t="str">
            <v>Should it standardized the tagging?</v>
          </cell>
          <cell r="S549" t="str">
            <v>Manufacture of rubber/ plastic/ other-metallic products</v>
          </cell>
        </row>
        <row r="550">
          <cell r="C550" t="str">
            <v>3915</v>
          </cell>
          <cell r="D550" t="str">
            <v>Jewelers' Findings and Materials, and Lapidary Work</v>
          </cell>
          <cell r="E550" t="str">
            <v>T</v>
          </cell>
          <cell r="F550" t="str">
            <v>Y</v>
          </cell>
          <cell r="H550" t="str">
            <v>MA</v>
          </cell>
          <cell r="I550" t="str">
            <v>N</v>
          </cell>
          <cell r="J550" t="str">
            <v>3290X</v>
          </cell>
          <cell r="K550" t="str">
            <v>8</v>
          </cell>
          <cell r="L550" t="str">
            <v>N</v>
          </cell>
          <cell r="M550" t="str">
            <v>0</v>
          </cell>
          <cell r="N550" t="b">
            <v>0</v>
          </cell>
          <cell r="R550" t="str">
            <v>Should it standardized the tagging?</v>
          </cell>
          <cell r="S550" t="str">
            <v>Manufacture of rubber/ plastic/ other-metallic products</v>
          </cell>
        </row>
        <row r="551">
          <cell r="C551" t="str">
            <v>3961</v>
          </cell>
          <cell r="D551" t="str">
            <v>Costume Jewelry and Costume Novelties, Except Precious Metal</v>
          </cell>
          <cell r="E551" t="str">
            <v>T</v>
          </cell>
          <cell r="F551" t="str">
            <v>Y</v>
          </cell>
          <cell r="H551" t="str">
            <v>MA</v>
          </cell>
          <cell r="I551" t="str">
            <v>N</v>
          </cell>
          <cell r="J551" t="str">
            <v>3290X</v>
          </cell>
          <cell r="K551" t="str">
            <v>8</v>
          </cell>
          <cell r="L551" t="str">
            <v>N</v>
          </cell>
          <cell r="M551" t="str">
            <v>0</v>
          </cell>
          <cell r="N551" t="b">
            <v>0</v>
          </cell>
          <cell r="R551" t="str">
            <v>Should it standardized the tagging?</v>
          </cell>
          <cell r="S551" t="str">
            <v>Manufacture of rubber/ plastic/ other-metallic products</v>
          </cell>
        </row>
        <row r="552">
          <cell r="C552" t="str">
            <v>3931</v>
          </cell>
          <cell r="D552" t="str">
            <v>Musical Instruments</v>
          </cell>
          <cell r="E552" t="str">
            <v>T</v>
          </cell>
          <cell r="F552" t="str">
            <v>N</v>
          </cell>
          <cell r="H552" t="str">
            <v>MA</v>
          </cell>
          <cell r="I552" t="str">
            <v>N</v>
          </cell>
          <cell r="J552" t="str">
            <v>3290X</v>
          </cell>
          <cell r="K552" t="str">
            <v>8</v>
          </cell>
          <cell r="L552" t="str">
            <v>T</v>
          </cell>
          <cell r="M552" t="str">
            <v>8</v>
          </cell>
          <cell r="N552" t="b">
            <v>1</v>
          </cell>
          <cell r="S552" t="str">
            <v>Manufacture of rubber/ plastic/ other-metallic products</v>
          </cell>
        </row>
        <row r="553">
          <cell r="C553" t="str">
            <v>3949</v>
          </cell>
          <cell r="D553" t="str">
            <v>Sporting and Athletic Goods, N.E.C.</v>
          </cell>
          <cell r="E553" t="str">
            <v>T</v>
          </cell>
          <cell r="F553" t="str">
            <v>Y</v>
          </cell>
          <cell r="H553" t="str">
            <v>MA</v>
          </cell>
          <cell r="I553" t="str">
            <v>N</v>
          </cell>
          <cell r="J553" t="str">
            <v>3290X</v>
          </cell>
          <cell r="K553" t="str">
            <v>8</v>
          </cell>
          <cell r="L553" t="str">
            <v>T</v>
          </cell>
          <cell r="M553" t="str">
            <v>8</v>
          </cell>
          <cell r="N553" t="b">
            <v>1</v>
          </cell>
          <cell r="S553" t="str">
            <v>Manufacture of rubber/ plastic/ other-metallic products</v>
          </cell>
        </row>
        <row r="554">
          <cell r="C554" t="str">
            <v>2673</v>
          </cell>
          <cell r="D554" t="str">
            <v>Plastics, Foil, and Coated Paper Bags</v>
          </cell>
          <cell r="E554" t="str">
            <v>H</v>
          </cell>
          <cell r="F554" t="str">
            <v>Y</v>
          </cell>
          <cell r="H554" t="str">
            <v>MA</v>
          </cell>
          <cell r="I554" t="str">
            <v>N</v>
          </cell>
          <cell r="J554" t="str">
            <v>3290X</v>
          </cell>
          <cell r="K554" t="str">
            <v>8</v>
          </cell>
          <cell r="L554" t="str">
            <v>H</v>
          </cell>
          <cell r="M554" t="str">
            <v>0</v>
          </cell>
          <cell r="N554" t="b">
            <v>1</v>
          </cell>
          <cell r="P554" t="str">
            <v>Y</v>
          </cell>
          <cell r="S554" t="str">
            <v>Manufacture of rubber/ plastic/ other-metallic products</v>
          </cell>
        </row>
        <row r="555">
          <cell r="C555" t="str">
            <v>3942</v>
          </cell>
          <cell r="D555" t="str">
            <v>Dolls and Stuffed Toys</v>
          </cell>
          <cell r="E555" t="str">
            <v>T</v>
          </cell>
          <cell r="F555" t="str">
            <v>N</v>
          </cell>
          <cell r="H555" t="str">
            <v>MA</v>
          </cell>
          <cell r="I555" t="str">
            <v>N</v>
          </cell>
          <cell r="J555" t="str">
            <v>3290X</v>
          </cell>
          <cell r="K555" t="str">
            <v>8</v>
          </cell>
          <cell r="L555" t="str">
            <v>T</v>
          </cell>
          <cell r="M555" t="str">
            <v>8</v>
          </cell>
          <cell r="N555" t="b">
            <v>1</v>
          </cell>
          <cell r="S555" t="str">
            <v>Manufacture of rubber/ plastic/ other-metallic products</v>
          </cell>
        </row>
        <row r="556">
          <cell r="C556" t="str">
            <v>2676</v>
          </cell>
          <cell r="D556" t="str">
            <v>Sanitary Paper Products</v>
          </cell>
          <cell r="E556" t="str">
            <v>T</v>
          </cell>
          <cell r="F556" t="str">
            <v>Y</v>
          </cell>
          <cell r="H556" t="str">
            <v>MA</v>
          </cell>
          <cell r="I556" t="str">
            <v>N</v>
          </cell>
          <cell r="J556" t="str">
            <v>3290X</v>
          </cell>
          <cell r="K556" t="str">
            <v>8</v>
          </cell>
          <cell r="L556" t="str">
            <v>T</v>
          </cell>
          <cell r="M556" t="str">
            <v>8</v>
          </cell>
          <cell r="N556" t="b">
            <v>1</v>
          </cell>
          <cell r="S556" t="str">
            <v>Manufacture of rubber/ plastic/ other-metallic products</v>
          </cell>
        </row>
        <row r="557">
          <cell r="C557" t="str">
            <v>3955</v>
          </cell>
          <cell r="D557" t="str">
            <v>Carbon Paper and Inked Ribbons</v>
          </cell>
          <cell r="E557" t="str">
            <v>T</v>
          </cell>
          <cell r="F557" t="str">
            <v>Y</v>
          </cell>
          <cell r="H557" t="str">
            <v>MA</v>
          </cell>
          <cell r="I557" t="str">
            <v>N</v>
          </cell>
          <cell r="J557" t="str">
            <v>3290X</v>
          </cell>
          <cell r="K557" t="str">
            <v>8</v>
          </cell>
          <cell r="L557" t="str">
            <v>T</v>
          </cell>
          <cell r="M557" t="str">
            <v>8</v>
          </cell>
          <cell r="N557" t="b">
            <v>1</v>
          </cell>
          <cell r="S557" t="str">
            <v>Manufacture of rubber/ plastic/ other-metallic products</v>
          </cell>
        </row>
        <row r="558">
          <cell r="C558" t="str">
            <v>2677</v>
          </cell>
          <cell r="D558" t="str">
            <v>Envelopes</v>
          </cell>
          <cell r="E558" t="str">
            <v>T</v>
          </cell>
          <cell r="F558" t="str">
            <v>Y</v>
          </cell>
          <cell r="H558" t="str">
            <v>MA</v>
          </cell>
          <cell r="I558" t="str">
            <v>N</v>
          </cell>
          <cell r="J558" t="str">
            <v>3290X</v>
          </cell>
          <cell r="K558" t="str">
            <v>8</v>
          </cell>
          <cell r="L558" t="str">
            <v>T</v>
          </cell>
          <cell r="M558" t="str">
            <v>8</v>
          </cell>
          <cell r="N558" t="b">
            <v>1</v>
          </cell>
          <cell r="S558" t="str">
            <v>Manufacture of rubber/ plastic/ other-metallic products</v>
          </cell>
        </row>
        <row r="559">
          <cell r="C559" t="str">
            <v>2678</v>
          </cell>
          <cell r="D559" t="str">
            <v>Stationery, Tablets, and Related Products</v>
          </cell>
          <cell r="E559" t="str">
            <v>T</v>
          </cell>
          <cell r="F559" t="str">
            <v>Y</v>
          </cell>
          <cell r="H559" t="str">
            <v>MA</v>
          </cell>
          <cell r="I559" t="str">
            <v>N</v>
          </cell>
          <cell r="J559" t="str">
            <v>3290X</v>
          </cell>
          <cell r="K559" t="str">
            <v>8</v>
          </cell>
          <cell r="L559" t="str">
            <v>T</v>
          </cell>
          <cell r="M559" t="str">
            <v>8</v>
          </cell>
          <cell r="N559" t="b">
            <v>1</v>
          </cell>
          <cell r="S559" t="str">
            <v>Manufacture of rubber/ plastic/ other-metallic products</v>
          </cell>
        </row>
        <row r="560">
          <cell r="C560" t="str">
            <v>3914</v>
          </cell>
          <cell r="D560" t="str">
            <v>Silverware, Plated Ware, and Stainless Steel Ware</v>
          </cell>
          <cell r="E560" t="str">
            <v>T</v>
          </cell>
          <cell r="F560" t="str">
            <v>Y</v>
          </cell>
          <cell r="H560" t="str">
            <v>MA</v>
          </cell>
          <cell r="I560" t="str">
            <v>N</v>
          </cell>
          <cell r="J560" t="str">
            <v>3290X</v>
          </cell>
          <cell r="K560" t="str">
            <v>8</v>
          </cell>
          <cell r="L560" t="str">
            <v>T</v>
          </cell>
          <cell r="M560" t="str">
            <v>8</v>
          </cell>
          <cell r="N560" t="b">
            <v>1</v>
          </cell>
          <cell r="S560" t="str">
            <v>Manufacture of rubber/ plastic/ other-metallic products</v>
          </cell>
        </row>
        <row r="561">
          <cell r="C561" t="str">
            <v>3944</v>
          </cell>
          <cell r="D561" t="str">
            <v>Games, Toys, and Children's Vehicles, Except Dolls and Bicycles</v>
          </cell>
          <cell r="E561" t="str">
            <v>T</v>
          </cell>
          <cell r="F561" t="str">
            <v>Y</v>
          </cell>
          <cell r="H561" t="str">
            <v>MA</v>
          </cell>
          <cell r="I561" t="str">
            <v>N</v>
          </cell>
          <cell r="J561" t="str">
            <v>3290X</v>
          </cell>
          <cell r="K561" t="str">
            <v>8</v>
          </cell>
          <cell r="L561" t="str">
            <v>T</v>
          </cell>
          <cell r="M561" t="str">
            <v>8</v>
          </cell>
          <cell r="N561" t="b">
            <v>1</v>
          </cell>
          <cell r="S561" t="str">
            <v>Manufacture of rubber/ plastic/ other-metallic products</v>
          </cell>
        </row>
        <row r="562">
          <cell r="C562" t="str">
            <v>3951</v>
          </cell>
          <cell r="D562" t="str">
            <v>Pens, Mechanical Pencils, and Parts</v>
          </cell>
          <cell r="E562" t="str">
            <v>T</v>
          </cell>
          <cell r="F562" t="str">
            <v>Y</v>
          </cell>
          <cell r="H562" t="str">
            <v>MA</v>
          </cell>
          <cell r="I562" t="str">
            <v>N</v>
          </cell>
          <cell r="J562" t="str">
            <v>3290X</v>
          </cell>
          <cell r="K562" t="str">
            <v>8</v>
          </cell>
          <cell r="L562" t="str">
            <v>T</v>
          </cell>
          <cell r="M562" t="str">
            <v>8</v>
          </cell>
          <cell r="N562" t="b">
            <v>1</v>
          </cell>
          <cell r="S562" t="str">
            <v>Manufacture of rubber/ plastic/ other-metallic products</v>
          </cell>
        </row>
        <row r="563">
          <cell r="C563" t="str">
            <v>3952</v>
          </cell>
          <cell r="D563" t="str">
            <v>Lead Pencils, Crayons, and Artists' Materials</v>
          </cell>
          <cell r="E563" t="str">
            <v>T</v>
          </cell>
          <cell r="F563" t="str">
            <v>Y</v>
          </cell>
          <cell r="H563" t="str">
            <v>MA</v>
          </cell>
          <cell r="I563" t="str">
            <v>N</v>
          </cell>
          <cell r="J563" t="str">
            <v>3290X</v>
          </cell>
          <cell r="K563" t="str">
            <v>8</v>
          </cell>
          <cell r="L563" t="str">
            <v>T</v>
          </cell>
          <cell r="M563" t="str">
            <v>8</v>
          </cell>
          <cell r="N563" t="b">
            <v>1</v>
          </cell>
          <cell r="S563" t="str">
            <v>Manufacture of rubber/ plastic/ other-metallic products</v>
          </cell>
        </row>
        <row r="564">
          <cell r="C564" t="str">
            <v>3965</v>
          </cell>
          <cell r="D564" t="str">
            <v>Fasteners, Buttons, Needles, and Pins</v>
          </cell>
          <cell r="E564" t="str">
            <v>T</v>
          </cell>
          <cell r="F564" t="str">
            <v>Y</v>
          </cell>
          <cell r="H564" t="str">
            <v>MA</v>
          </cell>
          <cell r="I564" t="str">
            <v>N</v>
          </cell>
          <cell r="J564" t="str">
            <v>3290X</v>
          </cell>
          <cell r="K564" t="str">
            <v>8</v>
          </cell>
          <cell r="L564" t="str">
            <v>T</v>
          </cell>
          <cell r="M564" t="str">
            <v>8</v>
          </cell>
          <cell r="N564" t="b">
            <v>1</v>
          </cell>
          <cell r="S564" t="str">
            <v>Manufacture of rubber/ plastic/ other-metallic products</v>
          </cell>
        </row>
        <row r="565">
          <cell r="C565" t="str">
            <v>3991</v>
          </cell>
          <cell r="D565" t="str">
            <v>Brooms and Brushes</v>
          </cell>
          <cell r="E565" t="str">
            <v>T</v>
          </cell>
          <cell r="F565" t="str">
            <v>Y</v>
          </cell>
          <cell r="H565" t="str">
            <v>MA</v>
          </cell>
          <cell r="I565" t="str">
            <v>N</v>
          </cell>
          <cell r="J565" t="str">
            <v>3290X</v>
          </cell>
          <cell r="K565" t="str">
            <v>8</v>
          </cell>
          <cell r="L565" t="str">
            <v>T</v>
          </cell>
          <cell r="M565" t="str">
            <v>8</v>
          </cell>
          <cell r="N565" t="b">
            <v>1</v>
          </cell>
          <cell r="S565" t="str">
            <v>Manufacture of rubber/ plastic/ other-metallic products</v>
          </cell>
        </row>
        <row r="566">
          <cell r="C566" t="str">
            <v>3993</v>
          </cell>
          <cell r="D566" t="str">
            <v>Signs and Advertising Specialties</v>
          </cell>
          <cell r="E566" t="str">
            <v>T</v>
          </cell>
          <cell r="F566" t="str">
            <v>Y</v>
          </cell>
          <cell r="H566" t="str">
            <v>MA</v>
          </cell>
          <cell r="I566" t="str">
            <v>N</v>
          </cell>
          <cell r="J566" t="str">
            <v>3290X</v>
          </cell>
          <cell r="K566" t="str">
            <v>8</v>
          </cell>
          <cell r="L566" t="str">
            <v>T</v>
          </cell>
          <cell r="M566" t="str">
            <v>8</v>
          </cell>
          <cell r="N566" t="b">
            <v>1</v>
          </cell>
          <cell r="S566" t="str">
            <v>Manufacture of rubber/ plastic/ other-metallic products</v>
          </cell>
        </row>
        <row r="567">
          <cell r="C567" t="str">
            <v>3995</v>
          </cell>
          <cell r="D567" t="str">
            <v>Burial Caskets</v>
          </cell>
          <cell r="E567" t="str">
            <v>T</v>
          </cell>
          <cell r="F567" t="str">
            <v>Y</v>
          </cell>
          <cell r="H567" t="str">
            <v>MA</v>
          </cell>
          <cell r="I567" t="str">
            <v>N</v>
          </cell>
          <cell r="J567" t="str">
            <v>3290X</v>
          </cell>
          <cell r="K567" t="str">
            <v>8</v>
          </cell>
          <cell r="L567" t="str">
            <v>T</v>
          </cell>
          <cell r="M567" t="str">
            <v>8</v>
          </cell>
          <cell r="N567" t="b">
            <v>1</v>
          </cell>
          <cell r="S567" t="str">
            <v>Manufacture of rubber/ plastic/ other-metallic products</v>
          </cell>
        </row>
        <row r="568">
          <cell r="C568" t="str">
            <v>3996</v>
          </cell>
          <cell r="D568" t="str">
            <v>Linoleum, Asphalted-Felt-Base, and Other Hard Surface Floor Coverings, N.E.C.</v>
          </cell>
          <cell r="E568" t="str">
            <v>T</v>
          </cell>
          <cell r="F568" t="str">
            <v>Y</v>
          </cell>
          <cell r="H568" t="str">
            <v>MA</v>
          </cell>
          <cell r="I568" t="str">
            <v>N</v>
          </cell>
          <cell r="J568" t="str">
            <v>3290X</v>
          </cell>
          <cell r="K568" t="str">
            <v>8</v>
          </cell>
          <cell r="L568" t="str">
            <v>T</v>
          </cell>
          <cell r="M568" t="str">
            <v>8</v>
          </cell>
          <cell r="N568" t="b">
            <v>1</v>
          </cell>
          <cell r="S568" t="str">
            <v>Manufacture of rubber/ plastic/ other-metallic products</v>
          </cell>
        </row>
        <row r="569">
          <cell r="C569" t="str">
            <v>3999</v>
          </cell>
          <cell r="D569" t="str">
            <v>Manufacturing Industries, N.E.C.</v>
          </cell>
          <cell r="E569" t="str">
            <v>T</v>
          </cell>
          <cell r="F569" t="str">
            <v>Y</v>
          </cell>
          <cell r="H569" t="str">
            <v>MA</v>
          </cell>
          <cell r="I569" t="str">
            <v>N</v>
          </cell>
          <cell r="J569" t="str">
            <v>3290X</v>
          </cell>
          <cell r="K569" t="str">
            <v>8</v>
          </cell>
          <cell r="L569" t="str">
            <v>T</v>
          </cell>
          <cell r="M569" t="str">
            <v>8</v>
          </cell>
          <cell r="N569" t="b">
            <v>1</v>
          </cell>
          <cell r="S569" t="str">
            <v>Manufacture of rubber/ plastic/ other-metallic products</v>
          </cell>
        </row>
        <row r="570">
          <cell r="C570" t="str">
            <v>3953</v>
          </cell>
          <cell r="D570" t="str">
            <v>Marking Devices</v>
          </cell>
          <cell r="E570" t="str">
            <v>T</v>
          </cell>
          <cell r="F570" t="str">
            <v>Y</v>
          </cell>
          <cell r="H570" t="str">
            <v>MA</v>
          </cell>
          <cell r="I570" t="str">
            <v>N</v>
          </cell>
          <cell r="J570" t="str">
            <v>3290X</v>
          </cell>
          <cell r="K570" t="str">
            <v>8</v>
          </cell>
          <cell r="L570" t="str">
            <v>T</v>
          </cell>
          <cell r="M570" t="str">
            <v>8</v>
          </cell>
          <cell r="N570" t="b">
            <v>1</v>
          </cell>
          <cell r="S570" t="str">
            <v>Manufacture of rubber/ plastic/ other-metallic products</v>
          </cell>
        </row>
        <row r="571">
          <cell r="C571" t="str">
            <v>2671</v>
          </cell>
          <cell r="D571" t="str">
            <v>Packaging Paper and Plastics Film, Coated and Laminated</v>
          </cell>
          <cell r="E571" t="str">
            <v>H</v>
          </cell>
          <cell r="F571" t="str">
            <v>Y</v>
          </cell>
          <cell r="H571" t="str">
            <v>MA</v>
          </cell>
          <cell r="I571" t="str">
            <v>N</v>
          </cell>
          <cell r="J571" t="str">
            <v>3290X</v>
          </cell>
          <cell r="K571" t="str">
            <v>8</v>
          </cell>
          <cell r="L571" t="str">
            <v>H</v>
          </cell>
          <cell r="M571" t="str">
            <v>0</v>
          </cell>
          <cell r="N571" t="b">
            <v>1</v>
          </cell>
          <cell r="P571" t="str">
            <v>Y</v>
          </cell>
          <cell r="S571" t="str">
            <v>Manufacture of rubber/ plastic/ other-metallic products</v>
          </cell>
        </row>
        <row r="572">
          <cell r="C572" t="str">
            <v>33XXX</v>
          </cell>
          <cell r="D572" t="str">
            <v>Repair and installation of machinery and equipment</v>
          </cell>
          <cell r="E572" t="str">
            <v>T</v>
          </cell>
          <cell r="F572" t="str">
            <v>Y</v>
          </cell>
          <cell r="H572" t="str">
            <v>MA</v>
          </cell>
          <cell r="I572" t="str">
            <v>N</v>
          </cell>
          <cell r="J572" t="str">
            <v>33XXX</v>
          </cell>
          <cell r="K572" t="str">
            <v>8</v>
          </cell>
          <cell r="L572" t="str">
            <v>T</v>
          </cell>
          <cell r="M572" t="str">
            <v>8</v>
          </cell>
          <cell r="N572" t="b">
            <v>1</v>
          </cell>
          <cell r="S572" t="str">
            <v>Manufacture of machinery/ motor vehicles/ other transport equipment</v>
          </cell>
        </row>
        <row r="573">
          <cell r="C573" t="str">
            <v>4911</v>
          </cell>
          <cell r="D573" t="str">
            <v>Electric Services</v>
          </cell>
          <cell r="E573" t="str">
            <v>N</v>
          </cell>
          <cell r="F573" t="str">
            <v>Y</v>
          </cell>
          <cell r="H573" t="str">
            <v>EL</v>
          </cell>
          <cell r="I573" t="str">
            <v>N</v>
          </cell>
          <cell r="J573" t="str">
            <v>3510X</v>
          </cell>
          <cell r="K573" t="str">
            <v>8</v>
          </cell>
          <cell r="L573" t="str">
            <v>N</v>
          </cell>
          <cell r="M573" t="str">
            <v>0</v>
          </cell>
          <cell r="N573" t="b">
            <v>1</v>
          </cell>
          <cell r="S573" t="str">
            <v>Utilities &amp; Waste Management</v>
          </cell>
        </row>
        <row r="574">
          <cell r="C574" t="str">
            <v>4939</v>
          </cell>
          <cell r="D574" t="str">
            <v>Combination Utilities, N.E.C.</v>
          </cell>
          <cell r="E574" t="str">
            <v>N</v>
          </cell>
          <cell r="F574" t="str">
            <v>Y</v>
          </cell>
          <cell r="H574" t="str">
            <v>EL</v>
          </cell>
          <cell r="I574" t="str">
            <v>N</v>
          </cell>
          <cell r="J574" t="str">
            <v>3510X</v>
          </cell>
          <cell r="K574" t="str">
            <v>8</v>
          </cell>
          <cell r="L574" t="str">
            <v>N</v>
          </cell>
          <cell r="M574" t="str">
            <v>0</v>
          </cell>
          <cell r="N574" t="b">
            <v>1</v>
          </cell>
          <cell r="S574" t="str">
            <v>Utilities &amp; Waste Management</v>
          </cell>
        </row>
        <row r="575">
          <cell r="C575" t="str">
            <v>4931</v>
          </cell>
          <cell r="D575" t="str">
            <v>Electric and Other Services Combined</v>
          </cell>
          <cell r="E575" t="str">
            <v>N</v>
          </cell>
          <cell r="F575" t="str">
            <v>Y</v>
          </cell>
          <cell r="H575" t="str">
            <v>EL</v>
          </cell>
          <cell r="I575" t="str">
            <v>N</v>
          </cell>
          <cell r="J575" t="str">
            <v>3510X</v>
          </cell>
          <cell r="K575" t="str">
            <v>8</v>
          </cell>
          <cell r="L575" t="str">
            <v>N</v>
          </cell>
          <cell r="M575" t="str">
            <v>0</v>
          </cell>
          <cell r="N575" t="b">
            <v>1</v>
          </cell>
          <cell r="S575" t="str">
            <v>Utilities &amp; Waste Management</v>
          </cell>
        </row>
        <row r="576">
          <cell r="C576" t="str">
            <v>3510X</v>
          </cell>
          <cell r="D576" t="str">
            <v>Other independent power producer</v>
          </cell>
          <cell r="E576" t="str">
            <v>N</v>
          </cell>
          <cell r="F576" t="str">
            <v>Y</v>
          </cell>
          <cell r="H576" t="str">
            <v>EL</v>
          </cell>
          <cell r="I576" t="str">
            <v>N</v>
          </cell>
          <cell r="J576" t="str">
            <v>3510X</v>
          </cell>
          <cell r="K576" t="str">
            <v>8</v>
          </cell>
          <cell r="L576" t="str">
            <v>N</v>
          </cell>
          <cell r="M576" t="str">
            <v>0</v>
          </cell>
          <cell r="N576" t="b">
            <v>1</v>
          </cell>
          <cell r="S576" t="str">
            <v>Utilities &amp; Waste Management</v>
          </cell>
        </row>
        <row r="577">
          <cell r="C577" t="str">
            <v>4922</v>
          </cell>
          <cell r="D577" t="str">
            <v>Natural Gas Transmission</v>
          </cell>
          <cell r="E577" t="str">
            <v>N</v>
          </cell>
          <cell r="F577" t="str">
            <v>Y</v>
          </cell>
          <cell r="H577" t="str">
            <v>EL</v>
          </cell>
          <cell r="I577" t="str">
            <v>N</v>
          </cell>
          <cell r="J577" t="str">
            <v>3520X</v>
          </cell>
          <cell r="K577" t="str">
            <v>8</v>
          </cell>
          <cell r="L577" t="str">
            <v>N</v>
          </cell>
          <cell r="M577" t="str">
            <v>0</v>
          </cell>
          <cell r="N577" t="b">
            <v>1</v>
          </cell>
          <cell r="S577" t="str">
            <v>Utilities &amp; Waste Management</v>
          </cell>
        </row>
        <row r="578">
          <cell r="C578" t="str">
            <v>4923</v>
          </cell>
          <cell r="D578" t="str">
            <v>Gas Transmission and Distribution</v>
          </cell>
          <cell r="E578" t="str">
            <v>N</v>
          </cell>
          <cell r="F578" t="str">
            <v>Y</v>
          </cell>
          <cell r="H578" t="str">
            <v>EL</v>
          </cell>
          <cell r="I578" t="str">
            <v>N</v>
          </cell>
          <cell r="J578" t="str">
            <v>3520X</v>
          </cell>
          <cell r="K578" t="str">
            <v>8</v>
          </cell>
          <cell r="L578" t="str">
            <v>N</v>
          </cell>
          <cell r="M578" t="str">
            <v>0</v>
          </cell>
          <cell r="N578" t="b">
            <v>1</v>
          </cell>
          <cell r="S578" t="str">
            <v>Utilities &amp; Waste Management</v>
          </cell>
        </row>
        <row r="579">
          <cell r="C579" t="str">
            <v>4924</v>
          </cell>
          <cell r="D579" t="str">
            <v>Natural Gas Distribution</v>
          </cell>
          <cell r="E579" t="str">
            <v>N</v>
          </cell>
          <cell r="F579" t="str">
            <v>Y</v>
          </cell>
          <cell r="H579" t="str">
            <v>EL</v>
          </cell>
          <cell r="I579" t="str">
            <v>N</v>
          </cell>
          <cell r="J579" t="str">
            <v>3520X</v>
          </cell>
          <cell r="K579" t="str">
            <v>8</v>
          </cell>
          <cell r="L579" t="str">
            <v>N</v>
          </cell>
          <cell r="M579" t="str">
            <v>0</v>
          </cell>
          <cell r="N579" t="b">
            <v>1</v>
          </cell>
          <cell r="S579" t="str">
            <v>Utilities &amp; Waste Management</v>
          </cell>
        </row>
        <row r="580">
          <cell r="C580" t="str">
            <v>4925</v>
          </cell>
          <cell r="D580" t="str">
            <v>Mixed, Manufactured, or Liquefied Petroleum Gas Production and/or Distribution</v>
          </cell>
          <cell r="E580" t="str">
            <v>N</v>
          </cell>
          <cell r="F580" t="str">
            <v>Y</v>
          </cell>
          <cell r="H580" t="str">
            <v>EL</v>
          </cell>
          <cell r="I580" t="str">
            <v>N</v>
          </cell>
          <cell r="J580" t="str">
            <v>3520X</v>
          </cell>
          <cell r="K580" t="str">
            <v>8</v>
          </cell>
          <cell r="L580" t="str">
            <v>N</v>
          </cell>
          <cell r="M580" t="str">
            <v>0</v>
          </cell>
          <cell r="N580" t="b">
            <v>1</v>
          </cell>
          <cell r="S580" t="str">
            <v>Utilities &amp; Waste Management</v>
          </cell>
        </row>
        <row r="581">
          <cell r="C581" t="str">
            <v>4932</v>
          </cell>
          <cell r="D581" t="str">
            <v>Gas and Other Services Combined</v>
          </cell>
          <cell r="E581" t="str">
            <v>N</v>
          </cell>
          <cell r="F581" t="str">
            <v>Y</v>
          </cell>
          <cell r="H581" t="str">
            <v>EL</v>
          </cell>
          <cell r="I581" t="str">
            <v>N</v>
          </cell>
          <cell r="J581" t="str">
            <v>3520X</v>
          </cell>
          <cell r="K581" t="str">
            <v>8</v>
          </cell>
          <cell r="L581" t="str">
            <v>N</v>
          </cell>
          <cell r="M581" t="str">
            <v>0</v>
          </cell>
          <cell r="N581" t="b">
            <v>1</v>
          </cell>
          <cell r="S581" t="str">
            <v>Utilities &amp; Waste Management</v>
          </cell>
        </row>
        <row r="582">
          <cell r="C582" t="str">
            <v>3530X</v>
          </cell>
          <cell r="D582" t="str">
            <v>Steam and air conditioning supply</v>
          </cell>
          <cell r="E582" t="str">
            <v>N</v>
          </cell>
          <cell r="F582" t="str">
            <v>Y</v>
          </cell>
          <cell r="H582" t="str">
            <v>EL</v>
          </cell>
          <cell r="I582" t="str">
            <v>N</v>
          </cell>
          <cell r="J582" t="str">
            <v>3530X</v>
          </cell>
          <cell r="K582" t="str">
            <v>8</v>
          </cell>
          <cell r="L582" t="str">
            <v>N</v>
          </cell>
          <cell r="M582" t="str">
            <v>0</v>
          </cell>
          <cell r="N582" t="b">
            <v>1</v>
          </cell>
          <cell r="S582" t="str">
            <v>Utilities &amp; Waste Management</v>
          </cell>
        </row>
        <row r="583">
          <cell r="C583" t="str">
            <v>4941</v>
          </cell>
          <cell r="D583" t="str">
            <v>Water Supply</v>
          </cell>
          <cell r="E583" t="str">
            <v>N</v>
          </cell>
          <cell r="F583" t="str">
            <v>Y</v>
          </cell>
          <cell r="H583" t="str">
            <v>EL</v>
          </cell>
          <cell r="I583" t="str">
            <v>N</v>
          </cell>
          <cell r="J583" t="str">
            <v>360XX</v>
          </cell>
          <cell r="K583" t="str">
            <v>8</v>
          </cell>
          <cell r="L583" t="str">
            <v>N</v>
          </cell>
          <cell r="M583" t="str">
            <v>0</v>
          </cell>
          <cell r="N583" t="b">
            <v>1</v>
          </cell>
          <cell r="S583" t="str">
            <v>Utilities &amp; Waste Management</v>
          </cell>
        </row>
        <row r="584">
          <cell r="C584" t="str">
            <v>4961</v>
          </cell>
          <cell r="D584" t="str">
            <v>Steam and Air-Conditioning Supply</v>
          </cell>
          <cell r="E584" t="str">
            <v>N</v>
          </cell>
          <cell r="F584" t="str">
            <v>Y</v>
          </cell>
          <cell r="H584" t="str">
            <v>EL</v>
          </cell>
          <cell r="I584" t="str">
            <v>N</v>
          </cell>
          <cell r="J584" t="str">
            <v>360XX</v>
          </cell>
          <cell r="K584" t="str">
            <v>8</v>
          </cell>
          <cell r="L584" t="str">
            <v>N</v>
          </cell>
          <cell r="M584" t="str">
            <v>0</v>
          </cell>
          <cell r="N584" t="b">
            <v>1</v>
          </cell>
          <cell r="S584" t="str">
            <v>Utilities &amp; Waste Management</v>
          </cell>
        </row>
        <row r="585">
          <cell r="C585" t="str">
            <v>9511</v>
          </cell>
          <cell r="D585" t="str">
            <v>Air, water, &amp;  solid waste management</v>
          </cell>
          <cell r="E585" t="str">
            <v>A</v>
          </cell>
          <cell r="F585" t="str">
            <v>Y</v>
          </cell>
          <cell r="G585" t="str">
            <v>N</v>
          </cell>
          <cell r="H585" t="str">
            <v>ED</v>
          </cell>
          <cell r="I585" t="str">
            <v>N</v>
          </cell>
          <cell r="J585" t="str">
            <v>3700X</v>
          </cell>
          <cell r="K585" t="str">
            <v>0</v>
          </cell>
          <cell r="L585" t="str">
            <v>A</v>
          </cell>
          <cell r="M585" t="str">
            <v>0</v>
          </cell>
          <cell r="N585" t="b">
            <v>1</v>
          </cell>
          <cell r="S585" t="str">
            <v>Utilities &amp; Waste Management</v>
          </cell>
        </row>
        <row r="586">
          <cell r="C586" t="str">
            <v>38112</v>
          </cell>
          <cell r="D586" t="str">
            <v>Collection of recyclable materials</v>
          </cell>
          <cell r="E586" t="str">
            <v>A</v>
          </cell>
          <cell r="F586" t="str">
            <v>Y</v>
          </cell>
          <cell r="G586" t="str">
            <v>N</v>
          </cell>
          <cell r="H586" t="str">
            <v>ED</v>
          </cell>
          <cell r="I586" t="str">
            <v>N</v>
          </cell>
          <cell r="J586" t="str">
            <v>38112</v>
          </cell>
          <cell r="K586" t="str">
            <v>0</v>
          </cell>
          <cell r="L586" t="str">
            <v>A</v>
          </cell>
          <cell r="M586" t="str">
            <v>0</v>
          </cell>
          <cell r="N586" t="b">
            <v>1</v>
          </cell>
          <cell r="S586" t="str">
            <v>Utilities &amp; Waste Management</v>
          </cell>
        </row>
        <row r="587">
          <cell r="C587" t="str">
            <v>38199</v>
          </cell>
          <cell r="D587" t="str">
            <v>Other waste collection</v>
          </cell>
          <cell r="E587" t="str">
            <v>A</v>
          </cell>
          <cell r="F587" t="str">
            <v>Y</v>
          </cell>
          <cell r="G587" t="str">
            <v>N</v>
          </cell>
          <cell r="H587" t="str">
            <v>ED</v>
          </cell>
          <cell r="I587" t="str">
            <v>N</v>
          </cell>
          <cell r="J587" t="str">
            <v>38199</v>
          </cell>
          <cell r="K587" t="str">
            <v>0</v>
          </cell>
          <cell r="L587" t="str">
            <v>A</v>
          </cell>
          <cell r="M587" t="str">
            <v>0</v>
          </cell>
          <cell r="N587" t="b">
            <v>1</v>
          </cell>
          <cell r="S587" t="str">
            <v>Utilities &amp; Waste Management</v>
          </cell>
        </row>
        <row r="588">
          <cell r="C588" t="str">
            <v>382XX</v>
          </cell>
          <cell r="D588" t="str">
            <v>Waste treatment and disposal</v>
          </cell>
          <cell r="E588" t="str">
            <v>A</v>
          </cell>
          <cell r="F588" t="str">
            <v>Y</v>
          </cell>
          <cell r="G588" t="str">
            <v>N</v>
          </cell>
          <cell r="H588" t="str">
            <v>ED</v>
          </cell>
          <cell r="I588" t="str">
            <v>N</v>
          </cell>
          <cell r="J588" t="str">
            <v>382XX</v>
          </cell>
          <cell r="K588" t="str">
            <v>0</v>
          </cell>
          <cell r="L588" t="str">
            <v>A</v>
          </cell>
          <cell r="M588" t="str">
            <v>0</v>
          </cell>
          <cell r="N588" t="b">
            <v>1</v>
          </cell>
          <cell r="S588" t="str">
            <v>Utilities &amp; Waste Management</v>
          </cell>
        </row>
        <row r="589">
          <cell r="C589" t="str">
            <v>39520</v>
          </cell>
          <cell r="D589" t="str">
            <v>Recycling of tin (MRS)</v>
          </cell>
          <cell r="E589" t="str">
            <v>A</v>
          </cell>
          <cell r="F589" t="str">
            <v>Y</v>
          </cell>
          <cell r="G589" t="str">
            <v>N</v>
          </cell>
          <cell r="H589" t="str">
            <v>ED</v>
          </cell>
          <cell r="I589" t="str">
            <v>N</v>
          </cell>
          <cell r="J589" t="str">
            <v>3830X</v>
          </cell>
          <cell r="K589" t="str">
            <v>0</v>
          </cell>
          <cell r="L589" t="str">
            <v>A</v>
          </cell>
          <cell r="M589" t="str">
            <v>0</v>
          </cell>
          <cell r="N589" t="b">
            <v>1</v>
          </cell>
          <cell r="S589" t="str">
            <v>Utilities &amp; Waste Management</v>
          </cell>
        </row>
        <row r="590">
          <cell r="C590" t="str">
            <v>39530</v>
          </cell>
          <cell r="D590" t="str">
            <v>Recycling of other metal waste and scrap (MRS)</v>
          </cell>
          <cell r="E590" t="str">
            <v>A</v>
          </cell>
          <cell r="F590" t="str">
            <v>Y</v>
          </cell>
          <cell r="G590" t="str">
            <v>N</v>
          </cell>
          <cell r="H590" t="str">
            <v>ED</v>
          </cell>
          <cell r="I590" t="str">
            <v>N</v>
          </cell>
          <cell r="J590" t="str">
            <v>3830X</v>
          </cell>
          <cell r="K590" t="str">
            <v>0</v>
          </cell>
          <cell r="L590" t="str">
            <v>A</v>
          </cell>
          <cell r="M590" t="str">
            <v>0</v>
          </cell>
          <cell r="N590" t="b">
            <v>1</v>
          </cell>
          <cell r="S590" t="str">
            <v>Utilities &amp; Waste Management</v>
          </cell>
        </row>
        <row r="591">
          <cell r="C591" t="str">
            <v>39550</v>
          </cell>
          <cell r="D591" t="str">
            <v>Recycling of textile fiber(MRS)</v>
          </cell>
          <cell r="E591" t="str">
            <v>A</v>
          </cell>
          <cell r="F591" t="str">
            <v>Y</v>
          </cell>
          <cell r="G591" t="str">
            <v>N</v>
          </cell>
          <cell r="H591" t="str">
            <v>ED</v>
          </cell>
          <cell r="I591" t="str">
            <v>N</v>
          </cell>
          <cell r="J591" t="str">
            <v>3830X</v>
          </cell>
          <cell r="K591" t="str">
            <v>0</v>
          </cell>
          <cell r="L591" t="str">
            <v>A</v>
          </cell>
          <cell r="M591" t="str">
            <v>0</v>
          </cell>
          <cell r="N591" t="b">
            <v>1</v>
          </cell>
          <cell r="S591" t="str">
            <v>Utilities &amp; Waste Management</v>
          </cell>
        </row>
        <row r="592">
          <cell r="C592" t="str">
            <v>39560</v>
          </cell>
          <cell r="D592" t="str">
            <v>Recycling of rubber (MRS)</v>
          </cell>
          <cell r="E592" t="str">
            <v>A</v>
          </cell>
          <cell r="F592" t="str">
            <v>Y</v>
          </cell>
          <cell r="G592" t="str">
            <v>N</v>
          </cell>
          <cell r="H592" t="str">
            <v>ED</v>
          </cell>
          <cell r="I592" t="str">
            <v>N</v>
          </cell>
          <cell r="J592" t="str">
            <v>3830X</v>
          </cell>
          <cell r="K592" t="str">
            <v>0</v>
          </cell>
          <cell r="L592" t="str">
            <v>A</v>
          </cell>
          <cell r="M592" t="str">
            <v>0</v>
          </cell>
          <cell r="N592" t="b">
            <v>1</v>
          </cell>
          <cell r="S592" t="str">
            <v>Utilities &amp; Waste Management</v>
          </cell>
        </row>
        <row r="593">
          <cell r="C593" t="str">
            <v>39570</v>
          </cell>
          <cell r="D593" t="str">
            <v>Recycling of other non-metal waste and scrap (MRS)</v>
          </cell>
          <cell r="E593" t="str">
            <v>A</v>
          </cell>
          <cell r="F593" t="str">
            <v>Y</v>
          </cell>
          <cell r="G593" t="str">
            <v>N</v>
          </cell>
          <cell r="H593" t="str">
            <v>ED</v>
          </cell>
          <cell r="I593" t="str">
            <v>N</v>
          </cell>
          <cell r="J593" t="str">
            <v>3830X</v>
          </cell>
          <cell r="K593" t="str">
            <v>0</v>
          </cell>
          <cell r="L593" t="str">
            <v>A</v>
          </cell>
          <cell r="M593" t="str">
            <v>0</v>
          </cell>
          <cell r="N593" t="b">
            <v>1</v>
          </cell>
          <cell r="S593" t="str">
            <v>Utilities &amp; Waste Management</v>
          </cell>
        </row>
        <row r="594">
          <cell r="C594" t="str">
            <v>39000</v>
          </cell>
          <cell r="D594" t="str">
            <v>Remediation activities and other waste management services</v>
          </cell>
          <cell r="E594" t="str">
            <v>A</v>
          </cell>
          <cell r="F594" t="str">
            <v>Y</v>
          </cell>
          <cell r="G594" t="str">
            <v>N</v>
          </cell>
          <cell r="H594" t="str">
            <v>ED</v>
          </cell>
          <cell r="I594" t="str">
            <v>N</v>
          </cell>
          <cell r="J594" t="str">
            <v>39000</v>
          </cell>
          <cell r="K594" t="str">
            <v>0</v>
          </cell>
          <cell r="L594" t="str">
            <v>A</v>
          </cell>
          <cell r="M594" t="str">
            <v>0</v>
          </cell>
          <cell r="N594" t="b">
            <v>1</v>
          </cell>
          <cell r="S594" t="str">
            <v>Utilities &amp; Waste Management</v>
          </cell>
        </row>
        <row r="595">
          <cell r="C595" t="str">
            <v>1521</v>
          </cell>
          <cell r="D595" t="str">
            <v>General Contractors -- Single-Family Houses</v>
          </cell>
          <cell r="E595" t="str">
            <v>H</v>
          </cell>
          <cell r="F595" t="str">
            <v>Y</v>
          </cell>
          <cell r="H595" t="str">
            <v>CO</v>
          </cell>
          <cell r="I595" t="str">
            <v>H</v>
          </cell>
          <cell r="J595" t="str">
            <v>41001</v>
          </cell>
          <cell r="K595" t="str">
            <v>10</v>
          </cell>
          <cell r="L595" t="str">
            <v>H</v>
          </cell>
          <cell r="M595" t="str">
            <v>0</v>
          </cell>
          <cell r="N595" t="b">
            <v>1</v>
          </cell>
          <cell r="P595" t="str">
            <v>Y</v>
          </cell>
          <cell r="S595" t="str">
            <v>Construction</v>
          </cell>
        </row>
        <row r="596">
          <cell r="C596" t="str">
            <v>1522</v>
          </cell>
          <cell r="D596" t="str">
            <v>General Contractors -- Residential Buildings, Other Than Single-Family</v>
          </cell>
          <cell r="E596" t="str">
            <v>H</v>
          </cell>
          <cell r="F596" t="str">
            <v>Y</v>
          </cell>
          <cell r="H596" t="str">
            <v>CO</v>
          </cell>
          <cell r="I596" t="str">
            <v>N</v>
          </cell>
          <cell r="J596" t="str">
            <v>41001</v>
          </cell>
          <cell r="K596" t="str">
            <v>10</v>
          </cell>
          <cell r="L596" t="str">
            <v>H</v>
          </cell>
          <cell r="M596" t="str">
            <v>0</v>
          </cell>
          <cell r="N596" t="b">
            <v>1</v>
          </cell>
          <cell r="P596" t="str">
            <v>Y</v>
          </cell>
          <cell r="S596" t="str">
            <v>Construction</v>
          </cell>
        </row>
        <row r="597">
          <cell r="C597" t="str">
            <v>50062</v>
          </cell>
          <cell r="D597" t="str">
            <v>Construction of apartments</v>
          </cell>
          <cell r="E597" t="str">
            <v>H</v>
          </cell>
          <cell r="F597" t="str">
            <v>Y</v>
          </cell>
          <cell r="H597" t="str">
            <v>CO</v>
          </cell>
          <cell r="I597" t="str">
            <v>N</v>
          </cell>
          <cell r="J597" t="str">
            <v>41001</v>
          </cell>
          <cell r="K597" t="str">
            <v>10</v>
          </cell>
          <cell r="L597" t="str">
            <v>H</v>
          </cell>
          <cell r="M597" t="str">
            <v>0</v>
          </cell>
          <cell r="N597" t="b">
            <v>1</v>
          </cell>
          <cell r="S597" t="str">
            <v>Construction</v>
          </cell>
        </row>
        <row r="598">
          <cell r="C598" t="str">
            <v>50063</v>
          </cell>
          <cell r="D598" t="str">
            <v>Consturction of condo</v>
          </cell>
          <cell r="E598" t="str">
            <v>H</v>
          </cell>
          <cell r="F598" t="str">
            <v>Y</v>
          </cell>
          <cell r="H598" t="str">
            <v>CO</v>
          </cell>
          <cell r="I598" t="str">
            <v>N</v>
          </cell>
          <cell r="J598" t="str">
            <v>41001</v>
          </cell>
          <cell r="K598" t="str">
            <v>10</v>
          </cell>
          <cell r="L598" t="str">
            <v>H</v>
          </cell>
          <cell r="M598" t="str">
            <v>0</v>
          </cell>
          <cell r="N598" t="b">
            <v>1</v>
          </cell>
          <cell r="S598" t="str">
            <v>Construction</v>
          </cell>
        </row>
        <row r="599">
          <cell r="C599" t="str">
            <v>50064</v>
          </cell>
          <cell r="D599" t="str">
            <v>Construction - others residential</v>
          </cell>
          <cell r="E599" t="str">
            <v>H</v>
          </cell>
          <cell r="F599" t="str">
            <v>Y</v>
          </cell>
          <cell r="H599" t="str">
            <v>CO</v>
          </cell>
          <cell r="I599" t="str">
            <v>N</v>
          </cell>
          <cell r="J599" t="str">
            <v>41001</v>
          </cell>
          <cell r="K599" t="str">
            <v>10</v>
          </cell>
          <cell r="L599" t="str">
            <v>H</v>
          </cell>
          <cell r="M599" t="str">
            <v>0</v>
          </cell>
          <cell r="N599" t="b">
            <v>1</v>
          </cell>
          <cell r="R599" t="str">
            <v>what is the BNM internal bank sector code maintained in crest?</v>
          </cell>
          <cell r="S599" t="str">
            <v>Construction</v>
          </cell>
        </row>
        <row r="600">
          <cell r="C600" t="str">
            <v>50065</v>
          </cell>
          <cell r="D600" t="str">
            <v>Real Estate - Residential</v>
          </cell>
          <cell r="E600" t="str">
            <v>H</v>
          </cell>
          <cell r="F600" t="str">
            <v>Y</v>
          </cell>
          <cell r="H600" t="str">
            <v>CO</v>
          </cell>
          <cell r="I600" t="str">
            <v>N</v>
          </cell>
          <cell r="J600" t="str">
            <v>41001</v>
          </cell>
          <cell r="K600" t="str">
            <v>10</v>
          </cell>
          <cell r="L600" t="str">
            <v>H</v>
          </cell>
          <cell r="M600" t="str">
            <v>0</v>
          </cell>
          <cell r="N600" t="b">
            <v>1</v>
          </cell>
          <cell r="R600" t="str">
            <v>what is the BNM internal bank sector code maintained in crest?</v>
          </cell>
          <cell r="S600" t="str">
            <v>Construction</v>
          </cell>
        </row>
        <row r="601">
          <cell r="C601" t="str">
            <v>50066</v>
          </cell>
          <cell r="D601" t="str">
            <v>Real Estate - Apartments</v>
          </cell>
          <cell r="E601" t="str">
            <v>H</v>
          </cell>
          <cell r="F601" t="str">
            <v>Y</v>
          </cell>
          <cell r="H601" t="str">
            <v>CO</v>
          </cell>
          <cell r="I601" t="str">
            <v>N</v>
          </cell>
          <cell r="J601" t="str">
            <v>41001</v>
          </cell>
          <cell r="K601" t="str">
            <v>10</v>
          </cell>
          <cell r="L601" t="str">
            <v>H</v>
          </cell>
          <cell r="M601" t="str">
            <v>0</v>
          </cell>
          <cell r="N601" t="b">
            <v>1</v>
          </cell>
          <cell r="S601" t="str">
            <v>Construction</v>
          </cell>
        </row>
        <row r="602">
          <cell r="C602" t="str">
            <v>50067</v>
          </cell>
          <cell r="D602" t="str">
            <v>Real Estate - Condominiums</v>
          </cell>
          <cell r="E602" t="str">
            <v>H</v>
          </cell>
          <cell r="F602" t="str">
            <v>Y</v>
          </cell>
          <cell r="H602" t="str">
            <v>CO</v>
          </cell>
          <cell r="I602" t="str">
            <v>N</v>
          </cell>
          <cell r="J602" t="str">
            <v>41001</v>
          </cell>
          <cell r="K602" t="str">
            <v>10</v>
          </cell>
          <cell r="L602" t="str">
            <v>H</v>
          </cell>
          <cell r="M602" t="str">
            <v>0</v>
          </cell>
          <cell r="N602" t="b">
            <v>1</v>
          </cell>
          <cell r="S602" t="str">
            <v>Construction</v>
          </cell>
        </row>
        <row r="603">
          <cell r="C603" t="str">
            <v>50068</v>
          </cell>
          <cell r="D603" t="str">
            <v>Real Estate - others residential</v>
          </cell>
          <cell r="E603" t="str">
            <v>H</v>
          </cell>
          <cell r="F603" t="str">
            <v>Y</v>
          </cell>
          <cell r="H603" t="str">
            <v>CO</v>
          </cell>
          <cell r="I603" t="str">
            <v>N</v>
          </cell>
          <cell r="J603" t="str">
            <v>41001</v>
          </cell>
          <cell r="K603" t="str">
            <v>10</v>
          </cell>
          <cell r="L603" t="str">
            <v>H</v>
          </cell>
          <cell r="M603" t="str">
            <v>0</v>
          </cell>
          <cell r="N603" t="b">
            <v>1</v>
          </cell>
          <cell r="R603" t="str">
            <v>what is the BNM internal bank sector code maintained in crest?</v>
          </cell>
          <cell r="S603" t="str">
            <v>Construction</v>
          </cell>
        </row>
        <row r="604">
          <cell r="C604" t="str">
            <v>1541</v>
          </cell>
          <cell r="D604" t="str">
            <v>General Contractors -- Industrial Buildings and Warehouses</v>
          </cell>
          <cell r="E604" t="str">
            <v>H</v>
          </cell>
          <cell r="F604" t="str">
            <v>Y</v>
          </cell>
          <cell r="H604" t="str">
            <v>CO</v>
          </cell>
          <cell r="I604" t="str">
            <v>N</v>
          </cell>
          <cell r="J604" t="str">
            <v>41002</v>
          </cell>
          <cell r="K604" t="str">
            <v>10</v>
          </cell>
          <cell r="L604" t="str">
            <v>H</v>
          </cell>
          <cell r="M604" t="str">
            <v>0</v>
          </cell>
          <cell r="N604" t="b">
            <v>1</v>
          </cell>
          <cell r="P604" t="str">
            <v>Y</v>
          </cell>
          <cell r="S604" t="str">
            <v>Construction</v>
          </cell>
        </row>
        <row r="605">
          <cell r="C605" t="str">
            <v>50051</v>
          </cell>
          <cell r="D605" t="str">
            <v>Construction of hotels</v>
          </cell>
          <cell r="E605" t="str">
            <v>H</v>
          </cell>
          <cell r="F605" t="str">
            <v>Y</v>
          </cell>
          <cell r="H605" t="str">
            <v>CO</v>
          </cell>
          <cell r="I605" t="str">
            <v>N</v>
          </cell>
          <cell r="J605" t="str">
            <v>41002</v>
          </cell>
          <cell r="K605" t="str">
            <v>10</v>
          </cell>
          <cell r="L605" t="str">
            <v>H</v>
          </cell>
          <cell r="M605" t="str">
            <v>0</v>
          </cell>
          <cell r="N605" t="b">
            <v>1</v>
          </cell>
          <cell r="S605" t="str">
            <v>Construction</v>
          </cell>
        </row>
        <row r="606">
          <cell r="C606" t="str">
            <v>50052</v>
          </cell>
          <cell r="D606" t="str">
            <v>Construction of shopping complex</v>
          </cell>
          <cell r="E606" t="str">
            <v>H</v>
          </cell>
          <cell r="F606" t="str">
            <v>Y</v>
          </cell>
          <cell r="H606" t="str">
            <v>CO</v>
          </cell>
          <cell r="I606" t="str">
            <v>N</v>
          </cell>
          <cell r="J606" t="str">
            <v>41002</v>
          </cell>
          <cell r="K606" t="str">
            <v>10</v>
          </cell>
          <cell r="L606" t="str">
            <v>H</v>
          </cell>
          <cell r="M606" t="str">
            <v>0</v>
          </cell>
          <cell r="N606" t="b">
            <v>1</v>
          </cell>
          <cell r="S606" t="str">
            <v>Construction</v>
          </cell>
        </row>
        <row r="607">
          <cell r="C607" t="str">
            <v>50053</v>
          </cell>
          <cell r="D607" t="str">
            <v>Construction of office building</v>
          </cell>
          <cell r="E607" t="str">
            <v>H</v>
          </cell>
          <cell r="F607" t="str">
            <v>Y</v>
          </cell>
          <cell r="H607" t="str">
            <v>CO</v>
          </cell>
          <cell r="I607" t="str">
            <v>N</v>
          </cell>
          <cell r="J607" t="str">
            <v>41002</v>
          </cell>
          <cell r="K607" t="str">
            <v>10</v>
          </cell>
          <cell r="L607" t="str">
            <v>H</v>
          </cell>
          <cell r="M607" t="str">
            <v>0</v>
          </cell>
          <cell r="N607" t="b">
            <v>1</v>
          </cell>
          <cell r="S607" t="str">
            <v>Construction</v>
          </cell>
        </row>
        <row r="608">
          <cell r="C608" t="str">
            <v>50059</v>
          </cell>
          <cell r="D608" t="str">
            <v>Construction of other commercial complex</v>
          </cell>
          <cell r="E608" t="str">
            <v>H</v>
          </cell>
          <cell r="F608" t="str">
            <v>Y</v>
          </cell>
          <cell r="H608" t="str">
            <v>CO</v>
          </cell>
          <cell r="I608" t="str">
            <v>N</v>
          </cell>
          <cell r="J608" t="str">
            <v>41002</v>
          </cell>
          <cell r="K608" t="str">
            <v>10</v>
          </cell>
          <cell r="L608" t="str">
            <v>H</v>
          </cell>
          <cell r="M608" t="str">
            <v>0</v>
          </cell>
          <cell r="N608" t="b">
            <v>1</v>
          </cell>
          <cell r="S608" t="str">
            <v>Construction</v>
          </cell>
        </row>
        <row r="609">
          <cell r="C609" t="str">
            <v>41003</v>
          </cell>
          <cell r="D609" t="str">
            <v>Assembly and erection of prefabricated constructions on the site</v>
          </cell>
          <cell r="E609" t="str">
            <v>H</v>
          </cell>
          <cell r="F609" t="str">
            <v>Y</v>
          </cell>
          <cell r="H609" t="str">
            <v>CO</v>
          </cell>
          <cell r="I609" t="str">
            <v>N</v>
          </cell>
          <cell r="J609" t="str">
            <v>41003</v>
          </cell>
          <cell r="K609" t="str">
            <v>10</v>
          </cell>
          <cell r="L609" t="str">
            <v>H</v>
          </cell>
          <cell r="M609" t="str">
            <v>0</v>
          </cell>
          <cell r="N609" t="b">
            <v>1</v>
          </cell>
          <cell r="S609" t="str">
            <v>Construction</v>
          </cell>
        </row>
        <row r="610">
          <cell r="C610" t="str">
            <v>41009</v>
          </cell>
          <cell r="D610" t="str">
            <v>Construction of buildings n.e.c.</v>
          </cell>
          <cell r="E610" t="str">
            <v>H</v>
          </cell>
          <cell r="F610" t="str">
            <v>Y</v>
          </cell>
          <cell r="H610" t="str">
            <v>CO</v>
          </cell>
          <cell r="I610" t="str">
            <v>N</v>
          </cell>
          <cell r="J610" t="str">
            <v>41009</v>
          </cell>
          <cell r="K610" t="str">
            <v>10</v>
          </cell>
          <cell r="L610" t="str">
            <v>H</v>
          </cell>
          <cell r="M610" t="str">
            <v>0</v>
          </cell>
          <cell r="N610" t="b">
            <v>1</v>
          </cell>
          <cell r="S610" t="str">
            <v>Construction</v>
          </cell>
        </row>
        <row r="611">
          <cell r="C611" t="str">
            <v>1611</v>
          </cell>
          <cell r="D611" t="str">
            <v>Highway and Street Construction, Except Elevated Highways</v>
          </cell>
          <cell r="E611" t="str">
            <v>H</v>
          </cell>
          <cell r="F611" t="str">
            <v>Y</v>
          </cell>
          <cell r="H611" t="str">
            <v>CO</v>
          </cell>
          <cell r="I611" t="str">
            <v>N</v>
          </cell>
          <cell r="J611" t="str">
            <v>4210X</v>
          </cell>
          <cell r="K611" t="str">
            <v>10</v>
          </cell>
          <cell r="L611" t="str">
            <v>H</v>
          </cell>
          <cell r="M611" t="str">
            <v>0</v>
          </cell>
          <cell r="N611" t="b">
            <v>1</v>
          </cell>
          <cell r="P611" t="str">
            <v>Y</v>
          </cell>
          <cell r="S611" t="str">
            <v>Construction</v>
          </cell>
        </row>
        <row r="612">
          <cell r="C612" t="str">
            <v>4210X</v>
          </cell>
          <cell r="D612" t="str">
            <v>Construction of railways/LRT</v>
          </cell>
          <cell r="E612" t="str">
            <v>H</v>
          </cell>
          <cell r="F612" t="str">
            <v>Y</v>
          </cell>
          <cell r="H612" t="str">
            <v>CO</v>
          </cell>
          <cell r="I612" t="str">
            <v>N</v>
          </cell>
          <cell r="J612" t="str">
            <v>4210X</v>
          </cell>
          <cell r="K612" t="str">
            <v>10</v>
          </cell>
          <cell r="L612" t="str">
            <v>H</v>
          </cell>
          <cell r="M612" t="str">
            <v>0</v>
          </cell>
          <cell r="N612" t="b">
            <v>1</v>
          </cell>
          <cell r="S612" t="str">
            <v>Construction</v>
          </cell>
        </row>
        <row r="613">
          <cell r="C613" t="str">
            <v>1622</v>
          </cell>
          <cell r="D613" t="str">
            <v>Bridge, Tunnel, and Elevated Highway Construction</v>
          </cell>
          <cell r="E613" t="str">
            <v>H</v>
          </cell>
          <cell r="F613" t="str">
            <v>Y</v>
          </cell>
          <cell r="H613" t="str">
            <v>CO</v>
          </cell>
          <cell r="I613" t="str">
            <v>N</v>
          </cell>
          <cell r="J613" t="str">
            <v>4210X</v>
          </cell>
          <cell r="K613" t="str">
            <v>10</v>
          </cell>
          <cell r="L613" t="str">
            <v>H</v>
          </cell>
          <cell r="M613" t="str">
            <v>0</v>
          </cell>
          <cell r="N613" t="b">
            <v>1</v>
          </cell>
          <cell r="P613" t="str">
            <v>Y</v>
          </cell>
          <cell r="S613" t="str">
            <v>Construction</v>
          </cell>
        </row>
        <row r="614">
          <cell r="C614" t="str">
            <v>4211</v>
          </cell>
          <cell r="D614" t="str">
            <v>Construction of others infrastructure</v>
          </cell>
          <cell r="E614" t="str">
            <v>H</v>
          </cell>
          <cell r="F614" t="str">
            <v>Y</v>
          </cell>
          <cell r="H614" t="str">
            <v>CO</v>
          </cell>
          <cell r="J614" t="str">
            <v>4210X</v>
          </cell>
          <cell r="K614" t="str">
            <v>10</v>
          </cell>
          <cell r="L614" t="str">
            <v>H</v>
          </cell>
          <cell r="M614" t="str">
            <v>0</v>
          </cell>
          <cell r="N614" t="b">
            <v>1</v>
          </cell>
          <cell r="S614" t="str">
            <v>Construction</v>
          </cell>
        </row>
        <row r="615">
          <cell r="C615" t="str">
            <v>4220X</v>
          </cell>
          <cell r="D615" t="str">
            <v>Construction of power station</v>
          </cell>
          <cell r="E615" t="str">
            <v>H</v>
          </cell>
          <cell r="F615" t="str">
            <v>Y</v>
          </cell>
          <cell r="H615" t="str">
            <v>CO</v>
          </cell>
          <cell r="J615" t="str">
            <v>4220X</v>
          </cell>
          <cell r="K615" t="str">
            <v>10</v>
          </cell>
          <cell r="L615" t="str">
            <v>H</v>
          </cell>
          <cell r="M615" t="str">
            <v>0</v>
          </cell>
          <cell r="N615" t="b">
            <v>1</v>
          </cell>
          <cell r="S615" t="str">
            <v>Construction</v>
          </cell>
        </row>
        <row r="616">
          <cell r="C616" t="str">
            <v>4952</v>
          </cell>
          <cell r="D616" t="str">
            <v>Sewerage Systems</v>
          </cell>
          <cell r="E616" t="str">
            <v>H</v>
          </cell>
          <cell r="F616" t="str">
            <v>Y</v>
          </cell>
          <cell r="H616" t="str">
            <v>CO</v>
          </cell>
          <cell r="I616" t="str">
            <v>N</v>
          </cell>
          <cell r="J616" t="str">
            <v>4220X</v>
          </cell>
          <cell r="K616" t="str">
            <v>10</v>
          </cell>
          <cell r="L616" t="str">
            <v>H</v>
          </cell>
          <cell r="M616" t="str">
            <v>0</v>
          </cell>
          <cell r="N616" t="b">
            <v>1</v>
          </cell>
          <cell r="P616" t="str">
            <v>Y</v>
          </cell>
          <cell r="S616" t="str">
            <v>Construction</v>
          </cell>
        </row>
        <row r="617">
          <cell r="C617" t="str">
            <v>4953</v>
          </cell>
          <cell r="D617" t="str">
            <v>Refuse Systems</v>
          </cell>
          <cell r="E617" t="str">
            <v>H</v>
          </cell>
          <cell r="F617" t="str">
            <v>Y</v>
          </cell>
          <cell r="H617" t="str">
            <v>CO</v>
          </cell>
          <cell r="I617" t="str">
            <v>N</v>
          </cell>
          <cell r="J617" t="str">
            <v>4220X</v>
          </cell>
          <cell r="K617" t="str">
            <v>10</v>
          </cell>
          <cell r="L617" t="str">
            <v>H</v>
          </cell>
          <cell r="M617" t="str">
            <v>0</v>
          </cell>
          <cell r="N617" t="b">
            <v>1</v>
          </cell>
          <cell r="P617" t="str">
            <v>Y</v>
          </cell>
          <cell r="S617" t="str">
            <v>Construction</v>
          </cell>
        </row>
        <row r="618">
          <cell r="C618" t="str">
            <v>4959</v>
          </cell>
          <cell r="D618" t="str">
            <v>Sanitary Services, N.E.C.</v>
          </cell>
          <cell r="E618" t="str">
            <v>H</v>
          </cell>
          <cell r="F618" t="str">
            <v>Y</v>
          </cell>
          <cell r="H618" t="str">
            <v>CO</v>
          </cell>
          <cell r="I618" t="str">
            <v>N</v>
          </cell>
          <cell r="J618" t="str">
            <v>4220X</v>
          </cell>
          <cell r="K618" t="str">
            <v>10</v>
          </cell>
          <cell r="L618" t="str">
            <v>H</v>
          </cell>
          <cell r="M618" t="str">
            <v>0</v>
          </cell>
          <cell r="N618" t="b">
            <v>1</v>
          </cell>
          <cell r="P618" t="str">
            <v>Y</v>
          </cell>
          <cell r="S618" t="str">
            <v>Construction</v>
          </cell>
        </row>
        <row r="619">
          <cell r="C619" t="str">
            <v>500100</v>
          </cell>
          <cell r="D619" t="str">
            <v>General contractors including civil engineering contractors</v>
          </cell>
          <cell r="E619" t="str">
            <v>H</v>
          </cell>
          <cell r="F619" t="str">
            <v>Y</v>
          </cell>
          <cell r="H619" t="str">
            <v>CO</v>
          </cell>
          <cell r="I619" t="str">
            <v>N</v>
          </cell>
          <cell r="J619" t="str">
            <v>429XX</v>
          </cell>
          <cell r="K619" t="str">
            <v>10</v>
          </cell>
          <cell r="L619" t="str">
            <v>H</v>
          </cell>
          <cell r="M619" t="str">
            <v>0</v>
          </cell>
          <cell r="N619" t="b">
            <v>1</v>
          </cell>
          <cell r="S619" t="str">
            <v>Construction</v>
          </cell>
        </row>
        <row r="620">
          <cell r="C620" t="str">
            <v>500811</v>
          </cell>
          <cell r="D620" t="str">
            <v>Construction of hospital</v>
          </cell>
          <cell r="E620" t="str">
            <v>H</v>
          </cell>
          <cell r="F620" t="str">
            <v>Y</v>
          </cell>
          <cell r="H620" t="str">
            <v>CO</v>
          </cell>
          <cell r="I620" t="str">
            <v>N</v>
          </cell>
          <cell r="J620" t="str">
            <v>429XX</v>
          </cell>
          <cell r="K620" t="str">
            <v>10</v>
          </cell>
          <cell r="L620" t="str">
            <v>H</v>
          </cell>
          <cell r="M620" t="str">
            <v>0</v>
          </cell>
          <cell r="N620" t="b">
            <v>1</v>
          </cell>
          <cell r="S620" t="str">
            <v>Construction</v>
          </cell>
        </row>
        <row r="621">
          <cell r="C621" t="str">
            <v>500812</v>
          </cell>
          <cell r="D621" t="str">
            <v>Construction of cinemas</v>
          </cell>
          <cell r="E621" t="str">
            <v>H</v>
          </cell>
          <cell r="F621" t="str">
            <v>Y</v>
          </cell>
          <cell r="H621" t="str">
            <v>CO</v>
          </cell>
          <cell r="I621" t="str">
            <v>N</v>
          </cell>
          <cell r="J621" t="str">
            <v>429XX</v>
          </cell>
          <cell r="K621" t="str">
            <v>10</v>
          </cell>
          <cell r="L621" t="str">
            <v>H</v>
          </cell>
          <cell r="M621" t="str">
            <v>0</v>
          </cell>
          <cell r="N621" t="b">
            <v>1</v>
          </cell>
          <cell r="S621" t="str">
            <v>Construction</v>
          </cell>
        </row>
        <row r="622">
          <cell r="C622" t="str">
            <v>500819</v>
          </cell>
          <cell r="D622" t="str">
            <v>Construction of Social Amenities - Others</v>
          </cell>
          <cell r="E622" t="str">
            <v>H</v>
          </cell>
          <cell r="F622" t="str">
            <v>Y</v>
          </cell>
          <cell r="H622" t="str">
            <v>CO</v>
          </cell>
          <cell r="I622" t="str">
            <v>N</v>
          </cell>
          <cell r="J622" t="str">
            <v>429XX</v>
          </cell>
          <cell r="K622" t="str">
            <v>10</v>
          </cell>
          <cell r="L622" t="str">
            <v>H</v>
          </cell>
          <cell r="M622" t="str">
            <v>0</v>
          </cell>
          <cell r="N622" t="b">
            <v>1</v>
          </cell>
          <cell r="S622" t="str">
            <v>Construction</v>
          </cell>
        </row>
        <row r="623">
          <cell r="C623" t="str">
            <v>1623</v>
          </cell>
          <cell r="D623" t="str">
            <v>Water, Sewer, Pipeline, and Communications and Power Line Construction</v>
          </cell>
          <cell r="E623" t="str">
            <v>H</v>
          </cell>
          <cell r="F623" t="str">
            <v>Y</v>
          </cell>
          <cell r="H623" t="str">
            <v>CO</v>
          </cell>
          <cell r="I623" t="str">
            <v>N</v>
          </cell>
          <cell r="J623" t="str">
            <v>429XX</v>
          </cell>
          <cell r="K623" t="str">
            <v>10</v>
          </cell>
          <cell r="L623" t="str">
            <v>H</v>
          </cell>
          <cell r="M623" t="str">
            <v>0</v>
          </cell>
          <cell r="N623" t="b">
            <v>1</v>
          </cell>
          <cell r="P623" t="str">
            <v>Y</v>
          </cell>
          <cell r="S623" t="str">
            <v>Construction</v>
          </cell>
        </row>
        <row r="624">
          <cell r="C624" t="str">
            <v>4612</v>
          </cell>
          <cell r="D624" t="str">
            <v>Crude Petroleum Pipelines</v>
          </cell>
          <cell r="E624" t="str">
            <v>H</v>
          </cell>
          <cell r="F624" t="str">
            <v>Y</v>
          </cell>
          <cell r="H624" t="str">
            <v>CO</v>
          </cell>
          <cell r="I624" t="str">
            <v>N</v>
          </cell>
          <cell r="J624" t="str">
            <v>429XX</v>
          </cell>
          <cell r="K624" t="str">
            <v>10</v>
          </cell>
          <cell r="L624" t="str">
            <v>H</v>
          </cell>
          <cell r="M624" t="str">
            <v>0</v>
          </cell>
          <cell r="N624" t="b">
            <v>1</v>
          </cell>
          <cell r="P624" t="str">
            <v>Y</v>
          </cell>
          <cell r="S624" t="str">
            <v>Construction</v>
          </cell>
        </row>
        <row r="625">
          <cell r="C625" t="str">
            <v>4613</v>
          </cell>
          <cell r="D625" t="str">
            <v>Refined Petroleum Pipelines</v>
          </cell>
          <cell r="E625" t="str">
            <v>H</v>
          </cell>
          <cell r="F625" t="str">
            <v>Y</v>
          </cell>
          <cell r="H625" t="str">
            <v>CO</v>
          </cell>
          <cell r="I625" t="str">
            <v>N</v>
          </cell>
          <cell r="J625" t="str">
            <v>429XX</v>
          </cell>
          <cell r="K625" t="str">
            <v>10</v>
          </cell>
          <cell r="L625" t="str">
            <v>H</v>
          </cell>
          <cell r="M625" t="str">
            <v>0</v>
          </cell>
          <cell r="N625" t="b">
            <v>1</v>
          </cell>
          <cell r="P625" t="str">
            <v>Y</v>
          </cell>
          <cell r="S625" t="str">
            <v>Construction</v>
          </cell>
        </row>
        <row r="626">
          <cell r="C626" t="str">
            <v>4619</v>
          </cell>
          <cell r="D626" t="str">
            <v>Pipelines, N.E.C.</v>
          </cell>
          <cell r="E626" t="str">
            <v>H</v>
          </cell>
          <cell r="F626" t="str">
            <v>Y</v>
          </cell>
          <cell r="H626" t="str">
            <v>CO</v>
          </cell>
          <cell r="I626" t="str">
            <v>N</v>
          </cell>
          <cell r="J626" t="str">
            <v>429XX</v>
          </cell>
          <cell r="K626" t="str">
            <v>10</v>
          </cell>
          <cell r="L626" t="str">
            <v>H</v>
          </cell>
          <cell r="M626" t="str">
            <v>0</v>
          </cell>
          <cell r="N626" t="b">
            <v>1</v>
          </cell>
          <cell r="P626" t="str">
            <v>Y</v>
          </cell>
          <cell r="S626" t="str">
            <v>Construction</v>
          </cell>
        </row>
        <row r="627">
          <cell r="C627" t="str">
            <v>4971</v>
          </cell>
          <cell r="D627" t="str">
            <v>Irrigation Systems</v>
          </cell>
          <cell r="E627" t="str">
            <v>H</v>
          </cell>
          <cell r="F627" t="str">
            <v>Y</v>
          </cell>
          <cell r="H627" t="str">
            <v>CO</v>
          </cell>
          <cell r="I627" t="str">
            <v>N</v>
          </cell>
          <cell r="J627" t="str">
            <v>429XX</v>
          </cell>
          <cell r="K627" t="str">
            <v>10</v>
          </cell>
          <cell r="L627" t="str">
            <v>H</v>
          </cell>
          <cell r="M627" t="str">
            <v>0</v>
          </cell>
          <cell r="N627" t="b">
            <v>1</v>
          </cell>
          <cell r="P627" t="str">
            <v>Y</v>
          </cell>
          <cell r="S627" t="str">
            <v>Construction</v>
          </cell>
        </row>
        <row r="628">
          <cell r="C628" t="str">
            <v>1531</v>
          </cell>
          <cell r="D628" t="str">
            <v>Operative Builders</v>
          </cell>
          <cell r="E628" t="str">
            <v>H</v>
          </cell>
          <cell r="F628" t="str">
            <v>Y</v>
          </cell>
          <cell r="H628" t="str">
            <v>CO</v>
          </cell>
          <cell r="I628" t="str">
            <v>N</v>
          </cell>
          <cell r="J628" t="str">
            <v>429XX</v>
          </cell>
          <cell r="K628" t="str">
            <v>10</v>
          </cell>
          <cell r="L628" t="str">
            <v>H</v>
          </cell>
          <cell r="M628" t="str">
            <v>0</v>
          </cell>
          <cell r="N628" t="b">
            <v>1</v>
          </cell>
          <cell r="P628" t="str">
            <v>Y</v>
          </cell>
          <cell r="S628" t="str">
            <v>Construction</v>
          </cell>
        </row>
        <row r="629">
          <cell r="C629" t="str">
            <v>1743</v>
          </cell>
          <cell r="D629" t="str">
            <v>Terrazzo, Tile, Marble, and Mosaic Work</v>
          </cell>
          <cell r="E629" t="str">
            <v>H</v>
          </cell>
          <cell r="F629" t="str">
            <v>Y</v>
          </cell>
          <cell r="H629" t="str">
            <v>CO</v>
          </cell>
          <cell r="I629" t="str">
            <v>N</v>
          </cell>
          <cell r="J629" t="str">
            <v>431XX</v>
          </cell>
          <cell r="K629" t="str">
            <v>10</v>
          </cell>
          <cell r="L629" t="str">
            <v>H</v>
          </cell>
          <cell r="M629" t="str">
            <v>0</v>
          </cell>
          <cell r="N629" t="b">
            <v>1</v>
          </cell>
          <cell r="P629" t="str">
            <v>Y</v>
          </cell>
          <cell r="S629" t="str">
            <v>Construction</v>
          </cell>
        </row>
        <row r="630">
          <cell r="C630" t="str">
            <v>1752</v>
          </cell>
          <cell r="D630" t="str">
            <v>Floor Laying and Other Floor Work, N.E.C.</v>
          </cell>
          <cell r="E630" t="str">
            <v>H</v>
          </cell>
          <cell r="F630" t="str">
            <v>Y</v>
          </cell>
          <cell r="H630" t="str">
            <v>CO</v>
          </cell>
          <cell r="I630" t="str">
            <v>N</v>
          </cell>
          <cell r="J630" t="str">
            <v>431XX</v>
          </cell>
          <cell r="K630" t="str">
            <v>10</v>
          </cell>
          <cell r="L630" t="str">
            <v>H</v>
          </cell>
          <cell r="M630" t="str">
            <v>0</v>
          </cell>
          <cell r="N630" t="b">
            <v>1</v>
          </cell>
          <cell r="P630" t="str">
            <v>Y</v>
          </cell>
          <cell r="S630" t="str">
            <v>Construction</v>
          </cell>
        </row>
        <row r="631">
          <cell r="C631" t="str">
            <v>1742</v>
          </cell>
          <cell r="D631" t="str">
            <v>Plastering, Drywall, Acoustical and Insulation Work</v>
          </cell>
          <cell r="E631" t="str">
            <v>H</v>
          </cell>
          <cell r="F631" t="str">
            <v>Y</v>
          </cell>
          <cell r="H631" t="str">
            <v>CO</v>
          </cell>
          <cell r="I631" t="str">
            <v>N</v>
          </cell>
          <cell r="J631" t="str">
            <v>431XX</v>
          </cell>
          <cell r="K631" t="str">
            <v>10</v>
          </cell>
          <cell r="L631" t="str">
            <v>H</v>
          </cell>
          <cell r="M631" t="str">
            <v>0</v>
          </cell>
          <cell r="N631" t="b">
            <v>1</v>
          </cell>
          <cell r="P631" t="str">
            <v>Y</v>
          </cell>
          <cell r="S631" t="str">
            <v>Construction</v>
          </cell>
        </row>
        <row r="632">
          <cell r="C632" t="str">
            <v>1751</v>
          </cell>
          <cell r="D632" t="str">
            <v>Carpentry Work</v>
          </cell>
          <cell r="E632" t="str">
            <v>H</v>
          </cell>
          <cell r="F632" t="str">
            <v>Y</v>
          </cell>
          <cell r="H632" t="str">
            <v>CO</v>
          </cell>
          <cell r="I632" t="str">
            <v>N</v>
          </cell>
          <cell r="J632" t="str">
            <v>431XX</v>
          </cell>
          <cell r="K632" t="str">
            <v>10</v>
          </cell>
          <cell r="L632" t="str">
            <v>H</v>
          </cell>
          <cell r="M632" t="str">
            <v>0</v>
          </cell>
          <cell r="N632" t="b">
            <v>1</v>
          </cell>
          <cell r="P632" t="str">
            <v>Y</v>
          </cell>
          <cell r="S632" t="str">
            <v>Construction</v>
          </cell>
        </row>
        <row r="633">
          <cell r="C633" t="str">
            <v>1771</v>
          </cell>
          <cell r="D633" t="str">
            <v>Concrete Work</v>
          </cell>
          <cell r="E633" t="str">
            <v>H</v>
          </cell>
          <cell r="F633" t="str">
            <v>Y</v>
          </cell>
          <cell r="H633" t="str">
            <v>CO</v>
          </cell>
          <cell r="I633" t="str">
            <v>N</v>
          </cell>
          <cell r="J633" t="str">
            <v>431XX</v>
          </cell>
          <cell r="K633" t="str">
            <v>10</v>
          </cell>
          <cell r="L633" t="str">
            <v>H</v>
          </cell>
          <cell r="M633" t="str">
            <v>0</v>
          </cell>
          <cell r="N633" t="b">
            <v>1</v>
          </cell>
          <cell r="P633" t="str">
            <v>Y</v>
          </cell>
          <cell r="S633" t="str">
            <v>Construction</v>
          </cell>
        </row>
        <row r="634">
          <cell r="C634" t="str">
            <v>1781</v>
          </cell>
          <cell r="D634" t="str">
            <v>Water Well Drilling</v>
          </cell>
          <cell r="E634" t="str">
            <v>H</v>
          </cell>
          <cell r="F634" t="str">
            <v>Y</v>
          </cell>
          <cell r="H634" t="str">
            <v>CO</v>
          </cell>
          <cell r="I634" t="str">
            <v>N</v>
          </cell>
          <cell r="J634" t="str">
            <v>431XX</v>
          </cell>
          <cell r="K634" t="str">
            <v>10</v>
          </cell>
          <cell r="L634" t="str">
            <v>H</v>
          </cell>
          <cell r="M634" t="str">
            <v>0</v>
          </cell>
          <cell r="N634" t="b">
            <v>1</v>
          </cell>
          <cell r="P634" t="str">
            <v>Y</v>
          </cell>
          <cell r="S634" t="str">
            <v>Construction</v>
          </cell>
        </row>
        <row r="635">
          <cell r="C635" t="str">
            <v>1791</v>
          </cell>
          <cell r="D635" t="str">
            <v>Structural Steel Erection</v>
          </cell>
          <cell r="E635" t="str">
            <v>H</v>
          </cell>
          <cell r="F635" t="str">
            <v>Y</v>
          </cell>
          <cell r="H635" t="str">
            <v>CO</v>
          </cell>
          <cell r="I635" t="str">
            <v>N</v>
          </cell>
          <cell r="J635" t="str">
            <v>431XX</v>
          </cell>
          <cell r="K635" t="str">
            <v>10</v>
          </cell>
          <cell r="L635" t="str">
            <v>H</v>
          </cell>
          <cell r="M635" t="str">
            <v>0</v>
          </cell>
          <cell r="N635" t="b">
            <v>1</v>
          </cell>
          <cell r="P635" t="str">
            <v>Y</v>
          </cell>
          <cell r="S635" t="str">
            <v>Construction</v>
          </cell>
        </row>
        <row r="636">
          <cell r="C636" t="str">
            <v>1731</v>
          </cell>
          <cell r="D636" t="str">
            <v>Electrical Work</v>
          </cell>
          <cell r="E636" t="str">
            <v>H</v>
          </cell>
          <cell r="F636" t="str">
            <v>Y</v>
          </cell>
          <cell r="G636" t="str">
            <v>N</v>
          </cell>
          <cell r="H636" t="str">
            <v>CO</v>
          </cell>
          <cell r="I636" t="str">
            <v>N</v>
          </cell>
          <cell r="J636" t="str">
            <v>432XX</v>
          </cell>
          <cell r="K636" t="str">
            <v>10</v>
          </cell>
          <cell r="L636" t="str">
            <v>H</v>
          </cell>
          <cell r="M636" t="str">
            <v>0</v>
          </cell>
          <cell r="N636" t="b">
            <v>1</v>
          </cell>
          <cell r="P636" t="str">
            <v>Y</v>
          </cell>
          <cell r="S636" t="str">
            <v>Construction</v>
          </cell>
        </row>
        <row r="637">
          <cell r="C637" t="str">
            <v>1761</v>
          </cell>
          <cell r="D637" t="str">
            <v>Roofing, Siding, and Sheet Metal Work</v>
          </cell>
          <cell r="E637" t="str">
            <v>H</v>
          </cell>
          <cell r="F637" t="str">
            <v>Y</v>
          </cell>
          <cell r="H637" t="str">
            <v>CO</v>
          </cell>
          <cell r="I637" t="str">
            <v>N</v>
          </cell>
          <cell r="J637" t="str">
            <v>4330X</v>
          </cell>
          <cell r="K637" t="str">
            <v>10</v>
          </cell>
          <cell r="L637" t="str">
            <v>H</v>
          </cell>
          <cell r="M637" t="str">
            <v>0</v>
          </cell>
          <cell r="N637" t="b">
            <v>1</v>
          </cell>
          <cell r="P637" t="str">
            <v>Y</v>
          </cell>
          <cell r="S637" t="str">
            <v>Construction</v>
          </cell>
        </row>
        <row r="638">
          <cell r="C638" t="str">
            <v>4390X</v>
          </cell>
          <cell r="D638" t="str">
            <v>Special trade contractors</v>
          </cell>
          <cell r="E638" t="str">
            <v>H</v>
          </cell>
          <cell r="F638" t="str">
            <v>Y</v>
          </cell>
          <cell r="H638" t="str">
            <v>CO</v>
          </cell>
          <cell r="I638" t="str">
            <v>N</v>
          </cell>
          <cell r="J638" t="str">
            <v>4390X</v>
          </cell>
          <cell r="K638" t="str">
            <v>10</v>
          </cell>
          <cell r="L638" t="str">
            <v>H</v>
          </cell>
          <cell r="M638" t="str">
            <v>0</v>
          </cell>
          <cell r="N638" t="b">
            <v>1</v>
          </cell>
          <cell r="S638" t="str">
            <v>Construction</v>
          </cell>
        </row>
        <row r="639">
          <cell r="C639" t="str">
            <v>1795</v>
          </cell>
          <cell r="D639" t="str">
            <v>Wrecking and Demolition Work</v>
          </cell>
          <cell r="E639" t="str">
            <v>H</v>
          </cell>
          <cell r="F639" t="str">
            <v>Y</v>
          </cell>
          <cell r="H639" t="str">
            <v>CO</v>
          </cell>
          <cell r="I639" t="str">
            <v>N</v>
          </cell>
          <cell r="J639" t="str">
            <v>4390X</v>
          </cell>
          <cell r="K639" t="str">
            <v>10</v>
          </cell>
          <cell r="L639" t="str">
            <v>H</v>
          </cell>
          <cell r="M639" t="str">
            <v>0</v>
          </cell>
          <cell r="N639" t="b">
            <v>1</v>
          </cell>
          <cell r="P639" t="str">
            <v>Y</v>
          </cell>
          <cell r="S639" t="str">
            <v>Construction</v>
          </cell>
        </row>
        <row r="640">
          <cell r="C640" t="str">
            <v>1629</v>
          </cell>
          <cell r="D640" t="str">
            <v>Dredging and Surface Cleanup Activities</v>
          </cell>
          <cell r="E640" t="str">
            <v>H</v>
          </cell>
          <cell r="F640" t="str">
            <v>Y</v>
          </cell>
          <cell r="H640" t="str">
            <v>CO</v>
          </cell>
          <cell r="I640" t="str">
            <v>N</v>
          </cell>
          <cell r="J640" t="str">
            <v>4390X</v>
          </cell>
          <cell r="K640" t="str">
            <v>10</v>
          </cell>
          <cell r="L640" t="str">
            <v>H</v>
          </cell>
          <cell r="M640" t="str">
            <v>0</v>
          </cell>
          <cell r="N640" t="b">
            <v>1</v>
          </cell>
          <cell r="P640" t="str">
            <v>Y</v>
          </cell>
          <cell r="S640" t="str">
            <v>Construction</v>
          </cell>
        </row>
        <row r="641">
          <cell r="C641" t="str">
            <v>1711</v>
          </cell>
          <cell r="D641" t="str">
            <v>Plumbing, Heating, and Air-Conditioning</v>
          </cell>
          <cell r="E641" t="str">
            <v>H</v>
          </cell>
          <cell r="F641" t="str">
            <v>Y</v>
          </cell>
          <cell r="H641" t="str">
            <v>CO</v>
          </cell>
          <cell r="I641" t="str">
            <v>N</v>
          </cell>
          <cell r="J641" t="str">
            <v>4390X</v>
          </cell>
          <cell r="K641" t="str">
            <v>10</v>
          </cell>
          <cell r="L641" t="str">
            <v>H</v>
          </cell>
          <cell r="M641" t="str">
            <v>0</v>
          </cell>
          <cell r="N641" t="b">
            <v>1</v>
          </cell>
          <cell r="S641" t="str">
            <v>Construction</v>
          </cell>
        </row>
        <row r="642">
          <cell r="C642" t="str">
            <v>1741</v>
          </cell>
          <cell r="D642" t="str">
            <v>Masonry, Stone Setting, and Other Stone Work</v>
          </cell>
          <cell r="E642" t="str">
            <v>H</v>
          </cell>
          <cell r="F642" t="str">
            <v>Y</v>
          </cell>
          <cell r="H642" t="str">
            <v>CO</v>
          </cell>
          <cell r="I642" t="str">
            <v>N</v>
          </cell>
          <cell r="J642" t="str">
            <v>4390X</v>
          </cell>
          <cell r="K642" t="str">
            <v>10</v>
          </cell>
          <cell r="L642" t="str">
            <v>H</v>
          </cell>
          <cell r="M642" t="str">
            <v>0</v>
          </cell>
          <cell r="N642" t="b">
            <v>1</v>
          </cell>
          <cell r="P642" t="str">
            <v>Y</v>
          </cell>
          <cell r="S642" t="str">
            <v>Construction</v>
          </cell>
        </row>
        <row r="643">
          <cell r="C643" t="str">
            <v>1793</v>
          </cell>
          <cell r="D643" t="str">
            <v>Glass and Glazing Work</v>
          </cell>
          <cell r="E643" t="str">
            <v>H</v>
          </cell>
          <cell r="F643" t="str">
            <v>Y</v>
          </cell>
          <cell r="H643" t="str">
            <v>CO</v>
          </cell>
          <cell r="I643" t="str">
            <v>N</v>
          </cell>
          <cell r="J643" t="str">
            <v>4390X</v>
          </cell>
          <cell r="K643" t="str">
            <v>10</v>
          </cell>
          <cell r="L643" t="str">
            <v>H</v>
          </cell>
          <cell r="M643" t="str">
            <v>0</v>
          </cell>
          <cell r="N643" t="b">
            <v>1</v>
          </cell>
          <cell r="P643" t="str">
            <v>Y</v>
          </cell>
          <cell r="S643" t="str">
            <v>Construction</v>
          </cell>
        </row>
        <row r="644">
          <cell r="C644" t="str">
            <v>1794</v>
          </cell>
          <cell r="D644" t="str">
            <v>Excavation Work</v>
          </cell>
          <cell r="E644" t="str">
            <v>H</v>
          </cell>
          <cell r="F644" t="str">
            <v>Y</v>
          </cell>
          <cell r="H644" t="str">
            <v>CO</v>
          </cell>
          <cell r="I644" t="str">
            <v>N</v>
          </cell>
          <cell r="J644" t="str">
            <v>4390X</v>
          </cell>
          <cell r="K644" t="str">
            <v>10</v>
          </cell>
          <cell r="L644" t="str">
            <v>H</v>
          </cell>
          <cell r="M644" t="str">
            <v>0</v>
          </cell>
          <cell r="N644" t="b">
            <v>1</v>
          </cell>
          <cell r="P644" t="str">
            <v>Y</v>
          </cell>
          <cell r="S644" t="str">
            <v>Construction</v>
          </cell>
        </row>
        <row r="645">
          <cell r="C645" t="str">
            <v>1796</v>
          </cell>
          <cell r="D645" t="str">
            <v>Installation or Erection of Building Equipment, N.E.C.</v>
          </cell>
          <cell r="E645" t="str">
            <v>H</v>
          </cell>
          <cell r="F645" t="str">
            <v>Y</v>
          </cell>
          <cell r="H645" t="str">
            <v>CO</v>
          </cell>
          <cell r="I645" t="str">
            <v>N</v>
          </cell>
          <cell r="J645" t="str">
            <v>4390X</v>
          </cell>
          <cell r="K645" t="str">
            <v>10</v>
          </cell>
          <cell r="L645" t="str">
            <v>H</v>
          </cell>
          <cell r="M645" t="str">
            <v>0</v>
          </cell>
          <cell r="N645" t="b">
            <v>1</v>
          </cell>
          <cell r="P645" t="str">
            <v>Y</v>
          </cell>
          <cell r="S645" t="str">
            <v>Construction</v>
          </cell>
        </row>
        <row r="646">
          <cell r="C646" t="str">
            <v>1799</v>
          </cell>
          <cell r="D646" t="str">
            <v>Special Trade Contractors, N.E.C.</v>
          </cell>
          <cell r="E646" t="str">
            <v>H</v>
          </cell>
          <cell r="F646" t="str">
            <v>Y</v>
          </cell>
          <cell r="H646" t="str">
            <v>CO</v>
          </cell>
          <cell r="I646" t="str">
            <v>N</v>
          </cell>
          <cell r="J646" t="str">
            <v>4390X</v>
          </cell>
          <cell r="K646" t="str">
            <v>10</v>
          </cell>
          <cell r="L646" t="str">
            <v>H</v>
          </cell>
          <cell r="M646" t="str">
            <v>0</v>
          </cell>
          <cell r="N646" t="b">
            <v>1</v>
          </cell>
          <cell r="P646" t="str">
            <v>Y</v>
          </cell>
          <cell r="S646" t="str">
            <v>Construction</v>
          </cell>
        </row>
        <row r="647">
          <cell r="C647" t="str">
            <v>1721</v>
          </cell>
          <cell r="D647" t="str">
            <v>Painting and Paper Hanging</v>
          </cell>
          <cell r="E647" t="str">
            <v>H</v>
          </cell>
          <cell r="F647" t="str">
            <v>Y</v>
          </cell>
          <cell r="H647" t="str">
            <v>CO</v>
          </cell>
          <cell r="I647" t="str">
            <v>N</v>
          </cell>
          <cell r="J647" t="str">
            <v>4390X</v>
          </cell>
          <cell r="K647" t="str">
            <v>10</v>
          </cell>
          <cell r="L647" t="str">
            <v>H</v>
          </cell>
          <cell r="M647" t="str">
            <v>0</v>
          </cell>
          <cell r="N647" t="b">
            <v>1</v>
          </cell>
          <cell r="P647" t="str">
            <v>Y</v>
          </cell>
          <cell r="S647" t="str">
            <v>Construction</v>
          </cell>
        </row>
        <row r="648">
          <cell r="C648" t="str">
            <v>5521</v>
          </cell>
          <cell r="D648" t="str">
            <v>Motor Vehicle Dealers (Used Only)</v>
          </cell>
          <cell r="E648" t="str">
            <v>A</v>
          </cell>
          <cell r="F648" t="str">
            <v>Y</v>
          </cell>
          <cell r="H648" t="str">
            <v>WH</v>
          </cell>
          <cell r="I648" t="str">
            <v>N</v>
          </cell>
          <cell r="J648" t="str">
            <v>451XX</v>
          </cell>
          <cell r="K648" t="str">
            <v>0</v>
          </cell>
          <cell r="L648" t="str">
            <v>A</v>
          </cell>
          <cell r="M648" t="str">
            <v>0</v>
          </cell>
          <cell r="N648" t="b">
            <v>1</v>
          </cell>
          <cell r="R648" t="str">
            <v>The definition of SIC 5511 is meant for retail. Do we need to create new SIC for "wholesale"??</v>
          </cell>
          <cell r="S648" t="str">
            <v>Used Car Dealer</v>
          </cell>
        </row>
        <row r="649">
          <cell r="C649" t="str">
            <v>5511</v>
          </cell>
          <cell r="D649" t="str">
            <v>Motor Vehicle Dealers (New and Used)</v>
          </cell>
          <cell r="E649" t="str">
            <v>T</v>
          </cell>
          <cell r="F649" t="str">
            <v>Y</v>
          </cell>
          <cell r="H649" t="str">
            <v>WH</v>
          </cell>
          <cell r="I649" t="str">
            <v>N</v>
          </cell>
          <cell r="J649" t="str">
            <v>451XX</v>
          </cell>
          <cell r="K649" t="str">
            <v>5</v>
          </cell>
          <cell r="L649" t="str">
            <v>T</v>
          </cell>
          <cell r="M649" t="str">
            <v>5</v>
          </cell>
          <cell r="N649" t="b">
            <v>1</v>
          </cell>
          <cell r="S649" t="str">
            <v>Wholesale and retail trade and repair of motor vehicles and motorcycles</v>
          </cell>
        </row>
        <row r="650">
          <cell r="C650" t="str">
            <v>7532</v>
          </cell>
          <cell r="D650" t="str">
            <v>Top, Body, and Upholstery Repair Shops and Paint Shops</v>
          </cell>
          <cell r="E650" t="str">
            <v>T</v>
          </cell>
          <cell r="F650" t="str">
            <v>Y</v>
          </cell>
          <cell r="H650" t="str">
            <v>FI</v>
          </cell>
          <cell r="I650" t="str">
            <v>N</v>
          </cell>
          <cell r="J650" t="str">
            <v>4520X</v>
          </cell>
          <cell r="K650" t="str">
            <v>12</v>
          </cell>
          <cell r="L650" t="str">
            <v>T</v>
          </cell>
          <cell r="M650" t="str">
            <v>12</v>
          </cell>
          <cell r="N650" t="b">
            <v>1</v>
          </cell>
          <cell r="S650" t="str">
            <v>Wholesale and retail trade and repair of motor vehicles and motorcycles</v>
          </cell>
        </row>
        <row r="651">
          <cell r="C651" t="str">
            <v>7533</v>
          </cell>
          <cell r="D651" t="str">
            <v>Automotive Exhaust System Repair Shops</v>
          </cell>
          <cell r="E651" t="str">
            <v>T</v>
          </cell>
          <cell r="F651" t="str">
            <v>Y</v>
          </cell>
          <cell r="H651" t="str">
            <v>FI</v>
          </cell>
          <cell r="I651" t="str">
            <v>N</v>
          </cell>
          <cell r="J651" t="str">
            <v>4520X</v>
          </cell>
          <cell r="K651" t="str">
            <v>12</v>
          </cell>
          <cell r="L651" t="str">
            <v>T</v>
          </cell>
          <cell r="M651" t="str">
            <v>12</v>
          </cell>
          <cell r="N651" t="b">
            <v>1</v>
          </cell>
          <cell r="S651" t="str">
            <v>Wholesale and retail trade and repair of motor vehicles and motorcycles</v>
          </cell>
        </row>
        <row r="652">
          <cell r="C652" t="str">
            <v>7534</v>
          </cell>
          <cell r="D652" t="str">
            <v>Tire Retreading and Repair Shops</v>
          </cell>
          <cell r="E652" t="str">
            <v>T</v>
          </cell>
          <cell r="F652" t="str">
            <v>Y</v>
          </cell>
          <cell r="H652" t="str">
            <v>FI</v>
          </cell>
          <cell r="I652" t="str">
            <v>N</v>
          </cell>
          <cell r="J652" t="str">
            <v>4520X</v>
          </cell>
          <cell r="K652" t="str">
            <v>12</v>
          </cell>
          <cell r="L652" t="str">
            <v>T</v>
          </cell>
          <cell r="M652" t="str">
            <v>12</v>
          </cell>
          <cell r="N652" t="b">
            <v>1</v>
          </cell>
          <cell r="S652" t="str">
            <v>Wholesale and retail trade and repair of motor vehicles and motorcycles</v>
          </cell>
        </row>
        <row r="653">
          <cell r="C653" t="str">
            <v>7536</v>
          </cell>
          <cell r="D653" t="str">
            <v>Automotive Glass Replacement Shops</v>
          </cell>
          <cell r="E653" t="str">
            <v>T</v>
          </cell>
          <cell r="F653" t="str">
            <v>Y</v>
          </cell>
          <cell r="H653" t="str">
            <v>FI</v>
          </cell>
          <cell r="I653" t="str">
            <v>N</v>
          </cell>
          <cell r="J653" t="str">
            <v>4520X</v>
          </cell>
          <cell r="K653" t="str">
            <v>12</v>
          </cell>
          <cell r="L653" t="str">
            <v>T</v>
          </cell>
          <cell r="M653" t="str">
            <v>12</v>
          </cell>
          <cell r="N653" t="b">
            <v>1</v>
          </cell>
          <cell r="S653" t="str">
            <v>Wholesale and retail trade and repair of motor vehicles and motorcycles</v>
          </cell>
        </row>
        <row r="654">
          <cell r="C654" t="str">
            <v>7537</v>
          </cell>
          <cell r="D654" t="str">
            <v>Automotive Transmission Repair Shops</v>
          </cell>
          <cell r="E654" t="str">
            <v>T</v>
          </cell>
          <cell r="F654" t="str">
            <v>Y</v>
          </cell>
          <cell r="H654" t="str">
            <v>FI</v>
          </cell>
          <cell r="I654" t="str">
            <v>N</v>
          </cell>
          <cell r="J654" t="str">
            <v>4520X</v>
          </cell>
          <cell r="K654" t="str">
            <v>12</v>
          </cell>
          <cell r="L654" t="str">
            <v>T</v>
          </cell>
          <cell r="M654" t="str">
            <v>12</v>
          </cell>
          <cell r="N654" t="b">
            <v>1</v>
          </cell>
          <cell r="S654" t="str">
            <v>Wholesale and retail trade and repair of motor vehicles and motorcycles</v>
          </cell>
        </row>
        <row r="655">
          <cell r="C655" t="str">
            <v>7539</v>
          </cell>
          <cell r="D655" t="str">
            <v>Automotive Repair Shops, N.E.C.</v>
          </cell>
          <cell r="E655" t="str">
            <v>T</v>
          </cell>
          <cell r="F655" t="str">
            <v>Y</v>
          </cell>
          <cell r="H655" t="str">
            <v>FI</v>
          </cell>
          <cell r="I655" t="str">
            <v>N</v>
          </cell>
          <cell r="J655" t="str">
            <v>4520X</v>
          </cell>
          <cell r="K655" t="str">
            <v>12</v>
          </cell>
          <cell r="L655" t="str">
            <v>T</v>
          </cell>
          <cell r="M655" t="str">
            <v>12</v>
          </cell>
          <cell r="N655" t="b">
            <v>1</v>
          </cell>
          <cell r="S655" t="str">
            <v>Wholesale and retail trade and repair of motor vehicles and motorcycles</v>
          </cell>
        </row>
        <row r="656">
          <cell r="C656" t="str">
            <v>7538</v>
          </cell>
          <cell r="D656" t="str">
            <v>General Automotive Repair Shops</v>
          </cell>
          <cell r="E656" t="str">
            <v>T</v>
          </cell>
          <cell r="F656" t="str">
            <v>Y</v>
          </cell>
          <cell r="H656" t="str">
            <v>FI</v>
          </cell>
          <cell r="I656" t="str">
            <v>N</v>
          </cell>
          <cell r="J656" t="str">
            <v>4520X</v>
          </cell>
          <cell r="K656" t="str">
            <v>12</v>
          </cell>
          <cell r="L656" t="str">
            <v>T</v>
          </cell>
          <cell r="M656" t="str">
            <v>12</v>
          </cell>
          <cell r="N656" t="b">
            <v>1</v>
          </cell>
          <cell r="S656" t="str">
            <v>Wholesale and retail trade and repair of motor vehicles and motorcycles</v>
          </cell>
        </row>
        <row r="657">
          <cell r="C657" t="str">
            <v>611023</v>
          </cell>
          <cell r="D657" t="str">
            <v>Part &amp; Accessories - Motor Vehicles (Wholesale)</v>
          </cell>
          <cell r="E657" t="str">
            <v>T</v>
          </cell>
          <cell r="F657" t="str">
            <v>Y</v>
          </cell>
          <cell r="H657" t="str">
            <v>WH</v>
          </cell>
          <cell r="I657" t="str">
            <v>N</v>
          </cell>
          <cell r="J657" t="str">
            <v>4530X</v>
          </cell>
          <cell r="K657" t="str">
            <v>5</v>
          </cell>
          <cell r="L657" t="str">
            <v>T</v>
          </cell>
          <cell r="M657" t="str">
            <v>5</v>
          </cell>
          <cell r="N657" t="b">
            <v>1</v>
          </cell>
          <cell r="R657" t="str">
            <v>To relook on the SIC code that should tagged under 45301</v>
          </cell>
          <cell r="S657" t="str">
            <v>Wholesale and retail trade and repair of motor vehicles and motorcycles</v>
          </cell>
        </row>
        <row r="658">
          <cell r="C658" t="str">
            <v>5013</v>
          </cell>
          <cell r="D658" t="str">
            <v>Wholesale Motor Vehicle Supplies and New Parts</v>
          </cell>
          <cell r="E658" t="str">
            <v>T</v>
          </cell>
          <cell r="F658" t="str">
            <v>Y</v>
          </cell>
          <cell r="H658" t="str">
            <v>WH</v>
          </cell>
          <cell r="I658" t="str">
            <v>N</v>
          </cell>
          <cell r="J658" t="str">
            <v>4530X</v>
          </cell>
          <cell r="K658" t="str">
            <v>5</v>
          </cell>
          <cell r="L658" t="str">
            <v>T</v>
          </cell>
          <cell r="M658" t="str">
            <v>5</v>
          </cell>
          <cell r="N658" t="b">
            <v>1</v>
          </cell>
          <cell r="R658" t="str">
            <v>To relook on the SIC code that tagged under 45302, proposed to retag this SIC code under "45301 - Part &amp; Accessories - Motor Vehicles (Wholesale) "&amp; replace with new SIC code</v>
          </cell>
          <cell r="S658" t="str">
            <v>Wholesale and retail trade and repair of motor vehicles and motorcycles</v>
          </cell>
        </row>
        <row r="659">
          <cell r="C659" t="str">
            <v>5014</v>
          </cell>
          <cell r="D659" t="str">
            <v>Wholesale Tires and Tubes</v>
          </cell>
          <cell r="E659" t="str">
            <v>T</v>
          </cell>
          <cell r="F659" t="str">
            <v>Y</v>
          </cell>
          <cell r="H659" t="str">
            <v>WH</v>
          </cell>
          <cell r="I659" t="str">
            <v>N</v>
          </cell>
          <cell r="J659" t="str">
            <v>4530X</v>
          </cell>
          <cell r="K659" t="str">
            <v>5</v>
          </cell>
          <cell r="L659" t="str">
            <v>T</v>
          </cell>
          <cell r="M659" t="str">
            <v>5</v>
          </cell>
          <cell r="N659" t="b">
            <v>1</v>
          </cell>
          <cell r="R659" t="str">
            <v>To relook on the SIC code that tagged under 45302, proposed to retag this SIC code under "45301 - Part &amp; Accessories - Motor Vehicles (Wholesale) "&amp; replace with new SIC code</v>
          </cell>
          <cell r="S659" t="str">
            <v>Wholesale and retail trade and repair of motor vehicles and motorcycles</v>
          </cell>
        </row>
        <row r="660">
          <cell r="C660" t="str">
            <v>5015</v>
          </cell>
          <cell r="D660" t="str">
            <v>Wholesale Motor Vehicle Parts, Used</v>
          </cell>
          <cell r="E660" t="str">
            <v>T</v>
          </cell>
          <cell r="F660" t="str">
            <v>Y</v>
          </cell>
          <cell r="H660" t="str">
            <v>WH</v>
          </cell>
          <cell r="I660" t="str">
            <v>N</v>
          </cell>
          <cell r="J660" t="str">
            <v>4530X</v>
          </cell>
          <cell r="K660" t="str">
            <v>5</v>
          </cell>
          <cell r="L660" t="str">
            <v>T</v>
          </cell>
          <cell r="M660" t="str">
            <v>5</v>
          </cell>
          <cell r="N660" t="b">
            <v>1</v>
          </cell>
          <cell r="R660" t="str">
            <v>To relook on the SIC code that tagged under 45302, proposed to retag this SIC code under "45301 - Part &amp; Accessories - Motor Vehicles (Wholesale) "&amp; replace with new SIC code</v>
          </cell>
          <cell r="S660" t="str">
            <v>Wholesale and retail trade and repair of motor vehicles and motorcycles</v>
          </cell>
        </row>
        <row r="661">
          <cell r="C661" t="str">
            <v>611031</v>
          </cell>
          <cell r="D661" t="str">
            <v>Retail - Petrol Lubricating Oil</v>
          </cell>
          <cell r="E661" t="str">
            <v>T</v>
          </cell>
          <cell r="F661" t="str">
            <v>Y</v>
          </cell>
          <cell r="H661" t="str">
            <v>WH</v>
          </cell>
          <cell r="I661" t="str">
            <v>N</v>
          </cell>
          <cell r="J661" t="str">
            <v>4530X</v>
          </cell>
          <cell r="K661" t="str">
            <v>5</v>
          </cell>
          <cell r="L661" t="str">
            <v>T</v>
          </cell>
          <cell r="M661" t="str">
            <v>5</v>
          </cell>
          <cell r="N661" t="b">
            <v>1</v>
          </cell>
          <cell r="R661" t="str">
            <v>????</v>
          </cell>
          <cell r="S661" t="str">
            <v>Other retail trade, except of motor vehicles and motorcycles</v>
          </cell>
        </row>
        <row r="662">
          <cell r="C662" t="str">
            <v>611011</v>
          </cell>
          <cell r="D662" t="str">
            <v>Motorcycles Vehicles (New) (wholesales)</v>
          </cell>
          <cell r="E662" t="str">
            <v>T</v>
          </cell>
          <cell r="F662" t="str">
            <v>Y</v>
          </cell>
          <cell r="H662" t="str">
            <v>WH</v>
          </cell>
          <cell r="I662" t="str">
            <v>N</v>
          </cell>
          <cell r="J662" t="str">
            <v>4540X</v>
          </cell>
          <cell r="K662" t="str">
            <v>5</v>
          </cell>
          <cell r="L662" t="str">
            <v>T</v>
          </cell>
          <cell r="M662" t="str">
            <v>5</v>
          </cell>
          <cell r="N662" t="b">
            <v>1</v>
          </cell>
          <cell r="S662" t="str">
            <v>Wholesale and retail trade and repair of motor vehicles and motorcycles</v>
          </cell>
        </row>
        <row r="663">
          <cell r="C663" t="str">
            <v>611012</v>
          </cell>
          <cell r="D663" t="str">
            <v>Motorcycles Vehicles (Used) (wholesales)</v>
          </cell>
          <cell r="E663" t="str">
            <v>A</v>
          </cell>
          <cell r="F663" t="str">
            <v>Y</v>
          </cell>
          <cell r="H663" t="str">
            <v>WH</v>
          </cell>
          <cell r="I663" t="str">
            <v>N</v>
          </cell>
          <cell r="J663" t="str">
            <v>4540X</v>
          </cell>
          <cell r="K663" t="str">
            <v>0</v>
          </cell>
          <cell r="L663" t="str">
            <v>A</v>
          </cell>
          <cell r="M663" t="str">
            <v>0</v>
          </cell>
          <cell r="N663" t="b">
            <v>1</v>
          </cell>
          <cell r="S663" t="str">
            <v>Wholesale and retail trade and repair of motor vehicles and motorcycles</v>
          </cell>
        </row>
        <row r="664">
          <cell r="C664" t="str">
            <v>611021</v>
          </cell>
          <cell r="D664" t="str">
            <v>Motorcycles &amp; Parts (wholesales)</v>
          </cell>
          <cell r="E664" t="str">
            <v>T</v>
          </cell>
          <cell r="F664" t="str">
            <v>Y</v>
          </cell>
          <cell r="H664" t="str">
            <v>WH</v>
          </cell>
          <cell r="I664" t="str">
            <v>N</v>
          </cell>
          <cell r="J664" t="str">
            <v>4540X</v>
          </cell>
          <cell r="K664" t="str">
            <v>5</v>
          </cell>
          <cell r="L664" t="str">
            <v>T</v>
          </cell>
          <cell r="M664" t="str">
            <v>5</v>
          </cell>
          <cell r="N664" t="b">
            <v>1</v>
          </cell>
          <cell r="S664" t="str">
            <v>Wholesale and retail trade and repair of motor vehicles and motorcycles</v>
          </cell>
        </row>
        <row r="665">
          <cell r="C665" t="str">
            <v>611022</v>
          </cell>
          <cell r="D665" t="str">
            <v>Motorcycles &amp; parts (retail)</v>
          </cell>
          <cell r="E665" t="str">
            <v>T</v>
          </cell>
          <cell r="F665" t="str">
            <v>Y</v>
          </cell>
          <cell r="H665" t="str">
            <v>WH</v>
          </cell>
          <cell r="I665" t="str">
            <v>N</v>
          </cell>
          <cell r="J665" t="str">
            <v>4540X</v>
          </cell>
          <cell r="K665" t="str">
            <v>5</v>
          </cell>
          <cell r="L665" t="str">
            <v>T</v>
          </cell>
          <cell r="M665" t="str">
            <v>5</v>
          </cell>
          <cell r="N665" t="b">
            <v>1</v>
          </cell>
          <cell r="S665" t="str">
            <v>Wholesale and retail trade and repair of motor vehicles and motorcycles</v>
          </cell>
        </row>
        <row r="666">
          <cell r="C666" t="str">
            <v>5571</v>
          </cell>
          <cell r="D666" t="str">
            <v>Motorcycle Dealers</v>
          </cell>
          <cell r="E666" t="str">
            <v>T</v>
          </cell>
          <cell r="F666" t="str">
            <v>Y</v>
          </cell>
          <cell r="H666" t="str">
            <v>WH</v>
          </cell>
          <cell r="I666" t="str">
            <v>N</v>
          </cell>
          <cell r="J666" t="str">
            <v>4540X</v>
          </cell>
          <cell r="K666" t="str">
            <v>5</v>
          </cell>
          <cell r="L666" t="str">
            <v>T</v>
          </cell>
          <cell r="M666" t="str">
            <v>5</v>
          </cell>
          <cell r="N666" t="b">
            <v>1</v>
          </cell>
          <cell r="R666" t="str">
            <v>5571 Motorcycle Dealers - Establishments primarily engaged in the retail sale of new and used motorcycles, including motor scooters and mopeds, and all-terrain vehicles. 
All-terrain vehicles-retail 
Bicycles, motorized-retail 
Mopeds-retail 
Motor scoote</v>
          </cell>
          <cell r="S666" t="str">
            <v>Wholesale and retail trade and repair of motor vehicles and motorcycles</v>
          </cell>
        </row>
        <row r="667">
          <cell r="C667" t="str">
            <v>5031</v>
          </cell>
          <cell r="D667" t="str">
            <v>Wholesale Lumber, Plywood, Millwork, and Wood Panels</v>
          </cell>
          <cell r="E667" t="str">
            <v>N</v>
          </cell>
          <cell r="F667" t="str">
            <v>Y</v>
          </cell>
          <cell r="G667" t="str">
            <v>N</v>
          </cell>
          <cell r="H667" t="str">
            <v>WH</v>
          </cell>
          <cell r="I667" t="str">
            <v>N</v>
          </cell>
          <cell r="J667" t="str">
            <v>462XX</v>
          </cell>
          <cell r="K667" t="str">
            <v>9</v>
          </cell>
          <cell r="L667" t="str">
            <v>N</v>
          </cell>
          <cell r="M667" t="str">
            <v>0</v>
          </cell>
          <cell r="N667" t="b">
            <v>1</v>
          </cell>
          <cell r="S667" t="str">
            <v>Other wholesale trade, except of motor vehicles and motorcycles</v>
          </cell>
        </row>
        <row r="668">
          <cell r="C668" t="str">
            <v>612035</v>
          </cell>
          <cell r="D668" t="str">
            <v>Wholesale - Rubber</v>
          </cell>
          <cell r="E668" t="str">
            <v>N</v>
          </cell>
          <cell r="F668" t="str">
            <v>Y</v>
          </cell>
          <cell r="G668" t="str">
            <v>N</v>
          </cell>
          <cell r="H668" t="str">
            <v>WH</v>
          </cell>
          <cell r="I668" t="str">
            <v>N</v>
          </cell>
          <cell r="J668" t="str">
            <v>462XX</v>
          </cell>
          <cell r="K668" t="str">
            <v>9</v>
          </cell>
          <cell r="L668" t="str">
            <v>N</v>
          </cell>
          <cell r="M668" t="str">
            <v>0</v>
          </cell>
          <cell r="N668" t="b">
            <v>1</v>
          </cell>
          <cell r="S668" t="str">
            <v>Other wholesale trade, except of motor vehicles and motorcycles</v>
          </cell>
        </row>
        <row r="669">
          <cell r="C669" t="str">
            <v>612036</v>
          </cell>
          <cell r="D669" t="str">
            <v>Wholesale - Palm oil</v>
          </cell>
          <cell r="E669" t="str">
            <v>N</v>
          </cell>
          <cell r="F669" t="str">
            <v>Y</v>
          </cell>
          <cell r="G669" t="str">
            <v>N</v>
          </cell>
          <cell r="H669" t="str">
            <v>WH</v>
          </cell>
          <cell r="I669" t="str">
            <v>N</v>
          </cell>
          <cell r="J669" t="str">
            <v>462XX</v>
          </cell>
          <cell r="K669" t="str">
            <v>8</v>
          </cell>
          <cell r="L669" t="str">
            <v>N</v>
          </cell>
          <cell r="M669" t="str">
            <v>0</v>
          </cell>
          <cell r="N669" t="b">
            <v>1</v>
          </cell>
          <cell r="S669" t="str">
            <v>Other wholesale trade, except of motor vehicles and motorcycles</v>
          </cell>
        </row>
        <row r="670">
          <cell r="C670" t="str">
            <v>612037</v>
          </cell>
          <cell r="D670" t="str">
            <v>Wholesale - livestock</v>
          </cell>
          <cell r="E670" t="str">
            <v>N</v>
          </cell>
          <cell r="F670" t="str">
            <v>Y</v>
          </cell>
          <cell r="G670" t="str">
            <v>N</v>
          </cell>
          <cell r="H670" t="str">
            <v>WH</v>
          </cell>
          <cell r="I670" t="str">
            <v>N</v>
          </cell>
          <cell r="J670" t="str">
            <v>462XX</v>
          </cell>
          <cell r="K670" t="str">
            <v>8</v>
          </cell>
          <cell r="L670" t="str">
            <v>N</v>
          </cell>
          <cell r="M670" t="str">
            <v>0</v>
          </cell>
          <cell r="N670" t="b">
            <v>1</v>
          </cell>
          <cell r="S670" t="str">
            <v>Other wholesale trade, except of motor vehicles and motorcycles</v>
          </cell>
        </row>
        <row r="671">
          <cell r="C671" t="str">
            <v>5193</v>
          </cell>
          <cell r="D671" t="str">
            <v>Wholesale Flowers, Nursery Stock, and Florists' Supplies</v>
          </cell>
          <cell r="E671" t="str">
            <v>T</v>
          </cell>
          <cell r="F671" t="str">
            <v>Y</v>
          </cell>
          <cell r="H671" t="str">
            <v>WH</v>
          </cell>
          <cell r="I671" t="str">
            <v>N</v>
          </cell>
          <cell r="J671" t="str">
            <v>462XX</v>
          </cell>
          <cell r="K671" t="str">
            <v>8</v>
          </cell>
          <cell r="L671" t="str">
            <v>T</v>
          </cell>
          <cell r="M671" t="str">
            <v>8</v>
          </cell>
          <cell r="N671" t="b">
            <v>1</v>
          </cell>
          <cell r="S671" t="str">
            <v>Other wholesale trade, except of motor vehicles and motorcycles</v>
          </cell>
        </row>
        <row r="672">
          <cell r="C672" t="str">
            <v>5144</v>
          </cell>
          <cell r="D672" t="str">
            <v>Wholesale Poultry and Poultry Products</v>
          </cell>
          <cell r="E672" t="str">
            <v>T</v>
          </cell>
          <cell r="F672" t="str">
            <v>Y</v>
          </cell>
          <cell r="H672" t="str">
            <v>WH</v>
          </cell>
          <cell r="I672" t="str">
            <v>N</v>
          </cell>
          <cell r="J672" t="str">
            <v>463XX</v>
          </cell>
          <cell r="K672" t="str">
            <v>8</v>
          </cell>
          <cell r="L672" t="str">
            <v>T</v>
          </cell>
          <cell r="M672" t="str">
            <v>8</v>
          </cell>
          <cell r="N672" t="b">
            <v>1</v>
          </cell>
          <cell r="S672" t="str">
            <v>Wholesale of food, beverages and tobacco related products</v>
          </cell>
        </row>
        <row r="673">
          <cell r="C673" t="str">
            <v>5147</v>
          </cell>
          <cell r="D673" t="str">
            <v>Wholesale Meats and Meat Products</v>
          </cell>
          <cell r="E673" t="str">
            <v>T</v>
          </cell>
          <cell r="F673" t="str">
            <v>Y</v>
          </cell>
          <cell r="H673" t="str">
            <v>WH</v>
          </cell>
          <cell r="I673" t="str">
            <v>N</v>
          </cell>
          <cell r="J673" t="str">
            <v>463XX</v>
          </cell>
          <cell r="K673" t="str">
            <v>8</v>
          </cell>
          <cell r="L673" t="str">
            <v>T</v>
          </cell>
          <cell r="M673" t="str">
            <v>8</v>
          </cell>
          <cell r="N673" t="b">
            <v>1</v>
          </cell>
          <cell r="S673" t="str">
            <v>Wholesale of food, beverages and tobacco related products</v>
          </cell>
        </row>
        <row r="674">
          <cell r="C674" t="str">
            <v>5146</v>
          </cell>
          <cell r="D674" t="str">
            <v>Wholesale Fish and Seafood</v>
          </cell>
          <cell r="E674" t="str">
            <v>T</v>
          </cell>
          <cell r="F674" t="str">
            <v>Y</v>
          </cell>
          <cell r="H674" t="str">
            <v>WH</v>
          </cell>
          <cell r="I674" t="str">
            <v>N</v>
          </cell>
          <cell r="J674" t="str">
            <v>463XX</v>
          </cell>
          <cell r="K674" t="str">
            <v>8</v>
          </cell>
          <cell r="L674" t="str">
            <v>T</v>
          </cell>
          <cell r="M674" t="str">
            <v>8</v>
          </cell>
          <cell r="N674" t="b">
            <v>1</v>
          </cell>
          <cell r="S674" t="str">
            <v>Wholesale of food, beverages and tobacco related products</v>
          </cell>
        </row>
        <row r="675">
          <cell r="C675" t="str">
            <v>5148</v>
          </cell>
          <cell r="D675" t="str">
            <v>Wholesale Fresh Fruits and Vegetables</v>
          </cell>
          <cell r="E675" t="str">
            <v>T</v>
          </cell>
          <cell r="F675" t="str">
            <v>Y</v>
          </cell>
          <cell r="H675" t="str">
            <v>WH</v>
          </cell>
          <cell r="I675" t="str">
            <v>N</v>
          </cell>
          <cell r="J675" t="str">
            <v>463XX</v>
          </cell>
          <cell r="K675" t="str">
            <v>8</v>
          </cell>
          <cell r="L675" t="str">
            <v>T</v>
          </cell>
          <cell r="M675" t="str">
            <v>8</v>
          </cell>
          <cell r="N675" t="b">
            <v>1</v>
          </cell>
          <cell r="S675" t="str">
            <v>Wholesale of food, beverages and tobacco related products</v>
          </cell>
        </row>
        <row r="676">
          <cell r="C676" t="str">
            <v>5145</v>
          </cell>
          <cell r="D676" t="str">
            <v>Wholesale Confectionery</v>
          </cell>
          <cell r="E676" t="str">
            <v>T</v>
          </cell>
          <cell r="F676" t="str">
            <v>Y</v>
          </cell>
          <cell r="H676" t="str">
            <v>WH</v>
          </cell>
          <cell r="I676" t="str">
            <v>N</v>
          </cell>
          <cell r="J676" t="str">
            <v>463XX</v>
          </cell>
          <cell r="K676" t="str">
            <v>8</v>
          </cell>
          <cell r="L676" t="str">
            <v>T</v>
          </cell>
          <cell r="M676" t="str">
            <v>8</v>
          </cell>
          <cell r="N676" t="b">
            <v>1</v>
          </cell>
          <cell r="S676" t="str">
            <v>Wholesale of food, beverages and tobacco related products</v>
          </cell>
        </row>
        <row r="677">
          <cell r="C677" t="str">
            <v>612015</v>
          </cell>
          <cell r="D677" t="str">
            <v>Wholesale Biscuits, cakes, Bread &amp; other bakery products</v>
          </cell>
          <cell r="E677" t="str">
            <v>T</v>
          </cell>
          <cell r="F677" t="str">
            <v>Y</v>
          </cell>
          <cell r="H677" t="str">
            <v>WH</v>
          </cell>
          <cell r="I677" t="str">
            <v>N</v>
          </cell>
          <cell r="J677" t="str">
            <v>463XX</v>
          </cell>
          <cell r="K677" t="str">
            <v>8</v>
          </cell>
          <cell r="L677" t="str">
            <v>T</v>
          </cell>
          <cell r="M677" t="str">
            <v>8</v>
          </cell>
          <cell r="N677" t="b">
            <v>1</v>
          </cell>
          <cell r="S677" t="str">
            <v>Wholesale of food, beverages and tobacco related products</v>
          </cell>
        </row>
        <row r="678">
          <cell r="C678" t="str">
            <v>5153</v>
          </cell>
          <cell r="D678" t="str">
            <v>Wholesale Grain and Field Beans</v>
          </cell>
          <cell r="E678" t="str">
            <v>T</v>
          </cell>
          <cell r="F678" t="str">
            <v>Y</v>
          </cell>
          <cell r="H678" t="str">
            <v>WH</v>
          </cell>
          <cell r="I678" t="str">
            <v>N</v>
          </cell>
          <cell r="J678" t="str">
            <v>463XX</v>
          </cell>
          <cell r="K678" t="str">
            <v>8</v>
          </cell>
          <cell r="L678" t="str">
            <v>T</v>
          </cell>
          <cell r="M678" t="str">
            <v>8</v>
          </cell>
          <cell r="N678" t="b">
            <v>1</v>
          </cell>
          <cell r="S678" t="str">
            <v>Wholesale of food, beverages and tobacco related products</v>
          </cell>
        </row>
        <row r="679">
          <cell r="C679" t="str">
            <v>5194</v>
          </cell>
          <cell r="D679" t="str">
            <v>Wholesale Tobacco and Tobacco Products</v>
          </cell>
          <cell r="E679" t="str">
            <v>T</v>
          </cell>
          <cell r="F679" t="str">
            <v>N</v>
          </cell>
          <cell r="H679" t="str">
            <v>WH</v>
          </cell>
          <cell r="I679" t="str">
            <v>N</v>
          </cell>
          <cell r="J679" t="str">
            <v>463XX</v>
          </cell>
          <cell r="K679" t="str">
            <v>8</v>
          </cell>
          <cell r="L679" t="str">
            <v>T</v>
          </cell>
          <cell r="M679" t="str">
            <v>8</v>
          </cell>
          <cell r="N679" t="b">
            <v>1</v>
          </cell>
          <cell r="S679" t="str">
            <v>Wholesale of food, beverages and tobacco related products</v>
          </cell>
        </row>
        <row r="680">
          <cell r="C680" t="str">
            <v>5181</v>
          </cell>
          <cell r="D680" t="str">
            <v>Wholesale Beer and Ale</v>
          </cell>
          <cell r="E680" t="str">
            <v>T</v>
          </cell>
          <cell r="F680" t="str">
            <v>N</v>
          </cell>
          <cell r="H680" t="str">
            <v>WH</v>
          </cell>
          <cell r="I680" t="str">
            <v>N</v>
          </cell>
          <cell r="J680" t="str">
            <v>463XX</v>
          </cell>
          <cell r="K680" t="str">
            <v>8</v>
          </cell>
          <cell r="L680" t="str">
            <v>T</v>
          </cell>
          <cell r="M680" t="str">
            <v>8</v>
          </cell>
          <cell r="N680" t="b">
            <v>1</v>
          </cell>
          <cell r="S680" t="str">
            <v>Wholesale of food, beverages and tobacco related products</v>
          </cell>
        </row>
        <row r="681">
          <cell r="C681" t="str">
            <v>5182</v>
          </cell>
          <cell r="D681" t="str">
            <v>Wholesale Wine and Distilled Alcoholic Beverages</v>
          </cell>
          <cell r="E681" t="str">
            <v>T</v>
          </cell>
          <cell r="F681" t="str">
            <v>N</v>
          </cell>
          <cell r="H681" t="str">
            <v>WH</v>
          </cell>
          <cell r="I681" t="str">
            <v>N</v>
          </cell>
          <cell r="J681" t="str">
            <v>463XX</v>
          </cell>
          <cell r="K681" t="str">
            <v>8</v>
          </cell>
          <cell r="L681" t="str">
            <v>T</v>
          </cell>
          <cell r="M681" t="str">
            <v>8</v>
          </cell>
          <cell r="N681" t="b">
            <v>1</v>
          </cell>
          <cell r="S681" t="str">
            <v>Wholesale of food, beverages and tobacco related products</v>
          </cell>
        </row>
        <row r="682">
          <cell r="C682" t="str">
            <v>5143</v>
          </cell>
          <cell r="D682" t="str">
            <v>Wholesale Dairy Products, Except Dried or Canned</v>
          </cell>
          <cell r="E682" t="str">
            <v>T</v>
          </cell>
          <cell r="F682" t="str">
            <v>Y</v>
          </cell>
          <cell r="H682" t="str">
            <v>WH</v>
          </cell>
          <cell r="I682" t="str">
            <v>N</v>
          </cell>
          <cell r="J682" t="str">
            <v>463XX</v>
          </cell>
          <cell r="K682" t="str">
            <v>8</v>
          </cell>
          <cell r="L682" t="str">
            <v>T</v>
          </cell>
          <cell r="M682" t="str">
            <v>8</v>
          </cell>
          <cell r="N682" t="b">
            <v>1</v>
          </cell>
          <cell r="S682" t="str">
            <v>Wholesale of food, beverages and tobacco related products</v>
          </cell>
        </row>
        <row r="683">
          <cell r="C683" t="str">
            <v>5149</v>
          </cell>
          <cell r="D683" t="str">
            <v>Wholesale Groceries and Related Products, N.E.C.</v>
          </cell>
          <cell r="E683" t="str">
            <v>T</v>
          </cell>
          <cell r="F683" t="str">
            <v>Y</v>
          </cell>
          <cell r="H683" t="str">
            <v>WH</v>
          </cell>
          <cell r="I683" t="str">
            <v>N</v>
          </cell>
          <cell r="J683" t="str">
            <v>463XX</v>
          </cell>
          <cell r="K683" t="str">
            <v>8</v>
          </cell>
          <cell r="L683" t="str">
            <v>T</v>
          </cell>
          <cell r="M683" t="str">
            <v>8</v>
          </cell>
          <cell r="N683" t="b">
            <v>1</v>
          </cell>
          <cell r="S683" t="str">
            <v>Wholesale of food, beverages and tobacco related products</v>
          </cell>
        </row>
        <row r="684">
          <cell r="C684" t="str">
            <v>5154</v>
          </cell>
          <cell r="D684" t="str">
            <v>Wholesale Livestock</v>
          </cell>
          <cell r="E684" t="str">
            <v>T</v>
          </cell>
          <cell r="F684" t="str">
            <v>Y</v>
          </cell>
          <cell r="H684" t="str">
            <v>WH</v>
          </cell>
          <cell r="I684" t="str">
            <v>N</v>
          </cell>
          <cell r="J684" t="str">
            <v>463XX</v>
          </cell>
          <cell r="K684" t="str">
            <v>8</v>
          </cell>
          <cell r="L684" t="str">
            <v>T</v>
          </cell>
          <cell r="M684" t="str">
            <v>8</v>
          </cell>
          <cell r="N684" t="b">
            <v>1</v>
          </cell>
          <cell r="S684" t="str">
            <v>Wholesale of food, beverages and tobacco related products</v>
          </cell>
        </row>
        <row r="685">
          <cell r="C685" t="str">
            <v>5159</v>
          </cell>
          <cell r="D685" t="str">
            <v>Wholesale Farm-Product Raw Materials, N.E.C.</v>
          </cell>
          <cell r="E685" t="str">
            <v>T</v>
          </cell>
          <cell r="F685" t="str">
            <v>Y</v>
          </cell>
          <cell r="H685" t="str">
            <v>WH</v>
          </cell>
          <cell r="I685" t="str">
            <v>N</v>
          </cell>
          <cell r="J685" t="str">
            <v>463XX</v>
          </cell>
          <cell r="K685" t="str">
            <v>8</v>
          </cell>
          <cell r="L685" t="str">
            <v>T</v>
          </cell>
          <cell r="M685" t="str">
            <v>8</v>
          </cell>
          <cell r="N685" t="b">
            <v>1</v>
          </cell>
          <cell r="S685" t="str">
            <v>Wholesale of food, beverages and tobacco related products</v>
          </cell>
        </row>
        <row r="686">
          <cell r="C686" t="str">
            <v>5142</v>
          </cell>
          <cell r="D686" t="str">
            <v>Wholesale Packaged Frozen Foods</v>
          </cell>
          <cell r="E686" t="str">
            <v>T</v>
          </cell>
          <cell r="F686" t="str">
            <v>Y</v>
          </cell>
          <cell r="H686" t="str">
            <v>WH</v>
          </cell>
          <cell r="I686" t="str">
            <v>N</v>
          </cell>
          <cell r="J686" t="str">
            <v>463XX</v>
          </cell>
          <cell r="K686" t="str">
            <v>8</v>
          </cell>
          <cell r="L686" t="str">
            <v>T</v>
          </cell>
          <cell r="M686" t="str">
            <v>8</v>
          </cell>
          <cell r="N686" t="b">
            <v>1</v>
          </cell>
          <cell r="S686" t="str">
            <v>Wholesale of food, beverages and tobacco related products</v>
          </cell>
        </row>
        <row r="687">
          <cell r="C687" t="str">
            <v>5141</v>
          </cell>
          <cell r="D687" t="str">
            <v>Wholesale Groceries, General Line</v>
          </cell>
          <cell r="E687" t="str">
            <v>T</v>
          </cell>
          <cell r="F687" t="str">
            <v>Y</v>
          </cell>
          <cell r="H687" t="str">
            <v>WH</v>
          </cell>
          <cell r="I687" t="str">
            <v>N</v>
          </cell>
          <cell r="J687" t="str">
            <v>463XX</v>
          </cell>
          <cell r="K687" t="str">
            <v>8</v>
          </cell>
          <cell r="L687" t="str">
            <v>T</v>
          </cell>
          <cell r="M687" t="str">
            <v>8</v>
          </cell>
          <cell r="N687" t="b">
            <v>1</v>
          </cell>
          <cell r="S687" t="str">
            <v>Wholesale of food, beverages and tobacco related products</v>
          </cell>
        </row>
        <row r="688">
          <cell r="C688" t="str">
            <v>5136</v>
          </cell>
          <cell r="D688" t="str">
            <v>Wholesale Men's and Boys' Clothing and Furnishings</v>
          </cell>
          <cell r="E688" t="str">
            <v>H</v>
          </cell>
          <cell r="F688" t="str">
            <v>Y</v>
          </cell>
          <cell r="H688" t="str">
            <v>WH</v>
          </cell>
          <cell r="I688" t="str">
            <v>N</v>
          </cell>
          <cell r="J688" t="str">
            <v>4641X</v>
          </cell>
          <cell r="K688" t="str">
            <v>9</v>
          </cell>
          <cell r="L688" t="str">
            <v>H</v>
          </cell>
          <cell r="M688" t="str">
            <v>0</v>
          </cell>
          <cell r="N688" t="b">
            <v>1</v>
          </cell>
          <cell r="S688" t="str">
            <v>Wholesale of Household goods</v>
          </cell>
        </row>
        <row r="689">
          <cell r="C689" t="str">
            <v>5137</v>
          </cell>
          <cell r="D689" t="str">
            <v>Wholesale Women's, Children's, and Infants' Clothing and Accessories</v>
          </cell>
          <cell r="E689" t="str">
            <v>H</v>
          </cell>
          <cell r="F689" t="str">
            <v>Y</v>
          </cell>
          <cell r="H689" t="str">
            <v>WH</v>
          </cell>
          <cell r="I689" t="str">
            <v>N</v>
          </cell>
          <cell r="J689" t="str">
            <v>4641X</v>
          </cell>
          <cell r="K689" t="str">
            <v>9</v>
          </cell>
          <cell r="L689" t="str">
            <v>H</v>
          </cell>
          <cell r="M689" t="str">
            <v>0</v>
          </cell>
          <cell r="N689" t="b">
            <v>1</v>
          </cell>
          <cell r="S689" t="str">
            <v>Wholesale of Household goods</v>
          </cell>
        </row>
        <row r="690">
          <cell r="C690" t="str">
            <v>5139</v>
          </cell>
          <cell r="D690" t="str">
            <v>Wholesale Footwear</v>
          </cell>
          <cell r="E690" t="str">
            <v>T</v>
          </cell>
          <cell r="F690" t="str">
            <v>Y</v>
          </cell>
          <cell r="H690" t="str">
            <v>WH</v>
          </cell>
          <cell r="I690" t="str">
            <v>N</v>
          </cell>
          <cell r="J690" t="str">
            <v>4641X</v>
          </cell>
          <cell r="K690" t="str">
            <v>9</v>
          </cell>
          <cell r="L690" t="str">
            <v>T</v>
          </cell>
          <cell r="M690" t="str">
            <v>9</v>
          </cell>
          <cell r="N690" t="b">
            <v>1</v>
          </cell>
          <cell r="S690" t="str">
            <v>Wholesale of Household goods</v>
          </cell>
        </row>
        <row r="691">
          <cell r="C691" t="str">
            <v>5043</v>
          </cell>
          <cell r="D691" t="str">
            <v>Wholesale Photographic Equipment and Supplies</v>
          </cell>
          <cell r="E691" t="str">
            <v>T</v>
          </cell>
          <cell r="F691" t="str">
            <v>Y</v>
          </cell>
          <cell r="H691" t="str">
            <v>WH</v>
          </cell>
          <cell r="I691" t="str">
            <v>N</v>
          </cell>
          <cell r="J691" t="str">
            <v>46999</v>
          </cell>
          <cell r="K691" t="str">
            <v>9</v>
          </cell>
          <cell r="L691" t="str">
            <v>T</v>
          </cell>
          <cell r="M691" t="str">
            <v>9</v>
          </cell>
          <cell r="N691" t="b">
            <v>1</v>
          </cell>
          <cell r="R691" t="str">
            <v>Should this SIC 5043 tagged under "46499 - Wholesale of other household goods nec" or "46999 - Other wholesale trade, except of motor vehicles and motorcycles"??</v>
          </cell>
          <cell r="S691" t="str">
            <v>Other wholesale trade, except of motor vehicles and motorcycles</v>
          </cell>
        </row>
        <row r="692">
          <cell r="C692" t="str">
            <v>5064</v>
          </cell>
          <cell r="D692" t="str">
            <v>Wholesale Electrical Appliances, Television and Radio Sets</v>
          </cell>
          <cell r="E692" t="str">
            <v>T</v>
          </cell>
          <cell r="F692" t="str">
            <v>Y</v>
          </cell>
          <cell r="H692" t="str">
            <v>WH</v>
          </cell>
          <cell r="I692" t="str">
            <v>N</v>
          </cell>
          <cell r="J692" t="str">
            <v>46496</v>
          </cell>
          <cell r="K692" t="str">
            <v>9</v>
          </cell>
          <cell r="L692" t="str">
            <v>T</v>
          </cell>
          <cell r="M692" t="str">
            <v>9</v>
          </cell>
          <cell r="N692" t="b">
            <v>1</v>
          </cell>
          <cell r="S692" t="str">
            <v>Wholesale of Household goods</v>
          </cell>
        </row>
        <row r="693">
          <cell r="C693" t="str">
            <v>5065</v>
          </cell>
          <cell r="D693" t="str">
            <v>Wholesale Electronic Parts and Equipment, N.E.C.</v>
          </cell>
          <cell r="E693" t="str">
            <v>T</v>
          </cell>
          <cell r="F693" t="str">
            <v>Y</v>
          </cell>
          <cell r="H693" t="str">
            <v>WH</v>
          </cell>
          <cell r="I693" t="str">
            <v>N</v>
          </cell>
          <cell r="J693" t="str">
            <v>46496</v>
          </cell>
          <cell r="K693" t="str">
            <v>9</v>
          </cell>
          <cell r="L693" t="str">
            <v>T</v>
          </cell>
          <cell r="M693" t="str">
            <v>9</v>
          </cell>
          <cell r="N693" t="b">
            <v>1</v>
          </cell>
          <cell r="S693" t="str">
            <v>Wholesale of Household goods</v>
          </cell>
        </row>
        <row r="694">
          <cell r="C694" t="str">
            <v>5075</v>
          </cell>
          <cell r="D694" t="str">
            <v>Wholesale Warm Air Heating and Air-Conditioning Equipment and Supplies</v>
          </cell>
          <cell r="E694" t="str">
            <v>T</v>
          </cell>
          <cell r="F694" t="str">
            <v>Y</v>
          </cell>
          <cell r="H694" t="str">
            <v>WH</v>
          </cell>
          <cell r="I694" t="str">
            <v>N</v>
          </cell>
          <cell r="J694" t="str">
            <v>46496</v>
          </cell>
          <cell r="K694" t="str">
            <v>9</v>
          </cell>
          <cell r="L694" t="str">
            <v>T</v>
          </cell>
          <cell r="M694" t="str">
            <v>9</v>
          </cell>
          <cell r="N694" t="b">
            <v>1</v>
          </cell>
          <cell r="S694" t="str">
            <v>Wholesale of Household goods</v>
          </cell>
        </row>
        <row r="695">
          <cell r="C695" t="str">
            <v>5091</v>
          </cell>
          <cell r="D695" t="str">
            <v>Wholesale Sporting and Recreational Goods and Supplies</v>
          </cell>
          <cell r="E695" t="str">
            <v>T</v>
          </cell>
          <cell r="F695" t="str">
            <v>Y</v>
          </cell>
          <cell r="H695" t="str">
            <v>WH</v>
          </cell>
          <cell r="I695" t="str">
            <v>N</v>
          </cell>
          <cell r="J695" t="str">
            <v>46499</v>
          </cell>
          <cell r="K695" t="str">
            <v>9</v>
          </cell>
          <cell r="L695" t="str">
            <v>T</v>
          </cell>
          <cell r="M695" t="str">
            <v>9</v>
          </cell>
          <cell r="N695" t="b">
            <v>1</v>
          </cell>
          <cell r="S695" t="str">
            <v>Wholesale of Household goods</v>
          </cell>
        </row>
        <row r="696">
          <cell r="C696" t="str">
            <v>5198</v>
          </cell>
          <cell r="D696" t="str">
            <v>Wholesale Paints, Varnishes, and Supplies</v>
          </cell>
          <cell r="E696" t="str">
            <v>T</v>
          </cell>
          <cell r="F696" t="str">
            <v>Y</v>
          </cell>
          <cell r="H696" t="str">
            <v>WH</v>
          </cell>
          <cell r="I696" t="str">
            <v>N</v>
          </cell>
          <cell r="J696" t="str">
            <v>46499</v>
          </cell>
          <cell r="K696" t="str">
            <v>9</v>
          </cell>
          <cell r="L696" t="str">
            <v>T</v>
          </cell>
          <cell r="M696" t="str">
            <v>9</v>
          </cell>
          <cell r="N696" t="b">
            <v>1</v>
          </cell>
          <cell r="S696" t="str">
            <v>Wholesale of Household goods</v>
          </cell>
        </row>
        <row r="697">
          <cell r="C697" t="str">
            <v>5111</v>
          </cell>
          <cell r="D697" t="str">
            <v>Wholesale Printing and Writing Paper</v>
          </cell>
          <cell r="E697" t="str">
            <v>N</v>
          </cell>
          <cell r="F697" t="str">
            <v>Y</v>
          </cell>
          <cell r="G697" t="str">
            <v>N</v>
          </cell>
          <cell r="H697" t="str">
            <v>WH</v>
          </cell>
          <cell r="I697" t="str">
            <v>N</v>
          </cell>
          <cell r="J697" t="str">
            <v>46499</v>
          </cell>
          <cell r="K697" t="str">
            <v>9</v>
          </cell>
          <cell r="L697" t="str">
            <v>N</v>
          </cell>
          <cell r="M697" t="str">
            <v>0</v>
          </cell>
          <cell r="N697" t="b">
            <v>1</v>
          </cell>
          <cell r="S697" t="str">
            <v>Wholesale of Household goods</v>
          </cell>
        </row>
        <row r="698">
          <cell r="C698" t="str">
            <v>5112</v>
          </cell>
          <cell r="D698" t="str">
            <v>Wholesale Stationery and Office Supplies</v>
          </cell>
          <cell r="E698" t="str">
            <v>N</v>
          </cell>
          <cell r="F698" t="str">
            <v>Y</v>
          </cell>
          <cell r="G698" t="str">
            <v>N</v>
          </cell>
          <cell r="H698" t="str">
            <v>WH</v>
          </cell>
          <cell r="I698" t="str">
            <v>N</v>
          </cell>
          <cell r="J698" t="str">
            <v>46499</v>
          </cell>
          <cell r="K698" t="str">
            <v>9</v>
          </cell>
          <cell r="L698" t="str">
            <v>N</v>
          </cell>
          <cell r="M698" t="str">
            <v>0</v>
          </cell>
          <cell r="N698" t="b">
            <v>1</v>
          </cell>
          <cell r="S698" t="str">
            <v>Wholesale of Household goods</v>
          </cell>
        </row>
        <row r="699">
          <cell r="C699" t="str">
            <v>5122</v>
          </cell>
          <cell r="D699" t="str">
            <v>Wholesale Drugs, Drug Proprietaries, and Druggists' Sundries</v>
          </cell>
          <cell r="E699" t="str">
            <v>T</v>
          </cell>
          <cell r="F699" t="str">
            <v>Y</v>
          </cell>
          <cell r="H699" t="str">
            <v>WH</v>
          </cell>
          <cell r="I699" t="str">
            <v>N</v>
          </cell>
          <cell r="J699" t="str">
            <v>46499</v>
          </cell>
          <cell r="K699" t="str">
            <v>9</v>
          </cell>
          <cell r="L699" t="str">
            <v>T</v>
          </cell>
          <cell r="M699" t="str">
            <v>9</v>
          </cell>
          <cell r="N699" t="b">
            <v>1</v>
          </cell>
          <cell r="S699" t="str">
            <v>Wholesale of Household goods</v>
          </cell>
        </row>
        <row r="700">
          <cell r="C700" t="str">
            <v>5251</v>
          </cell>
          <cell r="D700" t="str">
            <v>Hardware Stores</v>
          </cell>
          <cell r="E700" t="str">
            <v>T</v>
          </cell>
          <cell r="F700" t="str">
            <v>Y</v>
          </cell>
          <cell r="H700" t="str">
            <v>WH</v>
          </cell>
          <cell r="I700" t="str">
            <v>N</v>
          </cell>
          <cell r="J700" t="str">
            <v>46499</v>
          </cell>
          <cell r="K700" t="str">
            <v>9</v>
          </cell>
          <cell r="L700" t="str">
            <v>T</v>
          </cell>
          <cell r="M700" t="str">
            <v>9</v>
          </cell>
          <cell r="N700" t="b">
            <v>1</v>
          </cell>
          <cell r="S700" t="str">
            <v>Wholesale of Household goods</v>
          </cell>
        </row>
        <row r="701">
          <cell r="C701" t="str">
            <v>5311</v>
          </cell>
          <cell r="D701" t="str">
            <v>Department Stores</v>
          </cell>
          <cell r="E701" t="str">
            <v>T</v>
          </cell>
          <cell r="F701" t="str">
            <v>Y</v>
          </cell>
          <cell r="H701" t="str">
            <v>WH</v>
          </cell>
          <cell r="I701" t="str">
            <v>N</v>
          </cell>
          <cell r="J701" t="str">
            <v>46499</v>
          </cell>
          <cell r="K701" t="str">
            <v>9</v>
          </cell>
          <cell r="L701" t="str">
            <v>T</v>
          </cell>
          <cell r="M701" t="str">
            <v>9</v>
          </cell>
          <cell r="N701" t="b">
            <v>1</v>
          </cell>
          <cell r="S701" t="str">
            <v>Wholesale of Household goods</v>
          </cell>
        </row>
        <row r="702">
          <cell r="C702" t="str">
            <v>5092</v>
          </cell>
          <cell r="D702" t="str">
            <v>Wholesale Toys and Hobby Goods and Supplies</v>
          </cell>
          <cell r="E702" t="str">
            <v>T</v>
          </cell>
          <cell r="F702" t="str">
            <v>Y</v>
          </cell>
          <cell r="H702" t="str">
            <v>WH</v>
          </cell>
          <cell r="I702" t="str">
            <v>N</v>
          </cell>
          <cell r="J702" t="str">
            <v>46499</v>
          </cell>
          <cell r="K702" t="str">
            <v>9</v>
          </cell>
          <cell r="L702" t="str">
            <v>T</v>
          </cell>
          <cell r="M702" t="str">
            <v>9</v>
          </cell>
          <cell r="N702" t="b">
            <v>1</v>
          </cell>
          <cell r="S702" t="str">
            <v>Wholesale of Household goods</v>
          </cell>
        </row>
        <row r="703">
          <cell r="C703" t="str">
            <v>5131</v>
          </cell>
          <cell r="D703" t="str">
            <v>Wholesale Piece Goods, Notions, and Other Dry Goods</v>
          </cell>
          <cell r="E703" t="str">
            <v>T</v>
          </cell>
          <cell r="F703" t="str">
            <v>Y</v>
          </cell>
          <cell r="H703" t="str">
            <v>WH</v>
          </cell>
          <cell r="I703" t="str">
            <v>N</v>
          </cell>
          <cell r="J703" t="str">
            <v>46499</v>
          </cell>
          <cell r="K703" t="str">
            <v>9</v>
          </cell>
          <cell r="L703" t="str">
            <v>T</v>
          </cell>
          <cell r="M703" t="str">
            <v>9</v>
          </cell>
          <cell r="N703" t="b">
            <v>1</v>
          </cell>
          <cell r="S703" t="str">
            <v>Wholesale of Household goods</v>
          </cell>
        </row>
        <row r="704">
          <cell r="C704" t="str">
            <v>5021</v>
          </cell>
          <cell r="D704" t="str">
            <v>Wholesale Furniture</v>
          </cell>
          <cell r="E704" t="str">
            <v>N</v>
          </cell>
          <cell r="F704" t="str">
            <v>Y</v>
          </cell>
          <cell r="G704" t="str">
            <v>N</v>
          </cell>
          <cell r="H704" t="str">
            <v>WH</v>
          </cell>
          <cell r="I704" t="str">
            <v>N</v>
          </cell>
          <cell r="J704" t="str">
            <v>46499</v>
          </cell>
          <cell r="K704" t="str">
            <v>9</v>
          </cell>
          <cell r="L704" t="str">
            <v>N</v>
          </cell>
          <cell r="M704" t="str">
            <v>0</v>
          </cell>
          <cell r="N704" t="b">
            <v>1</v>
          </cell>
          <cell r="S704" t="str">
            <v>Wholesale of Household goods</v>
          </cell>
        </row>
        <row r="705">
          <cell r="C705" t="str">
            <v>5023</v>
          </cell>
          <cell r="D705" t="str">
            <v>Wholesale Homefurnishings</v>
          </cell>
          <cell r="E705" t="str">
            <v>T</v>
          </cell>
          <cell r="F705" t="str">
            <v>Y</v>
          </cell>
          <cell r="H705" t="str">
            <v>WH</v>
          </cell>
          <cell r="I705" t="str">
            <v>N</v>
          </cell>
          <cell r="J705" t="str">
            <v>46499</v>
          </cell>
          <cell r="K705" t="str">
            <v>9</v>
          </cell>
          <cell r="L705" t="str">
            <v>T</v>
          </cell>
          <cell r="M705" t="str">
            <v>9</v>
          </cell>
          <cell r="N705" t="b">
            <v>1</v>
          </cell>
          <cell r="S705" t="str">
            <v>Wholesale of Household goods</v>
          </cell>
        </row>
        <row r="706">
          <cell r="C706" t="str">
            <v>5045</v>
          </cell>
          <cell r="D706" t="str">
            <v>Wholesale Computers and Computer Peripheral Equipment and Software</v>
          </cell>
          <cell r="E706" t="str">
            <v>T</v>
          </cell>
          <cell r="F706" t="str">
            <v>Y</v>
          </cell>
          <cell r="H706" t="str">
            <v>WH</v>
          </cell>
          <cell r="I706" t="str">
            <v>N</v>
          </cell>
          <cell r="J706" t="str">
            <v>46510</v>
          </cell>
          <cell r="K706" t="str">
            <v>9</v>
          </cell>
          <cell r="L706" t="str">
            <v>T</v>
          </cell>
          <cell r="M706" t="str">
            <v>9</v>
          </cell>
          <cell r="N706" t="b">
            <v>1</v>
          </cell>
          <cell r="S706" t="str">
            <v>Wholesale of machinery, equipment and supplies</v>
          </cell>
        </row>
        <row r="707">
          <cell r="C707" t="str">
            <v>46595</v>
          </cell>
          <cell r="D707" t="str">
            <v>Wholesale of construction and civil engineering machinery and equipment</v>
          </cell>
          <cell r="E707" t="str">
            <v>T</v>
          </cell>
          <cell r="F707" t="str">
            <v>Y</v>
          </cell>
          <cell r="H707" t="str">
            <v>WH</v>
          </cell>
          <cell r="I707" t="str">
            <v>N</v>
          </cell>
          <cell r="J707" t="str">
            <v>46595</v>
          </cell>
          <cell r="K707" t="str">
            <v>9</v>
          </cell>
          <cell r="L707" t="str">
            <v>T</v>
          </cell>
          <cell r="M707" t="str">
            <v>9</v>
          </cell>
          <cell r="N707" t="b">
            <v>1</v>
          </cell>
          <cell r="S707" t="str">
            <v>Wholesale of machinery, equipment and supplies</v>
          </cell>
        </row>
        <row r="708">
          <cell r="C708" t="str">
            <v>5084</v>
          </cell>
          <cell r="D708" t="str">
            <v>Wholesale Industrial Machinery and Equipment</v>
          </cell>
          <cell r="E708" t="str">
            <v>T</v>
          </cell>
          <cell r="F708" t="str">
            <v>Y</v>
          </cell>
          <cell r="H708" t="str">
            <v>WH</v>
          </cell>
          <cell r="I708" t="str">
            <v>N</v>
          </cell>
          <cell r="J708" t="str">
            <v>46599</v>
          </cell>
          <cell r="K708" t="str">
            <v>9</v>
          </cell>
          <cell r="L708" t="str">
            <v>T</v>
          </cell>
          <cell r="M708" t="str">
            <v>9</v>
          </cell>
          <cell r="N708" t="b">
            <v>1</v>
          </cell>
          <cell r="S708" t="str">
            <v>Wholesale of machinery, equipment and supplies</v>
          </cell>
        </row>
        <row r="709">
          <cell r="C709" t="str">
            <v>46999</v>
          </cell>
          <cell r="D709" t="str">
            <v>Farming Equipment</v>
          </cell>
          <cell r="E709" t="str">
            <v>T</v>
          </cell>
          <cell r="F709" t="str">
            <v>Y</v>
          </cell>
          <cell r="H709" t="str">
            <v>WH</v>
          </cell>
          <cell r="I709" t="str">
            <v>N</v>
          </cell>
          <cell r="J709" t="str">
            <v>46999</v>
          </cell>
          <cell r="K709" t="str">
            <v>9</v>
          </cell>
          <cell r="L709" t="str">
            <v>T</v>
          </cell>
          <cell r="M709" t="str">
            <v>9</v>
          </cell>
          <cell r="N709" t="b">
            <v>1</v>
          </cell>
          <cell r="R709" t="str">
            <v>??</v>
          </cell>
          <cell r="S709" t="str">
            <v>Wholesale of Household goods</v>
          </cell>
        </row>
        <row r="710">
          <cell r="C710" t="str">
            <v>5085</v>
          </cell>
          <cell r="D710" t="str">
            <v>Wholesale Industrial Supplies</v>
          </cell>
          <cell r="E710" t="str">
            <v>T</v>
          </cell>
          <cell r="F710" t="str">
            <v>Y</v>
          </cell>
          <cell r="H710" t="str">
            <v>WH</v>
          </cell>
          <cell r="I710" t="str">
            <v>N</v>
          </cell>
          <cell r="J710" t="str">
            <v>46999</v>
          </cell>
          <cell r="K710" t="str">
            <v>9</v>
          </cell>
          <cell r="L710" t="str">
            <v>T</v>
          </cell>
          <cell r="M710" t="str">
            <v>9</v>
          </cell>
          <cell r="N710" t="b">
            <v>1</v>
          </cell>
          <cell r="S710" t="str">
            <v>Other wholesale trade, except of motor vehicles and motorcycles</v>
          </cell>
        </row>
        <row r="711">
          <cell r="C711" t="str">
            <v>5083</v>
          </cell>
          <cell r="D711" t="str">
            <v>Wholesale Farm and Garden Machinery and Equipment</v>
          </cell>
          <cell r="E711" t="str">
            <v>T</v>
          </cell>
          <cell r="F711" t="str">
            <v>Y</v>
          </cell>
          <cell r="H711" t="str">
            <v>WH</v>
          </cell>
          <cell r="I711" t="str">
            <v>N</v>
          </cell>
          <cell r="J711" t="str">
            <v>46999</v>
          </cell>
          <cell r="K711" t="str">
            <v>9</v>
          </cell>
          <cell r="L711" t="str">
            <v>T</v>
          </cell>
          <cell r="M711" t="str">
            <v>9</v>
          </cell>
          <cell r="N711" t="b">
            <v>1</v>
          </cell>
          <cell r="S711" t="str">
            <v>Other wholesale trade, except of motor vehicles and motorcycles</v>
          </cell>
        </row>
        <row r="712">
          <cell r="C712" t="str">
            <v>5032</v>
          </cell>
          <cell r="D712" t="str">
            <v>Wholesale Brick, Stone, and Related Construction Materials</v>
          </cell>
          <cell r="E712" t="str">
            <v>T</v>
          </cell>
          <cell r="F712" t="str">
            <v>Y</v>
          </cell>
          <cell r="H712" t="str">
            <v>WH</v>
          </cell>
          <cell r="I712" t="str">
            <v>N</v>
          </cell>
          <cell r="J712" t="str">
            <v>46999</v>
          </cell>
          <cell r="K712" t="str">
            <v>9</v>
          </cell>
          <cell r="L712" t="str">
            <v>T</v>
          </cell>
          <cell r="M712" t="str">
            <v>9</v>
          </cell>
          <cell r="N712" t="b">
            <v>1</v>
          </cell>
          <cell r="S712" t="str">
            <v>Other wholesale trade, except of motor vehicles and motorcycles</v>
          </cell>
        </row>
        <row r="713">
          <cell r="C713" t="str">
            <v>5033</v>
          </cell>
          <cell r="D713" t="str">
            <v>Wholesale Roofing, Siding, and Insulation Materials</v>
          </cell>
          <cell r="E713" t="str">
            <v>T</v>
          </cell>
          <cell r="F713" t="str">
            <v>Y</v>
          </cell>
          <cell r="H713" t="str">
            <v>WH</v>
          </cell>
          <cell r="I713" t="str">
            <v>N</v>
          </cell>
          <cell r="J713" t="str">
            <v>46999</v>
          </cell>
          <cell r="K713" t="str">
            <v>9</v>
          </cell>
          <cell r="L713" t="str">
            <v>T</v>
          </cell>
          <cell r="M713" t="str">
            <v>9</v>
          </cell>
          <cell r="N713" t="b">
            <v>1</v>
          </cell>
          <cell r="S713" t="str">
            <v>Other wholesale trade, except of motor vehicles and motorcycles</v>
          </cell>
        </row>
        <row r="714">
          <cell r="C714" t="str">
            <v>5039</v>
          </cell>
          <cell r="D714" t="str">
            <v>Wholesale Construction Materials, N.E.C.</v>
          </cell>
          <cell r="E714" t="str">
            <v>H</v>
          </cell>
          <cell r="F714" t="str">
            <v>Y</v>
          </cell>
          <cell r="H714" t="str">
            <v>WH</v>
          </cell>
          <cell r="I714" t="str">
            <v>N</v>
          </cell>
          <cell r="J714" t="str">
            <v>46999</v>
          </cell>
          <cell r="K714" t="str">
            <v>9</v>
          </cell>
          <cell r="L714" t="str">
            <v>H</v>
          </cell>
          <cell r="M714" t="str">
            <v>0</v>
          </cell>
          <cell r="N714" t="b">
            <v>1</v>
          </cell>
          <cell r="P714" t="str">
            <v>Y</v>
          </cell>
          <cell r="S714" t="str">
            <v>Other wholesale trade, except of motor vehicles and motorcycles</v>
          </cell>
        </row>
        <row r="715">
          <cell r="C715" t="str">
            <v>5211</v>
          </cell>
          <cell r="D715" t="str">
            <v>Lumber and Other Building Materials Dealers</v>
          </cell>
          <cell r="E715" t="str">
            <v>N</v>
          </cell>
          <cell r="F715" t="str">
            <v>Y</v>
          </cell>
          <cell r="H715" t="str">
            <v>WH</v>
          </cell>
          <cell r="I715" t="str">
            <v>N</v>
          </cell>
          <cell r="J715" t="str">
            <v>46999</v>
          </cell>
          <cell r="K715" t="str">
            <v>11</v>
          </cell>
          <cell r="L715" t="str">
            <v>N</v>
          </cell>
          <cell r="M715" t="str">
            <v>0</v>
          </cell>
          <cell r="N715" t="b">
            <v>1</v>
          </cell>
          <cell r="S715" t="str">
            <v>Other wholesale trade, except of motor vehicles and motorcycles</v>
          </cell>
        </row>
        <row r="716">
          <cell r="C716" t="str">
            <v>5231</v>
          </cell>
          <cell r="D716" t="str">
            <v>Paint, Glass, and Wallpaper Stores</v>
          </cell>
          <cell r="E716" t="str">
            <v>T</v>
          </cell>
          <cell r="F716" t="str">
            <v>Y</v>
          </cell>
          <cell r="H716" t="str">
            <v>WH</v>
          </cell>
          <cell r="I716" t="str">
            <v>N</v>
          </cell>
          <cell r="J716" t="str">
            <v>46999</v>
          </cell>
          <cell r="K716" t="str">
            <v>9</v>
          </cell>
          <cell r="L716" t="str">
            <v>T</v>
          </cell>
          <cell r="M716" t="str">
            <v>9</v>
          </cell>
          <cell r="N716" t="b">
            <v>1</v>
          </cell>
          <cell r="S716" t="str">
            <v>Other wholesale trade, except of motor vehicles and motorcycles</v>
          </cell>
        </row>
        <row r="717">
          <cell r="C717" t="str">
            <v>5078</v>
          </cell>
          <cell r="D717" t="str">
            <v>Wholesale Refrigeration Equipment and Supplies</v>
          </cell>
          <cell r="E717" t="str">
            <v>T</v>
          </cell>
          <cell r="F717" t="str">
            <v>Y</v>
          </cell>
          <cell r="H717" t="str">
            <v>WH</v>
          </cell>
          <cell r="I717" t="str">
            <v>N</v>
          </cell>
          <cell r="J717" t="str">
            <v>46999</v>
          </cell>
          <cell r="K717" t="str">
            <v>9</v>
          </cell>
          <cell r="L717" t="str">
            <v>T</v>
          </cell>
          <cell r="M717" t="str">
            <v>9</v>
          </cell>
          <cell r="N717" t="b">
            <v>1</v>
          </cell>
          <cell r="S717" t="str">
            <v>Other wholesale trade, except of motor vehicles and motorcycles</v>
          </cell>
        </row>
        <row r="718">
          <cell r="C718" t="str">
            <v>5048</v>
          </cell>
          <cell r="D718" t="str">
            <v>Wholesale Ophthalmic Goods</v>
          </cell>
          <cell r="E718" t="str">
            <v>T</v>
          </cell>
          <cell r="F718" t="str">
            <v>Y</v>
          </cell>
          <cell r="H718" t="str">
            <v>WH</v>
          </cell>
          <cell r="I718" t="str">
            <v>N</v>
          </cell>
          <cell r="J718" t="str">
            <v>46999</v>
          </cell>
          <cell r="K718" t="str">
            <v>9</v>
          </cell>
          <cell r="L718" t="str">
            <v>T</v>
          </cell>
          <cell r="M718" t="str">
            <v>9</v>
          </cell>
          <cell r="N718" t="b">
            <v>1</v>
          </cell>
          <cell r="S718" t="str">
            <v>Other wholesale trade, except of motor vehicles and motorcycles</v>
          </cell>
        </row>
        <row r="719">
          <cell r="C719" t="str">
            <v>5093</v>
          </cell>
          <cell r="D719" t="str">
            <v>Wholesale Scrap and Waste Materials</v>
          </cell>
          <cell r="E719" t="str">
            <v>A</v>
          </cell>
          <cell r="F719" t="str">
            <v>Y</v>
          </cell>
          <cell r="H719" t="str">
            <v>WH</v>
          </cell>
          <cell r="I719" t="str">
            <v>N</v>
          </cell>
          <cell r="J719" t="str">
            <v>46999</v>
          </cell>
          <cell r="K719" t="str">
            <v>0</v>
          </cell>
          <cell r="L719" t="str">
            <v>A</v>
          </cell>
          <cell r="M719" t="str">
            <v>0</v>
          </cell>
          <cell r="N719" t="b">
            <v>1</v>
          </cell>
          <cell r="S719" t="str">
            <v>Other wholesale trade, except of motor vehicles and motorcycles</v>
          </cell>
        </row>
        <row r="720">
          <cell r="C720" t="str">
            <v>5044</v>
          </cell>
          <cell r="D720" t="str">
            <v>Wholesale Office Equipment</v>
          </cell>
          <cell r="E720" t="str">
            <v>N</v>
          </cell>
          <cell r="F720" t="str">
            <v>Y</v>
          </cell>
          <cell r="G720" t="str">
            <v>N</v>
          </cell>
          <cell r="H720" t="str">
            <v>WH</v>
          </cell>
          <cell r="I720" t="str">
            <v>N</v>
          </cell>
          <cell r="J720" t="str">
            <v>46999</v>
          </cell>
          <cell r="K720" t="str">
            <v>9</v>
          </cell>
          <cell r="L720" t="str">
            <v>N</v>
          </cell>
          <cell r="M720" t="str">
            <v>0</v>
          </cell>
          <cell r="N720" t="b">
            <v>1</v>
          </cell>
          <cell r="S720" t="str">
            <v>Other wholesale trade, except of motor vehicles and motorcycles</v>
          </cell>
        </row>
        <row r="721">
          <cell r="C721" t="str">
            <v>5047</v>
          </cell>
          <cell r="D721" t="str">
            <v>Wholesale Medical, Dental, and Hospital Equipment and Supplies</v>
          </cell>
          <cell r="E721" t="str">
            <v>T</v>
          </cell>
          <cell r="F721" t="str">
            <v>Y</v>
          </cell>
          <cell r="H721" t="str">
            <v>WH</v>
          </cell>
          <cell r="I721" t="str">
            <v>N</v>
          </cell>
          <cell r="J721" t="str">
            <v>46999</v>
          </cell>
          <cell r="K721" t="str">
            <v>9</v>
          </cell>
          <cell r="L721" t="str">
            <v>T</v>
          </cell>
          <cell r="M721" t="str">
            <v>9</v>
          </cell>
          <cell r="N721" t="b">
            <v>1</v>
          </cell>
          <cell r="S721" t="str">
            <v>Other wholesale trade, except of motor vehicles and motorcycles</v>
          </cell>
        </row>
        <row r="722">
          <cell r="C722" t="str">
            <v>5049</v>
          </cell>
          <cell r="D722" t="str">
            <v>Wholesale Professional Equipment and Supplies, N.E.C.</v>
          </cell>
          <cell r="E722" t="str">
            <v>T</v>
          </cell>
          <cell r="F722" t="str">
            <v>Y</v>
          </cell>
          <cell r="H722" t="str">
            <v>WH</v>
          </cell>
          <cell r="I722" t="str">
            <v>N</v>
          </cell>
          <cell r="J722" t="str">
            <v>46999</v>
          </cell>
          <cell r="K722" t="str">
            <v>9</v>
          </cell>
          <cell r="L722" t="str">
            <v>T</v>
          </cell>
          <cell r="M722" t="str">
            <v>9</v>
          </cell>
          <cell r="N722" t="b">
            <v>1</v>
          </cell>
          <cell r="S722" t="str">
            <v>Other wholesale trade, except of motor vehicles and motorcycles</v>
          </cell>
        </row>
        <row r="723">
          <cell r="C723" t="str">
            <v>5051</v>
          </cell>
          <cell r="D723" t="str">
            <v>Wholesale Metals Service Centers and Offices</v>
          </cell>
          <cell r="E723" t="str">
            <v>T</v>
          </cell>
          <cell r="F723" t="str">
            <v>Y</v>
          </cell>
          <cell r="H723" t="str">
            <v>WH</v>
          </cell>
          <cell r="I723" t="str">
            <v>N</v>
          </cell>
          <cell r="J723" t="str">
            <v>46999</v>
          </cell>
          <cell r="K723" t="str">
            <v>9</v>
          </cell>
          <cell r="L723" t="str">
            <v>T</v>
          </cell>
          <cell r="M723" t="str">
            <v>9</v>
          </cell>
          <cell r="N723" t="b">
            <v>1</v>
          </cell>
          <cell r="S723" t="str">
            <v>Other wholesale trade, except of motor vehicles and motorcycles</v>
          </cell>
        </row>
        <row r="724">
          <cell r="C724" t="str">
            <v>5063</v>
          </cell>
          <cell r="D724" t="str">
            <v>Wholesale Electrical Apparatus and Equipment, Wiring Supplies, and Construction Materials</v>
          </cell>
          <cell r="E724" t="str">
            <v>T</v>
          </cell>
          <cell r="F724" t="str">
            <v>Y</v>
          </cell>
          <cell r="H724" t="str">
            <v>WH</v>
          </cell>
          <cell r="I724" t="str">
            <v>N</v>
          </cell>
          <cell r="J724" t="str">
            <v>46999</v>
          </cell>
          <cell r="K724" t="str">
            <v>9</v>
          </cell>
          <cell r="L724" t="str">
            <v>T</v>
          </cell>
          <cell r="M724" t="str">
            <v>9</v>
          </cell>
          <cell r="N724" t="b">
            <v>1</v>
          </cell>
          <cell r="S724" t="str">
            <v>Other wholesale trade, except of motor vehicles and motorcycles</v>
          </cell>
        </row>
        <row r="725">
          <cell r="C725" t="str">
            <v>5074</v>
          </cell>
          <cell r="D725" t="str">
            <v>Wholesale Plumbing and Heating Equipment and Supplies (Hydronics)</v>
          </cell>
          <cell r="E725" t="str">
            <v>T</v>
          </cell>
          <cell r="F725" t="str">
            <v>Y</v>
          </cell>
          <cell r="H725" t="str">
            <v>WH</v>
          </cell>
          <cell r="I725" t="str">
            <v>N</v>
          </cell>
          <cell r="J725" t="str">
            <v>46999</v>
          </cell>
          <cell r="K725" t="str">
            <v>9</v>
          </cell>
          <cell r="L725" t="str">
            <v>T</v>
          </cell>
          <cell r="M725" t="str">
            <v>9</v>
          </cell>
          <cell r="N725" t="b">
            <v>1</v>
          </cell>
          <cell r="S725" t="str">
            <v>Other wholesale trade, except of motor vehicles and motorcycles</v>
          </cell>
        </row>
        <row r="726">
          <cell r="C726" t="str">
            <v>5082</v>
          </cell>
          <cell r="D726" t="str">
            <v>Wholesale Construction and Mining (Except Petroleum) Machinery and Equipment</v>
          </cell>
          <cell r="E726" t="str">
            <v>H</v>
          </cell>
          <cell r="F726" t="str">
            <v>Y</v>
          </cell>
          <cell r="H726" t="str">
            <v>WH</v>
          </cell>
          <cell r="I726" t="str">
            <v>N</v>
          </cell>
          <cell r="J726" t="str">
            <v>46999</v>
          </cell>
          <cell r="K726" t="str">
            <v>9</v>
          </cell>
          <cell r="L726" t="str">
            <v>H</v>
          </cell>
          <cell r="M726" t="str">
            <v>0</v>
          </cell>
          <cell r="N726" t="b">
            <v>1</v>
          </cell>
          <cell r="P726" t="str">
            <v>Y</v>
          </cell>
          <cell r="R726" t="str">
            <v>?? Should this tagged under 46595 - Wholesale of construction and civil engineering machinery and equipment</v>
          </cell>
          <cell r="S726" t="str">
            <v>Wholesale of machinery, equipment and supplies</v>
          </cell>
        </row>
        <row r="727">
          <cell r="C727" t="str">
            <v>5087</v>
          </cell>
          <cell r="D727" t="str">
            <v>Wholesale Service Establishment Equipment and Supplies</v>
          </cell>
          <cell r="E727" t="str">
            <v>T</v>
          </cell>
          <cell r="F727" t="str">
            <v>Y</v>
          </cell>
          <cell r="H727" t="str">
            <v>WH</v>
          </cell>
          <cell r="I727" t="str">
            <v>N</v>
          </cell>
          <cell r="J727" t="str">
            <v>46999</v>
          </cell>
          <cell r="K727" t="str">
            <v>9</v>
          </cell>
          <cell r="L727" t="str">
            <v>T</v>
          </cell>
          <cell r="M727" t="str">
            <v>9</v>
          </cell>
          <cell r="N727" t="b">
            <v>1</v>
          </cell>
          <cell r="S727" t="str">
            <v>Other wholesale trade, except of motor vehicles and motorcycles</v>
          </cell>
        </row>
        <row r="728">
          <cell r="C728" t="str">
            <v>5088</v>
          </cell>
          <cell r="D728" t="str">
            <v>Wholesale Transportation Equipment and Supplies, Except Motor Vehicles</v>
          </cell>
          <cell r="E728" t="str">
            <v>T</v>
          </cell>
          <cell r="F728" t="str">
            <v>Y</v>
          </cell>
          <cell r="H728" t="str">
            <v>WH</v>
          </cell>
          <cell r="I728" t="str">
            <v>N</v>
          </cell>
          <cell r="J728" t="str">
            <v>46999</v>
          </cell>
          <cell r="K728" t="str">
            <v>9</v>
          </cell>
          <cell r="L728" t="str">
            <v>T</v>
          </cell>
          <cell r="M728" t="str">
            <v>9</v>
          </cell>
          <cell r="N728" t="b">
            <v>1</v>
          </cell>
          <cell r="S728" t="str">
            <v>Other wholesale trade, except of motor vehicles and motorcycles</v>
          </cell>
        </row>
        <row r="729">
          <cell r="C729" t="str">
            <v>5094</v>
          </cell>
          <cell r="D729" t="str">
            <v>Wholesale Jewelry, Watches, Precious Stones, and Precious Metals</v>
          </cell>
          <cell r="E729" t="str">
            <v>N</v>
          </cell>
          <cell r="F729" t="str">
            <v>Y</v>
          </cell>
          <cell r="G729" t="str">
            <v>N</v>
          </cell>
          <cell r="H729" t="str">
            <v>WH</v>
          </cell>
          <cell r="I729" t="str">
            <v>N</v>
          </cell>
          <cell r="J729" t="str">
            <v>46999</v>
          </cell>
          <cell r="K729" t="str">
            <v>9</v>
          </cell>
          <cell r="L729" t="str">
            <v>N</v>
          </cell>
          <cell r="M729" t="str">
            <v>0</v>
          </cell>
          <cell r="N729" t="b">
            <v>1</v>
          </cell>
          <cell r="S729" t="str">
            <v>Other wholesale trade, except of motor vehicles and motorcycles</v>
          </cell>
        </row>
        <row r="730">
          <cell r="C730" t="str">
            <v>5099</v>
          </cell>
          <cell r="D730" t="str">
            <v>Wholesale Durable Goods, N.E.C.</v>
          </cell>
          <cell r="E730" t="str">
            <v>T</v>
          </cell>
          <cell r="F730" t="str">
            <v>Y</v>
          </cell>
          <cell r="H730" t="str">
            <v>WH</v>
          </cell>
          <cell r="I730" t="str">
            <v>N</v>
          </cell>
          <cell r="J730" t="str">
            <v>46999</v>
          </cell>
          <cell r="K730" t="str">
            <v>9</v>
          </cell>
          <cell r="L730" t="str">
            <v>T</v>
          </cell>
          <cell r="M730" t="str">
            <v>9</v>
          </cell>
          <cell r="N730" t="b">
            <v>1</v>
          </cell>
          <cell r="S730" t="str">
            <v>Other wholesale trade, except of motor vehicles and motorcycles</v>
          </cell>
        </row>
        <row r="731">
          <cell r="C731" t="str">
            <v>5113</v>
          </cell>
          <cell r="D731" t="str">
            <v>Wholesale Industrial and Personal Service Paper</v>
          </cell>
          <cell r="E731" t="str">
            <v>T</v>
          </cell>
          <cell r="F731" t="str">
            <v>Y</v>
          </cell>
          <cell r="H731" t="str">
            <v>WH</v>
          </cell>
          <cell r="I731" t="str">
            <v>N</v>
          </cell>
          <cell r="J731" t="str">
            <v>46999</v>
          </cell>
          <cell r="K731" t="str">
            <v>9</v>
          </cell>
          <cell r="L731" t="str">
            <v>T</v>
          </cell>
          <cell r="M731" t="str">
            <v>9</v>
          </cell>
          <cell r="N731" t="b">
            <v>1</v>
          </cell>
          <cell r="S731" t="str">
            <v>Other wholesale trade, except of motor vehicles and motorcycles</v>
          </cell>
        </row>
        <row r="732">
          <cell r="C732" t="str">
            <v>5052</v>
          </cell>
          <cell r="D732" t="str">
            <v>Wholesale Coal and Other Minerals and Ores</v>
          </cell>
          <cell r="E732" t="str">
            <v>T</v>
          </cell>
          <cell r="F732" t="str">
            <v>Y</v>
          </cell>
          <cell r="H732" t="str">
            <v>WH</v>
          </cell>
          <cell r="I732" t="str">
            <v>N</v>
          </cell>
          <cell r="J732" t="str">
            <v>46999</v>
          </cell>
          <cell r="K732" t="str">
            <v>9</v>
          </cell>
          <cell r="L732" t="str">
            <v>T</v>
          </cell>
          <cell r="M732" t="str">
            <v>9</v>
          </cell>
          <cell r="N732" t="b">
            <v>1</v>
          </cell>
          <cell r="S732" t="str">
            <v>Other wholesale trade, except of motor vehicles and motorcycles</v>
          </cell>
        </row>
        <row r="733">
          <cell r="C733" t="str">
            <v>5162</v>
          </cell>
          <cell r="D733" t="str">
            <v>Wholesale Plastics Materials and Basic Forms and Shapes</v>
          </cell>
          <cell r="E733" t="str">
            <v>N</v>
          </cell>
          <cell r="F733" t="str">
            <v>Y</v>
          </cell>
          <cell r="G733" t="str">
            <v>N</v>
          </cell>
          <cell r="H733" t="str">
            <v>WH</v>
          </cell>
          <cell r="I733" t="str">
            <v>N</v>
          </cell>
          <cell r="J733" t="str">
            <v>46999</v>
          </cell>
          <cell r="K733" t="str">
            <v>9</v>
          </cell>
          <cell r="L733" t="str">
            <v>N</v>
          </cell>
          <cell r="M733" t="str">
            <v>0</v>
          </cell>
          <cell r="N733" t="b">
            <v>1</v>
          </cell>
          <cell r="S733" t="str">
            <v>Other wholesale trade, except of motor vehicles and motorcycles</v>
          </cell>
        </row>
        <row r="734">
          <cell r="C734" t="str">
            <v>5169</v>
          </cell>
          <cell r="D734" t="str">
            <v>Wholesale Chemical and Allied Products, N.E.C.</v>
          </cell>
          <cell r="E734" t="str">
            <v>T</v>
          </cell>
          <cell r="F734" t="str">
            <v>Y</v>
          </cell>
          <cell r="H734" t="str">
            <v>WH</v>
          </cell>
          <cell r="I734" t="str">
            <v>N</v>
          </cell>
          <cell r="J734" t="str">
            <v>46999</v>
          </cell>
          <cell r="K734" t="str">
            <v>9</v>
          </cell>
          <cell r="L734" t="str">
            <v>T</v>
          </cell>
          <cell r="M734" t="str">
            <v>9</v>
          </cell>
          <cell r="N734" t="b">
            <v>1</v>
          </cell>
          <cell r="S734" t="str">
            <v>Other wholesale trade, except of motor vehicles and motorcycles</v>
          </cell>
        </row>
        <row r="735">
          <cell r="C735" t="str">
            <v>5171</v>
          </cell>
          <cell r="D735" t="str">
            <v>Wholesale Petroleum Bulk Stations and Terminals</v>
          </cell>
          <cell r="E735" t="str">
            <v>T</v>
          </cell>
          <cell r="F735" t="str">
            <v>Y</v>
          </cell>
          <cell r="H735" t="str">
            <v>WH</v>
          </cell>
          <cell r="I735" t="str">
            <v>N</v>
          </cell>
          <cell r="J735" t="str">
            <v>46999</v>
          </cell>
          <cell r="K735" t="str">
            <v>5</v>
          </cell>
          <cell r="L735" t="str">
            <v>T</v>
          </cell>
          <cell r="M735" t="str">
            <v>5</v>
          </cell>
          <cell r="N735" t="b">
            <v>1</v>
          </cell>
          <cell r="S735" t="str">
            <v>Other wholesale trade, except of motor vehicles and motorcycles</v>
          </cell>
        </row>
        <row r="736">
          <cell r="C736" t="str">
            <v>5191</v>
          </cell>
          <cell r="D736" t="str">
            <v>Wholesale Farm Supplies</v>
          </cell>
          <cell r="E736" t="str">
            <v>T</v>
          </cell>
          <cell r="F736" t="str">
            <v>Y</v>
          </cell>
          <cell r="H736" t="str">
            <v>WH</v>
          </cell>
          <cell r="I736" t="str">
            <v>N</v>
          </cell>
          <cell r="J736" t="str">
            <v>46999</v>
          </cell>
          <cell r="K736" t="str">
            <v>8</v>
          </cell>
          <cell r="L736" t="str">
            <v>T</v>
          </cell>
          <cell r="M736" t="str">
            <v>8</v>
          </cell>
          <cell r="N736" t="b">
            <v>1</v>
          </cell>
          <cell r="S736" t="str">
            <v>Other wholesale trade, except of motor vehicles and motorcycles</v>
          </cell>
        </row>
        <row r="737">
          <cell r="C737" t="str">
            <v>5192</v>
          </cell>
          <cell r="D737" t="str">
            <v>Wholesale Books, Periodicals, and Newspapers</v>
          </cell>
          <cell r="E737" t="str">
            <v>T</v>
          </cell>
          <cell r="F737" t="str">
            <v>Y</v>
          </cell>
          <cell r="H737" t="str">
            <v>WH</v>
          </cell>
          <cell r="I737" t="str">
            <v>N</v>
          </cell>
          <cell r="J737" t="str">
            <v>46999</v>
          </cell>
          <cell r="K737" t="str">
            <v>9</v>
          </cell>
          <cell r="L737" t="str">
            <v>T</v>
          </cell>
          <cell r="M737" t="str">
            <v>9</v>
          </cell>
          <cell r="N737" t="b">
            <v>1</v>
          </cell>
          <cell r="S737" t="str">
            <v>Other wholesale trade, except of motor vehicles and motorcycles</v>
          </cell>
        </row>
        <row r="738">
          <cell r="C738" t="str">
            <v>5199</v>
          </cell>
          <cell r="D738" t="str">
            <v>Wholesale Nondurable Goods, N.E.C.</v>
          </cell>
          <cell r="E738" t="str">
            <v>T</v>
          </cell>
          <cell r="F738" t="str">
            <v>Y</v>
          </cell>
          <cell r="H738" t="str">
            <v>WH</v>
          </cell>
          <cell r="I738" t="str">
            <v>N</v>
          </cell>
          <cell r="J738" t="str">
            <v>46999</v>
          </cell>
          <cell r="K738" t="str">
            <v>9</v>
          </cell>
          <cell r="L738" t="str">
            <v>T</v>
          </cell>
          <cell r="M738" t="str">
            <v>9</v>
          </cell>
          <cell r="N738" t="b">
            <v>1</v>
          </cell>
          <cell r="S738" t="str">
            <v>Other wholesale trade, except of motor vehicles and motorcycles</v>
          </cell>
        </row>
        <row r="739">
          <cell r="C739" t="str">
            <v>5072</v>
          </cell>
          <cell r="D739" t="str">
            <v>Wholesale Hardware</v>
          </cell>
          <cell r="E739" t="str">
            <v>N</v>
          </cell>
          <cell r="F739" t="str">
            <v>Y</v>
          </cell>
          <cell r="H739" t="str">
            <v>WH</v>
          </cell>
          <cell r="I739" t="str">
            <v>N</v>
          </cell>
          <cell r="J739" t="str">
            <v>46999</v>
          </cell>
          <cell r="K739" t="str">
            <v>9</v>
          </cell>
          <cell r="L739" t="str">
            <v>N</v>
          </cell>
          <cell r="M739" t="str">
            <v>0</v>
          </cell>
          <cell r="N739" t="b">
            <v>1</v>
          </cell>
          <cell r="S739" t="str">
            <v>Other wholesale trade, except of motor vehicles and motorcycles</v>
          </cell>
        </row>
        <row r="740">
          <cell r="C740" t="str">
            <v>5172</v>
          </cell>
          <cell r="D740" t="str">
            <v>Wholesale Petroleum and Petroleum Products Wholesalers, Except Bulk Stations and Terminals</v>
          </cell>
          <cell r="E740" t="str">
            <v>T</v>
          </cell>
          <cell r="F740" t="str">
            <v>Y</v>
          </cell>
          <cell r="H740" t="str">
            <v>WH</v>
          </cell>
          <cell r="I740" t="str">
            <v>N</v>
          </cell>
          <cell r="J740" t="str">
            <v>46999</v>
          </cell>
          <cell r="K740" t="str">
            <v>9</v>
          </cell>
          <cell r="L740" t="str">
            <v>T</v>
          </cell>
          <cell r="M740" t="str">
            <v>9</v>
          </cell>
          <cell r="N740" t="b">
            <v>1</v>
          </cell>
          <cell r="S740" t="str">
            <v>Other wholesale trade, except of motor vehicles and motorcycles</v>
          </cell>
        </row>
        <row r="741">
          <cell r="C741" t="str">
            <v>5046</v>
          </cell>
          <cell r="D741" t="str">
            <v>Wholesale Commercial Equipment, N.E.C.</v>
          </cell>
          <cell r="E741" t="str">
            <v>T</v>
          </cell>
          <cell r="F741" t="str">
            <v>Y</v>
          </cell>
          <cell r="H741" t="str">
            <v>WH</v>
          </cell>
          <cell r="I741" t="str">
            <v>N</v>
          </cell>
          <cell r="J741" t="str">
            <v>46999</v>
          </cell>
          <cell r="K741" t="str">
            <v>9</v>
          </cell>
          <cell r="L741" t="str">
            <v>T</v>
          </cell>
          <cell r="M741" t="str">
            <v>9</v>
          </cell>
          <cell r="N741" t="b">
            <v>1</v>
          </cell>
          <cell r="S741" t="str">
            <v>Other wholesale trade, except of motor vehicles and motorcycles</v>
          </cell>
        </row>
        <row r="742">
          <cell r="C742" t="str">
            <v>612061</v>
          </cell>
          <cell r="D742" t="str">
            <v>Large General wholesalers</v>
          </cell>
          <cell r="E742" t="str">
            <v>N</v>
          </cell>
          <cell r="F742" t="str">
            <v>Y</v>
          </cell>
          <cell r="H742" t="str">
            <v>WH</v>
          </cell>
          <cell r="J742" t="str">
            <v>46999</v>
          </cell>
          <cell r="K742" t="str">
            <v>9</v>
          </cell>
          <cell r="L742" t="str">
            <v>N</v>
          </cell>
          <cell r="M742" t="str">
            <v>0</v>
          </cell>
          <cell r="N742" t="b">
            <v>1</v>
          </cell>
          <cell r="S742" t="str">
            <v>Other wholesale trade, except of motor vehicles and motorcycles</v>
          </cell>
        </row>
        <row r="743">
          <cell r="C743" t="str">
            <v>612062</v>
          </cell>
          <cell r="D743" t="str">
            <v>Wholesale nec - Import</v>
          </cell>
          <cell r="E743" t="str">
            <v>N</v>
          </cell>
          <cell r="F743" t="str">
            <v>Y</v>
          </cell>
          <cell r="H743" t="str">
            <v>WH</v>
          </cell>
          <cell r="J743" t="str">
            <v>46999</v>
          </cell>
          <cell r="K743" t="str">
            <v>9</v>
          </cell>
          <cell r="L743" t="str">
            <v>N</v>
          </cell>
          <cell r="M743" t="str">
            <v>0</v>
          </cell>
          <cell r="N743" t="b">
            <v>1</v>
          </cell>
          <cell r="S743" t="str">
            <v>Other wholesale trade, except of motor vehicles and motorcycles</v>
          </cell>
        </row>
        <row r="744">
          <cell r="C744" t="str">
            <v>612063</v>
          </cell>
          <cell r="D744" t="str">
            <v>Wholesale nec - Export</v>
          </cell>
          <cell r="E744" t="str">
            <v>N</v>
          </cell>
          <cell r="F744" t="str">
            <v>Y</v>
          </cell>
          <cell r="H744" t="str">
            <v>WH</v>
          </cell>
          <cell r="J744" t="str">
            <v>46999</v>
          </cell>
          <cell r="K744" t="str">
            <v>9</v>
          </cell>
          <cell r="L744" t="str">
            <v>N</v>
          </cell>
          <cell r="M744" t="str">
            <v>0</v>
          </cell>
          <cell r="N744" t="b">
            <v>1</v>
          </cell>
          <cell r="S744" t="str">
            <v>Other wholesale trade, except of motor vehicles and motorcycles</v>
          </cell>
        </row>
        <row r="745">
          <cell r="C745" t="str">
            <v>5499</v>
          </cell>
          <cell r="D745" t="str">
            <v>Miscellaneous Food Stores</v>
          </cell>
          <cell r="E745" t="str">
            <v>T</v>
          </cell>
          <cell r="F745" t="str">
            <v>Y</v>
          </cell>
          <cell r="H745" t="str">
            <v>WH</v>
          </cell>
          <cell r="I745" t="str">
            <v>N</v>
          </cell>
          <cell r="J745" t="str">
            <v>4711X</v>
          </cell>
          <cell r="K745" t="str">
            <v>6</v>
          </cell>
          <cell r="L745" t="str">
            <v>T</v>
          </cell>
          <cell r="M745" t="str">
            <v>6</v>
          </cell>
          <cell r="N745" t="b">
            <v>1</v>
          </cell>
          <cell r="S745" t="str">
            <v>Retail sale in non-specialized stores</v>
          </cell>
        </row>
        <row r="746">
          <cell r="C746" t="str">
            <v>4711X</v>
          </cell>
          <cell r="D746" t="str">
            <v>Retail - supermarket</v>
          </cell>
          <cell r="E746" t="str">
            <v>T</v>
          </cell>
          <cell r="F746" t="str">
            <v>Y</v>
          </cell>
          <cell r="H746" t="str">
            <v>WH</v>
          </cell>
          <cell r="I746" t="str">
            <v>N</v>
          </cell>
          <cell r="J746" t="str">
            <v>4711X</v>
          </cell>
          <cell r="K746" t="str">
            <v>6</v>
          </cell>
          <cell r="L746" t="str">
            <v>T</v>
          </cell>
          <cell r="M746" t="str">
            <v>6</v>
          </cell>
          <cell r="N746" t="b">
            <v>1</v>
          </cell>
          <cell r="S746" t="str">
            <v>Retail sale in non-specialized stores</v>
          </cell>
        </row>
        <row r="747">
          <cell r="C747" t="str">
            <v>4719X</v>
          </cell>
          <cell r="D747" t="str">
            <v>Other retail sale in non-specialized stores</v>
          </cell>
          <cell r="E747" t="str">
            <v>T</v>
          </cell>
          <cell r="F747" t="str">
            <v>Y</v>
          </cell>
          <cell r="H747" t="str">
            <v>WH</v>
          </cell>
          <cell r="I747" t="str">
            <v>N</v>
          </cell>
          <cell r="J747" t="str">
            <v>4719X</v>
          </cell>
          <cell r="K747" t="str">
            <v>6</v>
          </cell>
          <cell r="L747" t="str">
            <v>T</v>
          </cell>
          <cell r="M747" t="str">
            <v>6</v>
          </cell>
          <cell r="N747" t="b">
            <v>1</v>
          </cell>
          <cell r="S747" t="str">
            <v>Retail sale in non-specialized stores</v>
          </cell>
        </row>
        <row r="748">
          <cell r="C748" t="str">
            <v>472XX</v>
          </cell>
          <cell r="D748" t="str">
            <v>Retail - meat &amp; Poultry</v>
          </cell>
          <cell r="E748" t="str">
            <v>T</v>
          </cell>
          <cell r="F748" t="str">
            <v>Y</v>
          </cell>
          <cell r="H748" t="str">
            <v>WH</v>
          </cell>
          <cell r="I748" t="str">
            <v>N</v>
          </cell>
          <cell r="J748" t="str">
            <v>472XX</v>
          </cell>
          <cell r="K748" t="str">
            <v>6</v>
          </cell>
          <cell r="L748" t="str">
            <v>T</v>
          </cell>
          <cell r="M748" t="str">
            <v>6</v>
          </cell>
          <cell r="N748" t="b">
            <v>1</v>
          </cell>
          <cell r="S748" t="str">
            <v>Retail sale of food, beverages and tobacco in specialized stores</v>
          </cell>
        </row>
        <row r="749">
          <cell r="C749" t="str">
            <v>5421</v>
          </cell>
          <cell r="D749" t="str">
            <v>Meat and Fish (Seafood) Markets, Including Freezer Provisioners</v>
          </cell>
          <cell r="E749" t="str">
            <v>T</v>
          </cell>
          <cell r="F749" t="str">
            <v>Y</v>
          </cell>
          <cell r="H749" t="str">
            <v>WH</v>
          </cell>
          <cell r="I749" t="str">
            <v>N</v>
          </cell>
          <cell r="J749" t="str">
            <v>472XX</v>
          </cell>
          <cell r="K749" t="str">
            <v>6</v>
          </cell>
          <cell r="L749" t="str">
            <v>T</v>
          </cell>
          <cell r="M749" t="str">
            <v>6</v>
          </cell>
          <cell r="N749" t="b">
            <v>1</v>
          </cell>
          <cell r="S749" t="str">
            <v>Retail sale of food, beverages and tobacco in specialized stores</v>
          </cell>
        </row>
        <row r="750">
          <cell r="C750" t="str">
            <v>5431</v>
          </cell>
          <cell r="D750" t="str">
            <v>Fruit and Vegetable Markets</v>
          </cell>
          <cell r="E750" t="str">
            <v>T</v>
          </cell>
          <cell r="F750" t="str">
            <v>Y</v>
          </cell>
          <cell r="H750" t="str">
            <v>WH</v>
          </cell>
          <cell r="I750" t="str">
            <v>N</v>
          </cell>
          <cell r="J750" t="str">
            <v>472XX</v>
          </cell>
          <cell r="K750" t="str">
            <v>6</v>
          </cell>
          <cell r="L750" t="str">
            <v>T</v>
          </cell>
          <cell r="M750" t="str">
            <v>6</v>
          </cell>
          <cell r="N750" t="b">
            <v>1</v>
          </cell>
          <cell r="S750" t="str">
            <v>Retail sale of food, beverages and tobacco in specialized stores</v>
          </cell>
        </row>
        <row r="751">
          <cell r="C751" t="str">
            <v>5441</v>
          </cell>
          <cell r="D751" t="str">
            <v>Candy, Nut, and Confectionery Stores</v>
          </cell>
          <cell r="E751" t="str">
            <v>T</v>
          </cell>
          <cell r="F751" t="str">
            <v>Y</v>
          </cell>
          <cell r="H751" t="str">
            <v>WH</v>
          </cell>
          <cell r="I751" t="str">
            <v>N</v>
          </cell>
          <cell r="J751" t="str">
            <v>472XX</v>
          </cell>
          <cell r="K751" t="str">
            <v>6</v>
          </cell>
          <cell r="L751" t="str">
            <v>T</v>
          </cell>
          <cell r="M751" t="str">
            <v>6</v>
          </cell>
          <cell r="N751" t="b">
            <v>1</v>
          </cell>
          <cell r="S751" t="str">
            <v>Retail sale of food, beverages and tobacco in specialized stores</v>
          </cell>
        </row>
        <row r="752">
          <cell r="C752" t="str">
            <v>5461</v>
          </cell>
          <cell r="D752" t="str">
            <v>Retail Bakeries</v>
          </cell>
          <cell r="E752" t="str">
            <v>T</v>
          </cell>
          <cell r="F752" t="str">
            <v>Y</v>
          </cell>
          <cell r="H752" t="str">
            <v>WH</v>
          </cell>
          <cell r="I752" t="str">
            <v>N</v>
          </cell>
          <cell r="J752" t="str">
            <v>472XX</v>
          </cell>
          <cell r="K752" t="str">
            <v>6</v>
          </cell>
          <cell r="L752" t="str">
            <v>T</v>
          </cell>
          <cell r="M752" t="str">
            <v>6</v>
          </cell>
          <cell r="N752" t="b">
            <v>1</v>
          </cell>
          <cell r="S752" t="str">
            <v>Retail sale of food, beverages and tobacco in specialized stores</v>
          </cell>
        </row>
        <row r="753">
          <cell r="C753" t="str">
            <v>613016</v>
          </cell>
          <cell r="D753" t="str">
            <v>Retail - rice, flour &amp; grains</v>
          </cell>
          <cell r="E753" t="str">
            <v>T</v>
          </cell>
          <cell r="F753" t="str">
            <v>Y</v>
          </cell>
          <cell r="H753" t="str">
            <v>WH</v>
          </cell>
          <cell r="I753" t="str">
            <v>N</v>
          </cell>
          <cell r="J753" t="str">
            <v>472XX</v>
          </cell>
          <cell r="K753" t="str">
            <v>6</v>
          </cell>
          <cell r="L753" t="str">
            <v>T</v>
          </cell>
          <cell r="M753" t="str">
            <v>6</v>
          </cell>
          <cell r="N753" t="b">
            <v>1</v>
          </cell>
          <cell r="S753" t="str">
            <v>Retail sale of food, beverages and tobacco in specialized stores</v>
          </cell>
        </row>
        <row r="754">
          <cell r="C754" t="str">
            <v>5993</v>
          </cell>
          <cell r="D754" t="str">
            <v>Tobacco Stores and Stands</v>
          </cell>
          <cell r="E754" t="str">
            <v>T</v>
          </cell>
          <cell r="F754" t="str">
            <v>N</v>
          </cell>
          <cell r="H754" t="str">
            <v>WH</v>
          </cell>
          <cell r="I754" t="str">
            <v>N</v>
          </cell>
          <cell r="J754" t="str">
            <v>472XX</v>
          </cell>
          <cell r="K754" t="str">
            <v>6</v>
          </cell>
          <cell r="L754" t="str">
            <v>T</v>
          </cell>
          <cell r="M754" t="str">
            <v>6</v>
          </cell>
          <cell r="N754" t="b">
            <v>1</v>
          </cell>
          <cell r="S754" t="str">
            <v>Retail sale of food, beverages and tobacco in specialized stores</v>
          </cell>
        </row>
        <row r="755">
          <cell r="C755" t="str">
            <v>613020</v>
          </cell>
          <cell r="D755" t="str">
            <v>Retail - beer, wine &amp; spirits</v>
          </cell>
          <cell r="E755" t="str">
            <v>T</v>
          </cell>
          <cell r="F755" t="str">
            <v>Y</v>
          </cell>
          <cell r="H755" t="str">
            <v>WH</v>
          </cell>
          <cell r="I755" t="str">
            <v>N</v>
          </cell>
          <cell r="J755" t="str">
            <v>472XX</v>
          </cell>
          <cell r="K755" t="str">
            <v>12</v>
          </cell>
          <cell r="L755" t="str">
            <v>T</v>
          </cell>
          <cell r="M755" t="str">
            <v>12</v>
          </cell>
          <cell r="N755" t="b">
            <v>1</v>
          </cell>
          <cell r="S755" t="str">
            <v>Retail sale of food, beverages and tobacco in specialized stores</v>
          </cell>
        </row>
        <row r="756">
          <cell r="C756" t="str">
            <v>5451</v>
          </cell>
          <cell r="D756" t="str">
            <v>Dairy Products Stores</v>
          </cell>
          <cell r="E756" t="str">
            <v>T</v>
          </cell>
          <cell r="F756" t="str">
            <v>Y</v>
          </cell>
          <cell r="H756" t="str">
            <v>WH</v>
          </cell>
          <cell r="I756" t="str">
            <v>N</v>
          </cell>
          <cell r="J756" t="str">
            <v>472XX</v>
          </cell>
          <cell r="K756" t="str">
            <v>12</v>
          </cell>
          <cell r="L756" t="str">
            <v>T</v>
          </cell>
          <cell r="M756" t="str">
            <v>12</v>
          </cell>
          <cell r="N756" t="b">
            <v>1</v>
          </cell>
          <cell r="S756" t="str">
            <v>Retail sale of food, beverages and tobacco in specialized stores</v>
          </cell>
        </row>
        <row r="757">
          <cell r="C757" t="str">
            <v>478XX</v>
          </cell>
          <cell r="D757" t="str">
            <v>Retail sale via stalls and markets</v>
          </cell>
          <cell r="E757" t="str">
            <v>T</v>
          </cell>
          <cell r="F757" t="str">
            <v>Y</v>
          </cell>
          <cell r="H757" t="str">
            <v>WH</v>
          </cell>
          <cell r="I757" t="str">
            <v>N</v>
          </cell>
          <cell r="J757" t="str">
            <v>478XX</v>
          </cell>
          <cell r="K757" t="str">
            <v>6</v>
          </cell>
          <cell r="L757" t="str">
            <v>T</v>
          </cell>
          <cell r="M757" t="str">
            <v>6</v>
          </cell>
          <cell r="N757" t="b">
            <v>1</v>
          </cell>
          <cell r="S757" t="str">
            <v>Retail sale in non-specialized stores</v>
          </cell>
        </row>
        <row r="758">
          <cell r="C758" t="str">
            <v>479XX</v>
          </cell>
          <cell r="D758" t="str">
            <v>Retail trade not in stores, stalls or markets</v>
          </cell>
          <cell r="E758" t="str">
            <v>T</v>
          </cell>
          <cell r="F758" t="str">
            <v>Y</v>
          </cell>
          <cell r="H758" t="str">
            <v>WH</v>
          </cell>
          <cell r="I758" t="str">
            <v>N</v>
          </cell>
          <cell r="J758" t="str">
            <v>479XX</v>
          </cell>
          <cell r="K758" t="str">
            <v>6</v>
          </cell>
          <cell r="L758" t="str">
            <v>T</v>
          </cell>
          <cell r="M758" t="str">
            <v>6</v>
          </cell>
          <cell r="N758" t="b">
            <v>1</v>
          </cell>
          <cell r="S758" t="str">
            <v>Retail sale in non-specialized stores</v>
          </cell>
        </row>
        <row r="759">
          <cell r="C759" t="str">
            <v>613031</v>
          </cell>
          <cell r="D759" t="str">
            <v>Retail sale of household of kitchenware</v>
          </cell>
          <cell r="E759" t="str">
            <v>T</v>
          </cell>
          <cell r="F759" t="str">
            <v>Y</v>
          </cell>
          <cell r="H759" t="str">
            <v>WH</v>
          </cell>
          <cell r="I759" t="str">
            <v>N</v>
          </cell>
          <cell r="J759" t="str">
            <v>40799</v>
          </cell>
          <cell r="K759" t="str">
            <v>6</v>
          </cell>
          <cell r="L759" t="str">
            <v>T</v>
          </cell>
          <cell r="M759" t="str">
            <v>6</v>
          </cell>
          <cell r="N759" t="b">
            <v>1</v>
          </cell>
          <cell r="S759" t="str">
            <v>Other retail trade, except of motor vehicles and motorcycles</v>
          </cell>
        </row>
        <row r="760">
          <cell r="C760" t="str">
            <v>613033</v>
          </cell>
          <cell r="D760" t="str">
            <v>Retail sale of other household goods</v>
          </cell>
          <cell r="E760" t="str">
            <v>T</v>
          </cell>
          <cell r="F760" t="str">
            <v>Y</v>
          </cell>
          <cell r="H760" t="str">
            <v>WH</v>
          </cell>
          <cell r="I760" t="str">
            <v>N</v>
          </cell>
          <cell r="J760" t="str">
            <v>40799</v>
          </cell>
          <cell r="K760" t="str">
            <v>6</v>
          </cell>
          <cell r="L760" t="str">
            <v>T</v>
          </cell>
          <cell r="M760" t="str">
            <v>6</v>
          </cell>
          <cell r="N760" t="b">
            <v>1</v>
          </cell>
          <cell r="S760" t="str">
            <v>Other retail trade, except of motor vehicles and motorcycles</v>
          </cell>
        </row>
        <row r="761">
          <cell r="C761" t="str">
            <v>613032</v>
          </cell>
          <cell r="D761" t="str">
            <v>Retail sale of chinaware grassware</v>
          </cell>
          <cell r="E761" t="str">
            <v>T</v>
          </cell>
          <cell r="F761" t="str">
            <v>Y</v>
          </cell>
          <cell r="H761" t="str">
            <v>WH</v>
          </cell>
          <cell r="I761" t="str">
            <v>N</v>
          </cell>
          <cell r="J761" t="str">
            <v>40799</v>
          </cell>
          <cell r="K761" t="str">
            <v>6</v>
          </cell>
          <cell r="L761" t="str">
            <v>T</v>
          </cell>
          <cell r="M761" t="str">
            <v>6</v>
          </cell>
          <cell r="N761" t="b">
            <v>1</v>
          </cell>
          <cell r="S761" t="str">
            <v>Other retail trade, except of motor vehicles and motorcycles</v>
          </cell>
        </row>
        <row r="762">
          <cell r="C762" t="str">
            <v>5261</v>
          </cell>
          <cell r="D762" t="str">
            <v>Retail Nurseries, Lawn and Garden Supply Stores</v>
          </cell>
          <cell r="E762" t="str">
            <v>T</v>
          </cell>
          <cell r="F762" t="str">
            <v>Y</v>
          </cell>
          <cell r="H762" t="str">
            <v>WH</v>
          </cell>
          <cell r="I762" t="str">
            <v>N</v>
          </cell>
          <cell r="J762" t="str">
            <v>40799</v>
          </cell>
          <cell r="K762" t="str">
            <v>9</v>
          </cell>
          <cell r="L762" t="str">
            <v>T</v>
          </cell>
          <cell r="M762" t="str">
            <v>9</v>
          </cell>
          <cell r="N762" t="b">
            <v>1</v>
          </cell>
          <cell r="S762" t="str">
            <v>Other retail trade, except of motor vehicles and motorcycles</v>
          </cell>
        </row>
        <row r="763">
          <cell r="C763" t="str">
            <v>5271</v>
          </cell>
          <cell r="D763" t="str">
            <v>Mobile Home Dealers</v>
          </cell>
          <cell r="E763" t="str">
            <v>T</v>
          </cell>
          <cell r="F763" t="str">
            <v>Y</v>
          </cell>
          <cell r="H763" t="str">
            <v>WH</v>
          </cell>
          <cell r="I763" t="str">
            <v>N</v>
          </cell>
          <cell r="J763" t="str">
            <v>40799</v>
          </cell>
          <cell r="K763" t="str">
            <v>5</v>
          </cell>
          <cell r="L763" t="str">
            <v>T</v>
          </cell>
          <cell r="M763" t="str">
            <v>5</v>
          </cell>
          <cell r="N763" t="b">
            <v>1</v>
          </cell>
          <cell r="S763" t="str">
            <v>Other retail trade, except of motor vehicles and motorcycles</v>
          </cell>
        </row>
        <row r="764">
          <cell r="C764" t="str">
            <v>5731</v>
          </cell>
          <cell r="D764" t="str">
            <v>Radio, Television, and Consumer Electronics Stores</v>
          </cell>
          <cell r="E764" t="str">
            <v>T</v>
          </cell>
          <cell r="F764" t="str">
            <v>Y</v>
          </cell>
          <cell r="H764" t="str">
            <v>WH</v>
          </cell>
          <cell r="I764" t="str">
            <v>N</v>
          </cell>
          <cell r="J764" t="str">
            <v>40799</v>
          </cell>
          <cell r="K764" t="str">
            <v>9</v>
          </cell>
          <cell r="L764" t="str">
            <v>T</v>
          </cell>
          <cell r="M764" t="str">
            <v>9</v>
          </cell>
          <cell r="N764" t="b">
            <v>1</v>
          </cell>
          <cell r="S764" t="str">
            <v>Other retail trade, except of motor vehicles and motorcycles</v>
          </cell>
        </row>
        <row r="765">
          <cell r="C765" t="str">
            <v>5621</v>
          </cell>
          <cell r="D765" t="str">
            <v>Women's Clothing Stores</v>
          </cell>
          <cell r="E765" t="str">
            <v>H</v>
          </cell>
          <cell r="F765" t="str">
            <v>Y</v>
          </cell>
          <cell r="H765" t="str">
            <v>WH</v>
          </cell>
          <cell r="I765" t="str">
            <v>N</v>
          </cell>
          <cell r="J765" t="str">
            <v>40799</v>
          </cell>
          <cell r="K765" t="str">
            <v>9</v>
          </cell>
          <cell r="L765" t="str">
            <v>H</v>
          </cell>
          <cell r="M765" t="str">
            <v>0</v>
          </cell>
          <cell r="N765" t="b">
            <v>1</v>
          </cell>
          <cell r="P765" t="str">
            <v>Y</v>
          </cell>
          <cell r="S765" t="str">
            <v>Other retail trade, except of motor vehicles and motorcycles</v>
          </cell>
        </row>
        <row r="766">
          <cell r="C766" t="str">
            <v>5948</v>
          </cell>
          <cell r="D766" t="str">
            <v>Luggage and Leather Goods Stores</v>
          </cell>
          <cell r="E766" t="str">
            <v>T</v>
          </cell>
          <cell r="F766" t="str">
            <v>Y</v>
          </cell>
          <cell r="H766" t="str">
            <v>WH</v>
          </cell>
          <cell r="I766" t="str">
            <v>N</v>
          </cell>
          <cell r="J766" t="str">
            <v>40799</v>
          </cell>
          <cell r="K766" t="str">
            <v>9</v>
          </cell>
          <cell r="L766" t="str">
            <v>T</v>
          </cell>
          <cell r="M766" t="str">
            <v>9</v>
          </cell>
          <cell r="N766" t="b">
            <v>1</v>
          </cell>
          <cell r="S766" t="str">
            <v>Other retail trade, except of motor vehicles and motorcycles</v>
          </cell>
        </row>
        <row r="767">
          <cell r="C767" t="str">
            <v>5942</v>
          </cell>
          <cell r="D767" t="str">
            <v>Book Stores</v>
          </cell>
          <cell r="E767" t="str">
            <v>T</v>
          </cell>
          <cell r="F767" t="str">
            <v>Y</v>
          </cell>
          <cell r="H767" t="str">
            <v>WH</v>
          </cell>
          <cell r="I767" t="str">
            <v>N</v>
          </cell>
          <cell r="J767" t="str">
            <v>40799</v>
          </cell>
          <cell r="K767" t="str">
            <v>9</v>
          </cell>
          <cell r="L767" t="str">
            <v>T</v>
          </cell>
          <cell r="M767" t="str">
            <v>9</v>
          </cell>
          <cell r="N767" t="b">
            <v>1</v>
          </cell>
          <cell r="S767" t="str">
            <v>Other retail trade, except of motor vehicles and motorcycles</v>
          </cell>
        </row>
        <row r="768">
          <cell r="C768" t="str">
            <v>5912</v>
          </cell>
          <cell r="D768" t="str">
            <v>Drug Stores and Proprietary Stores</v>
          </cell>
          <cell r="E768" t="str">
            <v>T</v>
          </cell>
          <cell r="F768" t="str">
            <v>Y</v>
          </cell>
          <cell r="H768" t="str">
            <v>WH</v>
          </cell>
          <cell r="I768" t="str">
            <v>N</v>
          </cell>
          <cell r="J768" t="str">
            <v>40799</v>
          </cell>
          <cell r="K768" t="str">
            <v>9</v>
          </cell>
          <cell r="L768" t="str">
            <v>T</v>
          </cell>
          <cell r="M768" t="str">
            <v>9</v>
          </cell>
          <cell r="N768" t="b">
            <v>1</v>
          </cell>
          <cell r="S768" t="str">
            <v>Other retail trade, except of motor vehicles and motorcycles</v>
          </cell>
        </row>
        <row r="769">
          <cell r="C769" t="str">
            <v>5699</v>
          </cell>
          <cell r="D769" t="str">
            <v>Miscellaneous Apparel and Accessory Stores</v>
          </cell>
          <cell r="E769" t="str">
            <v>H</v>
          </cell>
          <cell r="F769" t="str">
            <v>Y</v>
          </cell>
          <cell r="H769" t="str">
            <v>WH</v>
          </cell>
          <cell r="I769" t="str">
            <v>N</v>
          </cell>
          <cell r="J769" t="str">
            <v>40799</v>
          </cell>
          <cell r="K769" t="str">
            <v>9</v>
          </cell>
          <cell r="L769" t="str">
            <v>H</v>
          </cell>
          <cell r="M769" t="str">
            <v>0</v>
          </cell>
          <cell r="N769" t="b">
            <v>1</v>
          </cell>
          <cell r="P769" t="str">
            <v>Y</v>
          </cell>
          <cell r="S769" t="str">
            <v>Other retail trade, except of motor vehicles and motorcycles</v>
          </cell>
        </row>
        <row r="770">
          <cell r="C770" t="str">
            <v>5989</v>
          </cell>
          <cell r="D770" t="str">
            <v>Fuel Dealers, N.E.C.</v>
          </cell>
          <cell r="E770" t="str">
            <v>T</v>
          </cell>
          <cell r="F770" t="str">
            <v>Y</v>
          </cell>
          <cell r="H770" t="str">
            <v>WH</v>
          </cell>
          <cell r="I770" t="str">
            <v>N</v>
          </cell>
          <cell r="J770" t="str">
            <v>40799</v>
          </cell>
          <cell r="K770" t="str">
            <v>5</v>
          </cell>
          <cell r="L770" t="str">
            <v>T</v>
          </cell>
          <cell r="M770" t="str">
            <v>5</v>
          </cell>
          <cell r="N770" t="b">
            <v>1</v>
          </cell>
          <cell r="S770" t="str">
            <v>Retail - Petrol Station</v>
          </cell>
        </row>
        <row r="771">
          <cell r="C771" t="str">
            <v>5551</v>
          </cell>
          <cell r="D771" t="str">
            <v>Boat Dealers</v>
          </cell>
          <cell r="E771" t="str">
            <v>T</v>
          </cell>
          <cell r="F771" t="str">
            <v>Y</v>
          </cell>
          <cell r="H771" t="str">
            <v>WH</v>
          </cell>
          <cell r="I771" t="str">
            <v>N</v>
          </cell>
          <cell r="J771" t="str">
            <v>40799</v>
          </cell>
          <cell r="K771" t="str">
            <v>10</v>
          </cell>
          <cell r="L771" t="str">
            <v>T</v>
          </cell>
          <cell r="M771" t="str">
            <v>10</v>
          </cell>
          <cell r="N771" t="b">
            <v>1</v>
          </cell>
          <cell r="S771" t="str">
            <v>Other retail trade, except of motor vehicles and motorcycles</v>
          </cell>
        </row>
        <row r="772">
          <cell r="C772" t="str">
            <v>5722</v>
          </cell>
          <cell r="D772" t="str">
            <v>Household Appliance Stores</v>
          </cell>
          <cell r="E772" t="str">
            <v>H</v>
          </cell>
          <cell r="F772" t="str">
            <v>Y</v>
          </cell>
          <cell r="G772" t="str">
            <v>N</v>
          </cell>
          <cell r="H772" t="str">
            <v>WH</v>
          </cell>
          <cell r="I772" t="str">
            <v>N</v>
          </cell>
          <cell r="J772" t="str">
            <v>40799</v>
          </cell>
          <cell r="K772" t="str">
            <v>9</v>
          </cell>
          <cell r="L772" t="str">
            <v>H</v>
          </cell>
          <cell r="M772" t="str">
            <v>0</v>
          </cell>
          <cell r="N772" t="b">
            <v>1</v>
          </cell>
          <cell r="P772" t="str">
            <v>Y</v>
          </cell>
          <cell r="S772" t="str">
            <v>Other retail trade, except of motor vehicles and motorcycles</v>
          </cell>
        </row>
        <row r="773">
          <cell r="C773" t="str">
            <v>5947</v>
          </cell>
          <cell r="D773" t="str">
            <v>Gift, Novelty, and Souvenir Shops</v>
          </cell>
          <cell r="E773" t="str">
            <v>T</v>
          </cell>
          <cell r="F773" t="str">
            <v>Y</v>
          </cell>
          <cell r="H773" t="str">
            <v>WH</v>
          </cell>
          <cell r="I773" t="str">
            <v>N</v>
          </cell>
          <cell r="J773" t="str">
            <v>40799</v>
          </cell>
          <cell r="K773" t="str">
            <v>9</v>
          </cell>
          <cell r="L773" t="str">
            <v>T</v>
          </cell>
          <cell r="M773" t="str">
            <v>9</v>
          </cell>
          <cell r="N773" t="b">
            <v>1</v>
          </cell>
          <cell r="S773" t="str">
            <v>Other retail trade, except of motor vehicles and motorcycles</v>
          </cell>
        </row>
        <row r="774">
          <cell r="C774" t="str">
            <v>5943</v>
          </cell>
          <cell r="D774" t="str">
            <v>Stationery Stores</v>
          </cell>
          <cell r="E774" t="str">
            <v>N</v>
          </cell>
          <cell r="F774" t="str">
            <v>Y</v>
          </cell>
          <cell r="G774" t="str">
            <v>N</v>
          </cell>
          <cell r="H774" t="str">
            <v>WH</v>
          </cell>
          <cell r="I774" t="str">
            <v>N</v>
          </cell>
          <cell r="J774" t="str">
            <v>40799</v>
          </cell>
          <cell r="K774" t="str">
            <v>9</v>
          </cell>
          <cell r="L774" t="str">
            <v>N</v>
          </cell>
          <cell r="M774" t="str">
            <v>0</v>
          </cell>
          <cell r="N774" t="b">
            <v>1</v>
          </cell>
          <cell r="S774" t="str">
            <v>Other retail trade, except of motor vehicles and motorcycles</v>
          </cell>
        </row>
        <row r="775">
          <cell r="C775" t="str">
            <v>5331</v>
          </cell>
          <cell r="D775" t="str">
            <v>Variety Stores</v>
          </cell>
          <cell r="E775" t="str">
            <v>T</v>
          </cell>
          <cell r="F775" t="str">
            <v>Y</v>
          </cell>
          <cell r="H775" t="str">
            <v>WH</v>
          </cell>
          <cell r="I775" t="str">
            <v>N</v>
          </cell>
          <cell r="J775" t="str">
            <v>40799</v>
          </cell>
          <cell r="K775" t="str">
            <v>9</v>
          </cell>
          <cell r="L775" t="str">
            <v>T</v>
          </cell>
          <cell r="M775" t="str">
            <v>9</v>
          </cell>
          <cell r="N775" t="b">
            <v>1</v>
          </cell>
          <cell r="S775" t="str">
            <v>Other retail trade, except of motor vehicles and motorcycles</v>
          </cell>
        </row>
        <row r="776">
          <cell r="C776" t="str">
            <v>5963</v>
          </cell>
          <cell r="D776" t="str">
            <v>Direct Selling Establishments</v>
          </cell>
          <cell r="E776" t="str">
            <v>T</v>
          </cell>
          <cell r="F776" t="str">
            <v>Y</v>
          </cell>
          <cell r="H776" t="str">
            <v>WH</v>
          </cell>
          <cell r="I776" t="str">
            <v>N</v>
          </cell>
          <cell r="J776" t="str">
            <v>40799</v>
          </cell>
          <cell r="K776" t="str">
            <v>9</v>
          </cell>
          <cell r="L776" t="str">
            <v>T</v>
          </cell>
          <cell r="M776" t="str">
            <v>9</v>
          </cell>
          <cell r="N776" t="b">
            <v>1</v>
          </cell>
          <cell r="S776" t="str">
            <v>Other retail trade, except of motor vehicles and motorcycles</v>
          </cell>
        </row>
        <row r="777">
          <cell r="C777" t="str">
            <v>5399</v>
          </cell>
          <cell r="D777" t="str">
            <v>Miscellaneous General Merchandise Stores</v>
          </cell>
          <cell r="E777" t="str">
            <v>T</v>
          </cell>
          <cell r="F777" t="str">
            <v>Y</v>
          </cell>
          <cell r="H777" t="str">
            <v>WH</v>
          </cell>
          <cell r="I777" t="str">
            <v>N</v>
          </cell>
          <cell r="J777" t="str">
            <v>40799</v>
          </cell>
          <cell r="K777" t="str">
            <v>6</v>
          </cell>
          <cell r="L777" t="str">
            <v>T</v>
          </cell>
          <cell r="M777" t="str">
            <v>6</v>
          </cell>
          <cell r="N777" t="b">
            <v>1</v>
          </cell>
          <cell r="S777" t="str">
            <v>Other retail trade, except of motor vehicles and motorcycles</v>
          </cell>
        </row>
        <row r="778">
          <cell r="C778" t="str">
            <v>5411</v>
          </cell>
          <cell r="D778" t="str">
            <v>Grocery Stores</v>
          </cell>
          <cell r="E778" t="str">
            <v>T</v>
          </cell>
          <cell r="F778" t="str">
            <v>Y</v>
          </cell>
          <cell r="H778" t="str">
            <v>WH</v>
          </cell>
          <cell r="I778" t="str">
            <v>N</v>
          </cell>
          <cell r="J778" t="str">
            <v>40799</v>
          </cell>
          <cell r="K778" t="str">
            <v>6</v>
          </cell>
          <cell r="L778" t="str">
            <v>T</v>
          </cell>
          <cell r="M778" t="str">
            <v>6</v>
          </cell>
          <cell r="N778" t="b">
            <v>1</v>
          </cell>
          <cell r="S778" t="str">
            <v>Other retail trade, except of motor vehicles and motorcycles</v>
          </cell>
        </row>
        <row r="779">
          <cell r="C779" t="str">
            <v>5531</v>
          </cell>
          <cell r="D779" t="str">
            <v>Auto and Home Supply Stores</v>
          </cell>
          <cell r="E779" t="str">
            <v>T</v>
          </cell>
          <cell r="F779" t="str">
            <v>Y</v>
          </cell>
          <cell r="H779" t="str">
            <v>WH</v>
          </cell>
          <cell r="I779" t="str">
            <v>N</v>
          </cell>
          <cell r="J779" t="str">
            <v>40799</v>
          </cell>
          <cell r="K779" t="str">
            <v>8</v>
          </cell>
          <cell r="L779" t="str">
            <v>T</v>
          </cell>
          <cell r="M779" t="str">
            <v>8</v>
          </cell>
          <cell r="N779" t="b">
            <v>1</v>
          </cell>
          <cell r="S779" t="str">
            <v>Other retail trade, except of motor vehicles and motorcycles</v>
          </cell>
        </row>
        <row r="780">
          <cell r="C780" t="str">
            <v>5641</v>
          </cell>
          <cell r="D780" t="str">
            <v>Children's and Infants' Wear Stores</v>
          </cell>
          <cell r="E780" t="str">
            <v>T</v>
          </cell>
          <cell r="F780" t="str">
            <v>Y</v>
          </cell>
          <cell r="H780" t="str">
            <v>WH</v>
          </cell>
          <cell r="I780" t="str">
            <v>N</v>
          </cell>
          <cell r="J780" t="str">
            <v>40799</v>
          </cell>
          <cell r="K780" t="str">
            <v>9</v>
          </cell>
          <cell r="L780" t="str">
            <v>T</v>
          </cell>
          <cell r="M780" t="str">
            <v>9</v>
          </cell>
          <cell r="N780" t="b">
            <v>1</v>
          </cell>
          <cell r="S780" t="str">
            <v>Other retail trade, except of motor vehicles and motorcycles</v>
          </cell>
        </row>
        <row r="781">
          <cell r="C781" t="str">
            <v>5541</v>
          </cell>
          <cell r="D781" t="str">
            <v>Gasoline Service Stations</v>
          </cell>
          <cell r="E781" t="str">
            <v>T</v>
          </cell>
          <cell r="F781" t="str">
            <v>Y</v>
          </cell>
          <cell r="H781" t="str">
            <v>WH</v>
          </cell>
          <cell r="I781" t="str">
            <v>N</v>
          </cell>
          <cell r="J781" t="str">
            <v>40799</v>
          </cell>
          <cell r="K781" t="str">
            <v>5</v>
          </cell>
          <cell r="L781" t="str">
            <v>T</v>
          </cell>
          <cell r="M781" t="str">
            <v>5</v>
          </cell>
          <cell r="N781" t="b">
            <v>1</v>
          </cell>
          <cell r="S781" t="str">
            <v>Retail - Petrol Station</v>
          </cell>
        </row>
        <row r="782">
          <cell r="C782" t="str">
            <v>5561</v>
          </cell>
          <cell r="D782" t="str">
            <v>Recreational Vehicle Dealers</v>
          </cell>
          <cell r="E782" t="str">
            <v>T</v>
          </cell>
          <cell r="F782" t="str">
            <v>Y</v>
          </cell>
          <cell r="H782" t="str">
            <v>WH</v>
          </cell>
          <cell r="I782" t="str">
            <v>N</v>
          </cell>
          <cell r="J782" t="str">
            <v>40799</v>
          </cell>
          <cell r="K782" t="str">
            <v>9</v>
          </cell>
          <cell r="L782" t="str">
            <v>T</v>
          </cell>
          <cell r="M782" t="str">
            <v>9</v>
          </cell>
          <cell r="N782" t="b">
            <v>1</v>
          </cell>
          <cell r="S782" t="str">
            <v>Other retail trade, except of motor vehicles and motorcycles</v>
          </cell>
        </row>
        <row r="783">
          <cell r="C783" t="str">
            <v>5611</v>
          </cell>
          <cell r="D783" t="str">
            <v>Men's and Boys' Clothing and Accessory Stores</v>
          </cell>
          <cell r="E783" t="str">
            <v>T</v>
          </cell>
          <cell r="F783" t="str">
            <v>Y</v>
          </cell>
          <cell r="H783" t="str">
            <v>WH</v>
          </cell>
          <cell r="I783" t="str">
            <v>N</v>
          </cell>
          <cell r="J783" t="str">
            <v>40799</v>
          </cell>
          <cell r="K783" t="str">
            <v>9</v>
          </cell>
          <cell r="L783" t="str">
            <v>T</v>
          </cell>
          <cell r="M783" t="str">
            <v>9</v>
          </cell>
          <cell r="N783" t="b">
            <v>1</v>
          </cell>
          <cell r="R783" t="str">
            <v>This SIC code to be tagged under "high risk" and the change is to be deployed in 8 Nov 2019</v>
          </cell>
          <cell r="S783" t="str">
            <v>Other retail trade, except of motor vehicles and motorcycles</v>
          </cell>
        </row>
        <row r="784">
          <cell r="C784" t="str">
            <v>5632</v>
          </cell>
          <cell r="D784" t="str">
            <v>Women's Accessory and Specialty Stores</v>
          </cell>
          <cell r="E784" t="str">
            <v>H</v>
          </cell>
          <cell r="F784" t="str">
            <v>Y</v>
          </cell>
          <cell r="H784" t="str">
            <v>WH</v>
          </cell>
          <cell r="I784" t="str">
            <v>N</v>
          </cell>
          <cell r="J784" t="str">
            <v>40799</v>
          </cell>
          <cell r="K784" t="str">
            <v>9</v>
          </cell>
          <cell r="L784" t="str">
            <v>H</v>
          </cell>
          <cell r="M784" t="str">
            <v>0</v>
          </cell>
          <cell r="N784" t="b">
            <v>1</v>
          </cell>
          <cell r="P784" t="str">
            <v>Y</v>
          </cell>
          <cell r="S784" t="str">
            <v>Other retail trade, except of motor vehicles and motorcycles</v>
          </cell>
        </row>
        <row r="785">
          <cell r="C785" t="str">
            <v>5651</v>
          </cell>
          <cell r="D785" t="str">
            <v>Family Clothing Stores</v>
          </cell>
          <cell r="E785" t="str">
            <v>H</v>
          </cell>
          <cell r="F785" t="str">
            <v>Y</v>
          </cell>
          <cell r="H785" t="str">
            <v>WH</v>
          </cell>
          <cell r="I785" t="str">
            <v>N</v>
          </cell>
          <cell r="J785" t="str">
            <v>40799</v>
          </cell>
          <cell r="K785" t="str">
            <v>11</v>
          </cell>
          <cell r="L785" t="str">
            <v>H</v>
          </cell>
          <cell r="M785" t="str">
            <v>0</v>
          </cell>
          <cell r="N785" t="b">
            <v>1</v>
          </cell>
          <cell r="P785" t="str">
            <v>Y</v>
          </cell>
          <cell r="S785" t="str">
            <v>Other retail trade, except of motor vehicles and motorcycles</v>
          </cell>
        </row>
        <row r="786">
          <cell r="C786" t="str">
            <v>5661</v>
          </cell>
          <cell r="D786" t="str">
            <v>Shoe Stores</v>
          </cell>
          <cell r="E786" t="str">
            <v>T</v>
          </cell>
          <cell r="F786" t="str">
            <v>Y</v>
          </cell>
          <cell r="H786" t="str">
            <v>WH</v>
          </cell>
          <cell r="I786" t="str">
            <v>N</v>
          </cell>
          <cell r="J786" t="str">
            <v>40799</v>
          </cell>
          <cell r="K786" t="str">
            <v>9</v>
          </cell>
          <cell r="L786" t="str">
            <v>T</v>
          </cell>
          <cell r="M786" t="str">
            <v>9</v>
          </cell>
          <cell r="N786" t="b">
            <v>1</v>
          </cell>
          <cell r="S786" t="str">
            <v>Other retail trade, except of motor vehicles and motorcycles</v>
          </cell>
        </row>
        <row r="787">
          <cell r="C787" t="str">
            <v>5713</v>
          </cell>
          <cell r="D787" t="str">
            <v>Floor Covering Stores</v>
          </cell>
          <cell r="E787" t="str">
            <v>T</v>
          </cell>
          <cell r="F787" t="str">
            <v>Y</v>
          </cell>
          <cell r="H787" t="str">
            <v>WH</v>
          </cell>
          <cell r="I787" t="str">
            <v>N</v>
          </cell>
          <cell r="J787" t="str">
            <v>40799</v>
          </cell>
          <cell r="K787" t="str">
            <v>8</v>
          </cell>
          <cell r="L787" t="str">
            <v>T</v>
          </cell>
          <cell r="M787" t="str">
            <v>8</v>
          </cell>
          <cell r="N787" t="b">
            <v>1</v>
          </cell>
          <cell r="S787" t="str">
            <v>Other retail trade, except of motor vehicles and motorcycles</v>
          </cell>
        </row>
        <row r="788">
          <cell r="C788" t="str">
            <v>5714</v>
          </cell>
          <cell r="D788" t="str">
            <v>Drapery, Curtain, and Upholstery Stores</v>
          </cell>
          <cell r="E788" t="str">
            <v>T</v>
          </cell>
          <cell r="F788" t="str">
            <v>Y</v>
          </cell>
          <cell r="H788" t="str">
            <v>WH</v>
          </cell>
          <cell r="I788" t="str">
            <v>N</v>
          </cell>
          <cell r="J788" t="str">
            <v>40799</v>
          </cell>
          <cell r="K788" t="str">
            <v>9</v>
          </cell>
          <cell r="L788" t="str">
            <v>T</v>
          </cell>
          <cell r="M788" t="str">
            <v>9</v>
          </cell>
          <cell r="N788" t="b">
            <v>1</v>
          </cell>
          <cell r="S788" t="str">
            <v>Other retail trade, except of motor vehicles and motorcycles</v>
          </cell>
        </row>
        <row r="789">
          <cell r="C789" t="str">
            <v>5719</v>
          </cell>
          <cell r="D789" t="str">
            <v>Miscellaneous Homefurnishings Stores</v>
          </cell>
          <cell r="E789" t="str">
            <v>T</v>
          </cell>
          <cell r="F789" t="str">
            <v>Y</v>
          </cell>
          <cell r="H789" t="str">
            <v>WH</v>
          </cell>
          <cell r="I789" t="str">
            <v>N</v>
          </cell>
          <cell r="J789" t="str">
            <v>40799</v>
          </cell>
          <cell r="K789" t="str">
            <v>9</v>
          </cell>
          <cell r="L789" t="str">
            <v>T</v>
          </cell>
          <cell r="M789" t="str">
            <v>9</v>
          </cell>
          <cell r="N789" t="b">
            <v>1</v>
          </cell>
          <cell r="S789" t="str">
            <v>Other retail trade, except of motor vehicles and motorcycles</v>
          </cell>
        </row>
        <row r="790">
          <cell r="C790" t="str">
            <v>5734</v>
          </cell>
          <cell r="D790" t="str">
            <v>Computer and Computer Software Stores</v>
          </cell>
          <cell r="E790" t="str">
            <v>T</v>
          </cell>
          <cell r="F790" t="str">
            <v>Y</v>
          </cell>
          <cell r="H790" t="str">
            <v>WH</v>
          </cell>
          <cell r="I790" t="str">
            <v>N</v>
          </cell>
          <cell r="J790" t="str">
            <v>40799</v>
          </cell>
          <cell r="K790" t="str">
            <v>9</v>
          </cell>
          <cell r="L790" t="str">
            <v>T</v>
          </cell>
          <cell r="M790" t="str">
            <v>9</v>
          </cell>
          <cell r="N790" t="b">
            <v>1</v>
          </cell>
          <cell r="S790" t="str">
            <v>Other retail trade, except of motor vehicles and motorcycles</v>
          </cell>
        </row>
        <row r="791">
          <cell r="C791" t="str">
            <v>5735</v>
          </cell>
          <cell r="D791" t="str">
            <v>Record and Prerecorded Tape Stores</v>
          </cell>
          <cell r="E791" t="str">
            <v>T</v>
          </cell>
          <cell r="F791" t="str">
            <v>Y</v>
          </cell>
          <cell r="H791" t="str">
            <v>WH</v>
          </cell>
          <cell r="I791" t="str">
            <v>N</v>
          </cell>
          <cell r="J791" t="str">
            <v>40799</v>
          </cell>
          <cell r="K791" t="str">
            <v>9</v>
          </cell>
          <cell r="L791" t="str">
            <v>T</v>
          </cell>
          <cell r="M791" t="str">
            <v>9</v>
          </cell>
          <cell r="N791" t="b">
            <v>1</v>
          </cell>
          <cell r="S791" t="str">
            <v>Other retail trade, except of motor vehicles and motorcycles</v>
          </cell>
        </row>
        <row r="792">
          <cell r="C792" t="str">
            <v>5736</v>
          </cell>
          <cell r="D792" t="str">
            <v>Musical Instrument Stores</v>
          </cell>
          <cell r="E792" t="str">
            <v>T</v>
          </cell>
          <cell r="F792" t="str">
            <v>Y</v>
          </cell>
          <cell r="H792" t="str">
            <v>WH</v>
          </cell>
          <cell r="I792" t="str">
            <v>N</v>
          </cell>
          <cell r="J792" t="str">
            <v>40799</v>
          </cell>
          <cell r="K792" t="str">
            <v>9</v>
          </cell>
          <cell r="L792" t="str">
            <v>T</v>
          </cell>
          <cell r="M792" t="str">
            <v>9</v>
          </cell>
          <cell r="N792" t="b">
            <v>1</v>
          </cell>
          <cell r="S792" t="str">
            <v>Other retail trade, except of motor vehicles and motorcycles</v>
          </cell>
        </row>
        <row r="793">
          <cell r="C793" t="str">
            <v>5921</v>
          </cell>
          <cell r="D793" t="str">
            <v>Liquor Stores</v>
          </cell>
          <cell r="E793" t="str">
            <v>T</v>
          </cell>
          <cell r="F793" t="str">
            <v>N</v>
          </cell>
          <cell r="H793" t="str">
            <v>WH</v>
          </cell>
          <cell r="I793" t="str">
            <v>N</v>
          </cell>
          <cell r="J793" t="str">
            <v>40799</v>
          </cell>
          <cell r="K793" t="str">
            <v>6</v>
          </cell>
          <cell r="L793" t="str">
            <v>T</v>
          </cell>
          <cell r="M793" t="str">
            <v>6</v>
          </cell>
          <cell r="N793" t="b">
            <v>1</v>
          </cell>
          <cell r="S793" t="str">
            <v>Other retail trade, except of motor vehicles and motorcycles</v>
          </cell>
        </row>
        <row r="794">
          <cell r="C794" t="str">
            <v>5932</v>
          </cell>
          <cell r="D794" t="str">
            <v>Used Merchandise Stores</v>
          </cell>
          <cell r="E794" t="str">
            <v>T</v>
          </cell>
          <cell r="F794" t="str">
            <v>Y</v>
          </cell>
          <cell r="H794" t="str">
            <v>WH</v>
          </cell>
          <cell r="I794" t="str">
            <v>N</v>
          </cell>
          <cell r="J794" t="str">
            <v>40799</v>
          </cell>
          <cell r="K794" t="str">
            <v>6</v>
          </cell>
          <cell r="L794" t="str">
            <v>T</v>
          </cell>
          <cell r="M794" t="str">
            <v>6</v>
          </cell>
          <cell r="N794" t="b">
            <v>1</v>
          </cell>
          <cell r="S794" t="str">
            <v>Other retail trade, except of motor vehicles and motorcycles</v>
          </cell>
        </row>
        <row r="795">
          <cell r="C795" t="str">
            <v>5941</v>
          </cell>
          <cell r="D795" t="str">
            <v>Sporting Goods Stores and Bicycle Shops</v>
          </cell>
          <cell r="E795" t="str">
            <v>T</v>
          </cell>
          <cell r="F795" t="str">
            <v>Y</v>
          </cell>
          <cell r="H795" t="str">
            <v>WH</v>
          </cell>
          <cell r="I795" t="str">
            <v>N</v>
          </cell>
          <cell r="J795" t="str">
            <v>40799</v>
          </cell>
          <cell r="K795" t="str">
            <v>9</v>
          </cell>
          <cell r="L795" t="str">
            <v>T</v>
          </cell>
          <cell r="M795" t="str">
            <v>9</v>
          </cell>
          <cell r="N795" t="b">
            <v>1</v>
          </cell>
          <cell r="S795" t="str">
            <v>Other retail trade, except of motor vehicles and motorcycles</v>
          </cell>
        </row>
        <row r="796">
          <cell r="C796" t="str">
            <v>5944</v>
          </cell>
          <cell r="D796" t="str">
            <v>Jewelry Stores</v>
          </cell>
          <cell r="E796" t="str">
            <v>H</v>
          </cell>
          <cell r="F796" t="str">
            <v>Y</v>
          </cell>
          <cell r="H796" t="str">
            <v>WH</v>
          </cell>
          <cell r="I796" t="str">
            <v>N</v>
          </cell>
          <cell r="J796" t="str">
            <v>40799</v>
          </cell>
          <cell r="K796" t="str">
            <v>9</v>
          </cell>
          <cell r="L796" t="str">
            <v>H</v>
          </cell>
          <cell r="M796" t="str">
            <v>0</v>
          </cell>
          <cell r="N796" t="b">
            <v>1</v>
          </cell>
          <cell r="P796" t="str">
            <v>Y</v>
          </cell>
          <cell r="S796" t="str">
            <v>Other retail trade, except of motor vehicles and motorcycles</v>
          </cell>
        </row>
        <row r="797">
          <cell r="C797" t="str">
            <v>5945</v>
          </cell>
          <cell r="D797" t="str">
            <v>Hobby, Toy, and Game Shops</v>
          </cell>
          <cell r="E797" t="str">
            <v>T</v>
          </cell>
          <cell r="F797" t="str">
            <v>Y</v>
          </cell>
          <cell r="H797" t="str">
            <v>WH</v>
          </cell>
          <cell r="I797" t="str">
            <v>N</v>
          </cell>
          <cell r="J797" t="str">
            <v>40799</v>
          </cell>
          <cell r="K797" t="str">
            <v>9</v>
          </cell>
          <cell r="L797" t="str">
            <v>T</v>
          </cell>
          <cell r="M797" t="str">
            <v>9</v>
          </cell>
          <cell r="N797" t="b">
            <v>1</v>
          </cell>
          <cell r="S797" t="str">
            <v>Other retail trade, except of motor vehicles and motorcycles</v>
          </cell>
        </row>
        <row r="798">
          <cell r="C798" t="str">
            <v>5946</v>
          </cell>
          <cell r="D798" t="str">
            <v>Camera and Photographic Supply Stores</v>
          </cell>
          <cell r="E798" t="str">
            <v>T</v>
          </cell>
          <cell r="F798" t="str">
            <v>Y</v>
          </cell>
          <cell r="H798" t="str">
            <v>WH</v>
          </cell>
          <cell r="I798" t="str">
            <v>N</v>
          </cell>
          <cell r="J798" t="str">
            <v>40799</v>
          </cell>
          <cell r="K798" t="str">
            <v>9</v>
          </cell>
          <cell r="L798" t="str">
            <v>T</v>
          </cell>
          <cell r="M798" t="str">
            <v>9</v>
          </cell>
          <cell r="N798" t="b">
            <v>1</v>
          </cell>
          <cell r="S798" t="str">
            <v>Other retail trade, except of motor vehicles and motorcycles</v>
          </cell>
        </row>
        <row r="799">
          <cell r="C799" t="str">
            <v>5949</v>
          </cell>
          <cell r="D799" t="str">
            <v>Sewing, Needlework, and Piece Goods Stores</v>
          </cell>
          <cell r="E799" t="str">
            <v>T</v>
          </cell>
          <cell r="F799" t="str">
            <v>Y</v>
          </cell>
          <cell r="H799" t="str">
            <v>WH</v>
          </cell>
          <cell r="I799" t="str">
            <v>N</v>
          </cell>
          <cell r="J799" t="str">
            <v>40799</v>
          </cell>
          <cell r="K799" t="str">
            <v>9</v>
          </cell>
          <cell r="L799" t="str">
            <v>T</v>
          </cell>
          <cell r="M799" t="str">
            <v>9</v>
          </cell>
          <cell r="N799" t="b">
            <v>1</v>
          </cell>
          <cell r="S799" t="str">
            <v>Other retail trade, except of motor vehicles and motorcycles</v>
          </cell>
        </row>
        <row r="800">
          <cell r="C800" t="str">
            <v>5961</v>
          </cell>
          <cell r="D800" t="str">
            <v>Catalog and Mail-Order Houses</v>
          </cell>
          <cell r="E800" t="str">
            <v>T</v>
          </cell>
          <cell r="F800" t="str">
            <v>Y</v>
          </cell>
          <cell r="H800" t="str">
            <v>WH</v>
          </cell>
          <cell r="I800" t="str">
            <v>N</v>
          </cell>
          <cell r="J800" t="str">
            <v>40799</v>
          </cell>
          <cell r="K800" t="str">
            <v>9</v>
          </cell>
          <cell r="L800" t="str">
            <v>T</v>
          </cell>
          <cell r="M800" t="str">
            <v>9</v>
          </cell>
          <cell r="N800" t="b">
            <v>1</v>
          </cell>
          <cell r="S800" t="str">
            <v>Other retail trade, except of motor vehicles and motorcycles</v>
          </cell>
        </row>
        <row r="801">
          <cell r="C801" t="str">
            <v>5962</v>
          </cell>
          <cell r="D801" t="str">
            <v>Automatic Merchandising Machine Operators</v>
          </cell>
          <cell r="E801" t="str">
            <v>T</v>
          </cell>
          <cell r="F801" t="str">
            <v>Y</v>
          </cell>
          <cell r="H801" t="str">
            <v>WH</v>
          </cell>
          <cell r="I801" t="str">
            <v>N</v>
          </cell>
          <cell r="J801" t="str">
            <v>40799</v>
          </cell>
          <cell r="K801" t="str">
            <v>9</v>
          </cell>
          <cell r="L801" t="str">
            <v>T</v>
          </cell>
          <cell r="M801" t="str">
            <v>9</v>
          </cell>
          <cell r="N801" t="b">
            <v>1</v>
          </cell>
          <cell r="S801" t="str">
            <v>Other retail trade, except of motor vehicles and motorcycles</v>
          </cell>
        </row>
        <row r="802">
          <cell r="C802" t="str">
            <v>5983</v>
          </cell>
          <cell r="D802" t="str">
            <v>Fuel Oil Dealers</v>
          </cell>
          <cell r="E802" t="str">
            <v>T</v>
          </cell>
          <cell r="F802" t="str">
            <v>Y</v>
          </cell>
          <cell r="H802" t="str">
            <v>WH</v>
          </cell>
          <cell r="I802" t="str">
            <v>N</v>
          </cell>
          <cell r="J802" t="str">
            <v>40799</v>
          </cell>
          <cell r="K802" t="str">
            <v>5</v>
          </cell>
          <cell r="L802" t="str">
            <v>T</v>
          </cell>
          <cell r="M802" t="str">
            <v>5</v>
          </cell>
          <cell r="N802" t="b">
            <v>1</v>
          </cell>
          <cell r="S802" t="str">
            <v>Retail - Petrol Station</v>
          </cell>
        </row>
        <row r="803">
          <cell r="C803" t="str">
            <v>5984</v>
          </cell>
          <cell r="D803" t="str">
            <v>Liquefied Petroleum Gas (Bottled Gas) Dealers</v>
          </cell>
          <cell r="E803" t="str">
            <v>T</v>
          </cell>
          <cell r="F803" t="str">
            <v>Y</v>
          </cell>
          <cell r="H803" t="str">
            <v>WH</v>
          </cell>
          <cell r="I803" t="str">
            <v>N</v>
          </cell>
          <cell r="J803" t="str">
            <v>40799</v>
          </cell>
          <cell r="K803" t="str">
            <v>5</v>
          </cell>
          <cell r="L803" t="str">
            <v>T</v>
          </cell>
          <cell r="M803" t="str">
            <v>5</v>
          </cell>
          <cell r="N803" t="b">
            <v>1</v>
          </cell>
          <cell r="S803" t="str">
            <v>Other retail trade, except of motor vehicles and motorcycles</v>
          </cell>
        </row>
        <row r="804">
          <cell r="C804" t="str">
            <v>5992</v>
          </cell>
          <cell r="D804" t="str">
            <v>Florists</v>
          </cell>
          <cell r="E804" t="str">
            <v>T</v>
          </cell>
          <cell r="F804" t="str">
            <v>Y</v>
          </cell>
          <cell r="H804" t="str">
            <v>WH</v>
          </cell>
          <cell r="I804" t="str">
            <v>N</v>
          </cell>
          <cell r="J804" t="str">
            <v>40799</v>
          </cell>
          <cell r="K804" t="str">
            <v>6</v>
          </cell>
          <cell r="L804" t="str">
            <v>T</v>
          </cell>
          <cell r="M804" t="str">
            <v>6</v>
          </cell>
          <cell r="N804" t="b">
            <v>1</v>
          </cell>
          <cell r="S804" t="str">
            <v>Other retail trade, except of motor vehicles and motorcycles</v>
          </cell>
        </row>
        <row r="805">
          <cell r="C805" t="str">
            <v>5994</v>
          </cell>
          <cell r="D805" t="str">
            <v>News Dealers and Newsstands</v>
          </cell>
          <cell r="E805" t="str">
            <v>T</v>
          </cell>
          <cell r="F805" t="str">
            <v>Y</v>
          </cell>
          <cell r="H805" t="str">
            <v>WH</v>
          </cell>
          <cell r="I805" t="str">
            <v>N</v>
          </cell>
          <cell r="J805" t="str">
            <v>40799</v>
          </cell>
          <cell r="K805" t="str">
            <v>9</v>
          </cell>
          <cell r="L805" t="str">
            <v>T</v>
          </cell>
          <cell r="M805" t="str">
            <v>9</v>
          </cell>
          <cell r="N805" t="b">
            <v>1</v>
          </cell>
          <cell r="S805" t="str">
            <v>Other retail trade, except of motor vehicles and motorcycles</v>
          </cell>
        </row>
        <row r="806">
          <cell r="C806" t="str">
            <v>5995</v>
          </cell>
          <cell r="D806" t="str">
            <v>Optical Goods Stores</v>
          </cell>
          <cell r="E806" t="str">
            <v>T</v>
          </cell>
          <cell r="F806" t="str">
            <v>Y</v>
          </cell>
          <cell r="H806" t="str">
            <v>WH</v>
          </cell>
          <cell r="I806" t="str">
            <v>N</v>
          </cell>
          <cell r="J806" t="str">
            <v>40799</v>
          </cell>
          <cell r="K806" t="str">
            <v>9</v>
          </cell>
          <cell r="L806" t="str">
            <v>T</v>
          </cell>
          <cell r="M806" t="str">
            <v>9</v>
          </cell>
          <cell r="N806" t="b">
            <v>1</v>
          </cell>
          <cell r="S806" t="str">
            <v>Other retail trade, except of motor vehicles and motorcycles</v>
          </cell>
        </row>
        <row r="807">
          <cell r="C807" t="str">
            <v>5999</v>
          </cell>
          <cell r="D807" t="str">
            <v>Miscellaneous Retail Stores, N.E.C.</v>
          </cell>
          <cell r="E807" t="str">
            <v>H</v>
          </cell>
          <cell r="F807" t="str">
            <v>Y</v>
          </cell>
          <cell r="H807" t="str">
            <v>WH</v>
          </cell>
          <cell r="I807" t="str">
            <v>N</v>
          </cell>
          <cell r="J807" t="str">
            <v>40799</v>
          </cell>
          <cell r="K807" t="str">
            <v>9</v>
          </cell>
          <cell r="L807" t="str">
            <v>H</v>
          </cell>
          <cell r="M807" t="str">
            <v>0</v>
          </cell>
          <cell r="N807" t="b">
            <v>1</v>
          </cell>
          <cell r="P807" t="str">
            <v>Y</v>
          </cell>
          <cell r="S807" t="str">
            <v>Other retail trade, except of motor vehicles and motorcycles</v>
          </cell>
        </row>
        <row r="808">
          <cell r="C808" t="str">
            <v>5712</v>
          </cell>
          <cell r="D808" t="str">
            <v>Furniture Stores</v>
          </cell>
          <cell r="E808" t="str">
            <v>T</v>
          </cell>
          <cell r="F808" t="str">
            <v>Y</v>
          </cell>
          <cell r="H808" t="str">
            <v>WH</v>
          </cell>
          <cell r="I808" t="str">
            <v>N</v>
          </cell>
          <cell r="J808" t="str">
            <v>40799</v>
          </cell>
          <cell r="K808" t="str">
            <v>9</v>
          </cell>
          <cell r="L808" t="str">
            <v>T</v>
          </cell>
          <cell r="M808" t="str">
            <v>9</v>
          </cell>
          <cell r="N808" t="b">
            <v>1</v>
          </cell>
          <cell r="S808" t="str">
            <v>Other retail trade, except of motor vehicles and motorcycles</v>
          </cell>
        </row>
        <row r="809">
          <cell r="C809" t="str">
            <v>4911X</v>
          </cell>
          <cell r="D809" t="str">
            <v>Passenger rail transport, interurban</v>
          </cell>
          <cell r="E809" t="str">
            <v>N</v>
          </cell>
          <cell r="F809" t="str">
            <v>Y</v>
          </cell>
          <cell r="H809" t="str">
            <v>TR</v>
          </cell>
          <cell r="I809" t="str">
            <v>N</v>
          </cell>
          <cell r="J809" t="str">
            <v>4911X</v>
          </cell>
          <cell r="K809" t="str">
            <v>11</v>
          </cell>
          <cell r="L809" t="str">
            <v>N</v>
          </cell>
          <cell r="M809" t="str">
            <v>0</v>
          </cell>
          <cell r="N809" t="b">
            <v>1</v>
          </cell>
          <cell r="S809" t="str">
            <v>Transport and Logistics</v>
          </cell>
        </row>
        <row r="810">
          <cell r="C810" t="str">
            <v>4013</v>
          </cell>
          <cell r="D810" t="str">
            <v>Railroad Switching and Terminal Establishments</v>
          </cell>
          <cell r="E810" t="str">
            <v>N</v>
          </cell>
          <cell r="F810" t="str">
            <v>Y</v>
          </cell>
          <cell r="H810" t="str">
            <v>TR</v>
          </cell>
          <cell r="I810" t="str">
            <v>N</v>
          </cell>
          <cell r="J810" t="str">
            <v>4912X</v>
          </cell>
          <cell r="K810" t="str">
            <v>11</v>
          </cell>
          <cell r="L810" t="str">
            <v>N</v>
          </cell>
          <cell r="M810" t="str">
            <v>0</v>
          </cell>
          <cell r="N810" t="b">
            <v>1</v>
          </cell>
          <cell r="S810" t="str">
            <v>Transport and Logistics</v>
          </cell>
        </row>
        <row r="811">
          <cell r="C811" t="str">
            <v>4111</v>
          </cell>
          <cell r="D811" t="str">
            <v>Local and Suburban Transit</v>
          </cell>
          <cell r="E811" t="str">
            <v>N</v>
          </cell>
          <cell r="F811" t="str">
            <v>Y</v>
          </cell>
          <cell r="H811" t="str">
            <v>TR</v>
          </cell>
          <cell r="I811" t="str">
            <v>N</v>
          </cell>
          <cell r="J811" t="str">
            <v>4912X</v>
          </cell>
          <cell r="K811" t="str">
            <v>11</v>
          </cell>
          <cell r="L811" t="str">
            <v>N</v>
          </cell>
          <cell r="M811" t="str">
            <v>0</v>
          </cell>
          <cell r="N811" t="b">
            <v>1</v>
          </cell>
          <cell r="S811" t="str">
            <v>Transport and Logistics</v>
          </cell>
        </row>
        <row r="812">
          <cell r="C812" t="str">
            <v>4921X</v>
          </cell>
          <cell r="D812" t="str">
            <v>Urban and suburban passenger land transport</v>
          </cell>
          <cell r="E812" t="str">
            <v>N</v>
          </cell>
          <cell r="F812" t="str">
            <v>Y</v>
          </cell>
          <cell r="H812" t="str">
            <v>TR</v>
          </cell>
          <cell r="I812" t="str">
            <v>N</v>
          </cell>
          <cell r="J812" t="str">
            <v>4921X</v>
          </cell>
          <cell r="K812" t="str">
            <v>11</v>
          </cell>
          <cell r="L812" t="str">
            <v>N</v>
          </cell>
          <cell r="M812" t="str">
            <v>0</v>
          </cell>
          <cell r="N812" t="b">
            <v>1</v>
          </cell>
          <cell r="S812" t="str">
            <v>Transport and Logistics</v>
          </cell>
        </row>
        <row r="813">
          <cell r="C813" t="str">
            <v>4131</v>
          </cell>
          <cell r="D813" t="str">
            <v>Intercity and Rural Bus Transportation</v>
          </cell>
          <cell r="E813" t="str">
            <v>N</v>
          </cell>
          <cell r="F813" t="str">
            <v>Y</v>
          </cell>
          <cell r="H813" t="str">
            <v>TR</v>
          </cell>
          <cell r="I813" t="str">
            <v>N</v>
          </cell>
          <cell r="J813" t="str">
            <v>4922X</v>
          </cell>
          <cell r="K813" t="str">
            <v>11</v>
          </cell>
          <cell r="L813" t="str">
            <v>N</v>
          </cell>
          <cell r="M813" t="str">
            <v>0</v>
          </cell>
          <cell r="N813" t="b">
            <v>1</v>
          </cell>
          <cell r="S813" t="str">
            <v>Transport and Logistics</v>
          </cell>
        </row>
        <row r="814">
          <cell r="C814" t="str">
            <v>4142</v>
          </cell>
          <cell r="D814" t="str">
            <v>Bus Charter Service, Except Local</v>
          </cell>
          <cell r="E814" t="str">
            <v>N</v>
          </cell>
          <cell r="F814" t="str">
            <v>Y</v>
          </cell>
          <cell r="H814" t="str">
            <v>TR</v>
          </cell>
          <cell r="I814" t="str">
            <v>N</v>
          </cell>
          <cell r="J814" t="str">
            <v>4922X</v>
          </cell>
          <cell r="K814" t="str">
            <v>11</v>
          </cell>
          <cell r="L814" t="str">
            <v>N</v>
          </cell>
          <cell r="M814" t="str">
            <v>0</v>
          </cell>
          <cell r="N814" t="b">
            <v>1</v>
          </cell>
          <cell r="S814" t="str">
            <v>Transport and Logistics</v>
          </cell>
        </row>
        <row r="815">
          <cell r="C815" t="str">
            <v>4151</v>
          </cell>
          <cell r="D815" t="str">
            <v>School Buses</v>
          </cell>
          <cell r="E815" t="str">
            <v>N</v>
          </cell>
          <cell r="F815" t="str">
            <v>Y</v>
          </cell>
          <cell r="H815" t="str">
            <v>TR</v>
          </cell>
          <cell r="I815" t="str">
            <v>N</v>
          </cell>
          <cell r="J815" t="str">
            <v>4922X</v>
          </cell>
          <cell r="K815" t="str">
            <v>11</v>
          </cell>
          <cell r="L815" t="str">
            <v>N</v>
          </cell>
          <cell r="M815" t="str">
            <v>0</v>
          </cell>
          <cell r="N815" t="b">
            <v>1</v>
          </cell>
          <cell r="S815" t="str">
            <v>Transport and Logistics</v>
          </cell>
        </row>
        <row r="816">
          <cell r="C816" t="str">
            <v>4173</v>
          </cell>
          <cell r="D816" t="str">
            <v>Terminal and Service Facilities for Motor Vehicle Passenger Transportation</v>
          </cell>
          <cell r="E816" t="str">
            <v>N</v>
          </cell>
          <cell r="F816" t="str">
            <v>Y</v>
          </cell>
          <cell r="H816" t="str">
            <v>TR</v>
          </cell>
          <cell r="I816" t="str">
            <v>N</v>
          </cell>
          <cell r="J816" t="str">
            <v>4922X</v>
          </cell>
          <cell r="K816" t="str">
            <v>11</v>
          </cell>
          <cell r="L816" t="str">
            <v>N</v>
          </cell>
          <cell r="M816" t="str">
            <v>0</v>
          </cell>
          <cell r="N816" t="b">
            <v>1</v>
          </cell>
          <cell r="S816" t="str">
            <v>Transport and Logistics</v>
          </cell>
        </row>
        <row r="817">
          <cell r="C817" t="str">
            <v>4221</v>
          </cell>
          <cell r="D817" t="str">
            <v>Farm Product Warehousing and Storage</v>
          </cell>
          <cell r="E817" t="str">
            <v>T</v>
          </cell>
          <cell r="F817" t="str">
            <v>Y</v>
          </cell>
          <cell r="H817" t="str">
            <v>TR</v>
          </cell>
          <cell r="I817" t="str">
            <v>N</v>
          </cell>
          <cell r="J817" t="str">
            <v>4922X</v>
          </cell>
          <cell r="K817" t="str">
            <v>11</v>
          </cell>
          <cell r="L817" t="str">
            <v>N</v>
          </cell>
          <cell r="M817" t="str">
            <v>0</v>
          </cell>
          <cell r="N817" t="b">
            <v>0</v>
          </cell>
          <cell r="S817" t="str">
            <v>Transport and Logistics</v>
          </cell>
        </row>
        <row r="818">
          <cell r="C818" t="str">
            <v>4141</v>
          </cell>
          <cell r="D818" t="str">
            <v>Local Bus Charter Service</v>
          </cell>
          <cell r="E818" t="str">
            <v>N</v>
          </cell>
          <cell r="F818" t="str">
            <v>Y</v>
          </cell>
          <cell r="H818" t="str">
            <v>TR</v>
          </cell>
          <cell r="I818" t="str">
            <v>N</v>
          </cell>
          <cell r="J818" t="str">
            <v>4922X</v>
          </cell>
          <cell r="K818" t="str">
            <v>11</v>
          </cell>
          <cell r="L818" t="str">
            <v>N</v>
          </cell>
          <cell r="M818" t="str">
            <v>0</v>
          </cell>
          <cell r="N818" t="b">
            <v>1</v>
          </cell>
          <cell r="S818" t="str">
            <v>Transport and Logistics</v>
          </cell>
        </row>
        <row r="819">
          <cell r="C819" t="str">
            <v>4922X</v>
          </cell>
          <cell r="D819" t="str">
            <v>Factory bus service (MRS)</v>
          </cell>
          <cell r="E819" t="str">
            <v>N</v>
          </cell>
          <cell r="F819" t="str">
            <v>Y</v>
          </cell>
          <cell r="H819" t="str">
            <v>TR</v>
          </cell>
          <cell r="I819" t="str">
            <v>N</v>
          </cell>
          <cell r="J819" t="str">
            <v>4922X</v>
          </cell>
          <cell r="K819" t="str">
            <v>11</v>
          </cell>
          <cell r="L819" t="str">
            <v>N</v>
          </cell>
          <cell r="M819" t="str">
            <v>0</v>
          </cell>
          <cell r="N819" t="b">
            <v>1</v>
          </cell>
          <cell r="S819" t="str">
            <v>Transport and Logistics</v>
          </cell>
        </row>
        <row r="820">
          <cell r="C820" t="str">
            <v>4119</v>
          </cell>
          <cell r="D820" t="str">
            <v>Local Passenger Transportation, N.E.C.</v>
          </cell>
          <cell r="E820" t="str">
            <v>N</v>
          </cell>
          <cell r="F820" t="str">
            <v>Y</v>
          </cell>
          <cell r="H820" t="str">
            <v>TR</v>
          </cell>
          <cell r="I820" t="str">
            <v>N</v>
          </cell>
          <cell r="J820" t="str">
            <v>4922X</v>
          </cell>
          <cell r="K820" t="str">
            <v>11</v>
          </cell>
          <cell r="L820" t="str">
            <v>N</v>
          </cell>
          <cell r="M820" t="str">
            <v>0</v>
          </cell>
          <cell r="N820" t="b">
            <v>1</v>
          </cell>
          <cell r="S820" t="str">
            <v>Transport and Logistics</v>
          </cell>
        </row>
        <row r="821">
          <cell r="C821" t="str">
            <v>4121</v>
          </cell>
          <cell r="D821" t="str">
            <v>Taxicabs</v>
          </cell>
          <cell r="E821" t="str">
            <v>N</v>
          </cell>
          <cell r="F821" t="str">
            <v>Y</v>
          </cell>
          <cell r="H821" t="str">
            <v>TR</v>
          </cell>
          <cell r="I821" t="str">
            <v>N</v>
          </cell>
          <cell r="J821" t="str">
            <v>4922X</v>
          </cell>
          <cell r="K821" t="str">
            <v>11</v>
          </cell>
          <cell r="L821" t="str">
            <v>N</v>
          </cell>
          <cell r="M821" t="str">
            <v>0</v>
          </cell>
          <cell r="N821" t="b">
            <v>1</v>
          </cell>
          <cell r="S821" t="str">
            <v>Transport and Logistics</v>
          </cell>
        </row>
        <row r="822">
          <cell r="C822" t="str">
            <v>49230</v>
          </cell>
          <cell r="D822" t="str">
            <v>Freight transport by road</v>
          </cell>
          <cell r="E822" t="str">
            <v>N</v>
          </cell>
          <cell r="F822" t="str">
            <v>Y</v>
          </cell>
          <cell r="H822" t="str">
            <v>TR</v>
          </cell>
          <cell r="I822" t="str">
            <v>N</v>
          </cell>
          <cell r="J822" t="str">
            <v>49230</v>
          </cell>
          <cell r="K822" t="str">
            <v>11</v>
          </cell>
          <cell r="L822" t="str">
            <v>N</v>
          </cell>
          <cell r="M822" t="str">
            <v>0</v>
          </cell>
          <cell r="N822" t="b">
            <v>1</v>
          </cell>
          <cell r="S822" t="str">
            <v>Transport and Logistics</v>
          </cell>
        </row>
        <row r="823">
          <cell r="C823" t="str">
            <v>49300</v>
          </cell>
          <cell r="D823" t="str">
            <v>Transport via pipeline</v>
          </cell>
          <cell r="E823" t="str">
            <v>N</v>
          </cell>
          <cell r="F823" t="str">
            <v>Y</v>
          </cell>
          <cell r="H823" t="str">
            <v>TR</v>
          </cell>
          <cell r="I823" t="str">
            <v>N</v>
          </cell>
          <cell r="J823" t="str">
            <v>49300</v>
          </cell>
          <cell r="K823" t="str">
            <v>11</v>
          </cell>
          <cell r="L823" t="str">
            <v>N</v>
          </cell>
          <cell r="M823" t="str">
            <v>0</v>
          </cell>
          <cell r="N823" t="b">
            <v>1</v>
          </cell>
          <cell r="S823" t="str">
            <v>Transport and Logistics</v>
          </cell>
        </row>
        <row r="824">
          <cell r="C824" t="str">
            <v>4482</v>
          </cell>
          <cell r="D824" t="str">
            <v>Ferries</v>
          </cell>
          <cell r="E824" t="str">
            <v>N</v>
          </cell>
          <cell r="F824" t="str">
            <v>Y</v>
          </cell>
          <cell r="H824" t="str">
            <v>TR</v>
          </cell>
          <cell r="I824" t="str">
            <v>N</v>
          </cell>
          <cell r="J824" t="str">
            <v>5011X</v>
          </cell>
          <cell r="K824" t="str">
            <v>11</v>
          </cell>
          <cell r="L824" t="str">
            <v>N</v>
          </cell>
          <cell r="M824" t="str">
            <v>0</v>
          </cell>
          <cell r="N824" t="b">
            <v>1</v>
          </cell>
          <cell r="S824" t="str">
            <v>Transport and Logistics</v>
          </cell>
        </row>
        <row r="825">
          <cell r="C825" t="str">
            <v>4489</v>
          </cell>
          <cell r="D825" t="str">
            <v>Water Transportation of Passengers, N.E.C.</v>
          </cell>
          <cell r="E825" t="str">
            <v>N</v>
          </cell>
          <cell r="F825" t="str">
            <v>Y</v>
          </cell>
          <cell r="H825" t="str">
            <v>TR</v>
          </cell>
          <cell r="I825" t="str">
            <v>N</v>
          </cell>
          <cell r="J825" t="str">
            <v>5011X</v>
          </cell>
          <cell r="K825" t="str">
            <v>11</v>
          </cell>
          <cell r="L825" t="str">
            <v>N</v>
          </cell>
          <cell r="M825" t="str">
            <v>0</v>
          </cell>
          <cell r="N825" t="b">
            <v>1</v>
          </cell>
          <cell r="S825" t="str">
            <v>Transport and Logistics</v>
          </cell>
        </row>
        <row r="826">
          <cell r="C826" t="str">
            <v>4493</v>
          </cell>
          <cell r="D826" t="str">
            <v>Marinas</v>
          </cell>
          <cell r="E826" t="str">
            <v>N</v>
          </cell>
          <cell r="F826" t="str">
            <v>Y</v>
          </cell>
          <cell r="H826" t="str">
            <v>TR</v>
          </cell>
          <cell r="I826" t="str">
            <v>N</v>
          </cell>
          <cell r="J826" t="str">
            <v>5011X</v>
          </cell>
          <cell r="K826" t="str">
            <v>11</v>
          </cell>
          <cell r="L826" t="str">
            <v>N</v>
          </cell>
          <cell r="M826" t="str">
            <v>0</v>
          </cell>
          <cell r="N826" t="b">
            <v>1</v>
          </cell>
          <cell r="S826" t="str">
            <v>Transport and Logistics</v>
          </cell>
        </row>
        <row r="827">
          <cell r="C827" t="str">
            <v>4499</v>
          </cell>
          <cell r="D827" t="str">
            <v>Water Transportation Services, N.E.C.</v>
          </cell>
          <cell r="E827" t="str">
            <v>N</v>
          </cell>
          <cell r="F827" t="str">
            <v>Y</v>
          </cell>
          <cell r="H827" t="str">
            <v>TR</v>
          </cell>
          <cell r="I827" t="str">
            <v>N</v>
          </cell>
          <cell r="J827" t="str">
            <v>5011X</v>
          </cell>
          <cell r="K827" t="str">
            <v>11</v>
          </cell>
          <cell r="L827" t="str">
            <v>N</v>
          </cell>
          <cell r="M827" t="str">
            <v>0</v>
          </cell>
          <cell r="N827" t="b">
            <v>1</v>
          </cell>
          <cell r="S827" t="str">
            <v>Transport and Logistics</v>
          </cell>
        </row>
        <row r="828">
          <cell r="C828" t="str">
            <v>4412</v>
          </cell>
          <cell r="D828" t="str">
            <v>Deep Sea Foreign Transportation of Freight</v>
          </cell>
          <cell r="E828" t="str">
            <v>N</v>
          </cell>
          <cell r="F828" t="str">
            <v>Y</v>
          </cell>
          <cell r="H828" t="str">
            <v>TR</v>
          </cell>
          <cell r="I828" t="str">
            <v>N</v>
          </cell>
          <cell r="J828" t="str">
            <v>50121</v>
          </cell>
          <cell r="K828" t="str">
            <v>11</v>
          </cell>
          <cell r="L828" t="str">
            <v>N</v>
          </cell>
          <cell r="M828" t="str">
            <v>0</v>
          </cell>
          <cell r="N828" t="b">
            <v>1</v>
          </cell>
          <cell r="S828" t="str">
            <v>Transport and Logistics</v>
          </cell>
        </row>
        <row r="829">
          <cell r="C829" t="str">
            <v>4424</v>
          </cell>
          <cell r="D829" t="str">
            <v>Deep Sea Domestic Transportation of Freight</v>
          </cell>
          <cell r="E829" t="str">
            <v>N</v>
          </cell>
          <cell r="F829" t="str">
            <v>Y</v>
          </cell>
          <cell r="H829" t="str">
            <v>TR</v>
          </cell>
          <cell r="I829" t="str">
            <v>N</v>
          </cell>
          <cell r="J829" t="str">
            <v>50121</v>
          </cell>
          <cell r="K829" t="str">
            <v>11</v>
          </cell>
          <cell r="L829" t="str">
            <v>N</v>
          </cell>
          <cell r="M829" t="str">
            <v>0</v>
          </cell>
          <cell r="N829" t="b">
            <v>1</v>
          </cell>
          <cell r="S829" t="str">
            <v>Transport and Logistics</v>
          </cell>
        </row>
        <row r="830">
          <cell r="C830" t="str">
            <v>4449</v>
          </cell>
          <cell r="D830" t="str">
            <v>Water Transportation of Freight, N.E.C.</v>
          </cell>
          <cell r="E830" t="str">
            <v>N</v>
          </cell>
          <cell r="F830" t="str">
            <v>Y</v>
          </cell>
          <cell r="H830" t="str">
            <v>TR</v>
          </cell>
          <cell r="I830" t="str">
            <v>N</v>
          </cell>
          <cell r="J830" t="str">
            <v>50121</v>
          </cell>
          <cell r="K830" t="str">
            <v>11</v>
          </cell>
          <cell r="L830" t="str">
            <v>N</v>
          </cell>
          <cell r="M830" t="str">
            <v>0</v>
          </cell>
          <cell r="N830" t="b">
            <v>1</v>
          </cell>
          <cell r="S830" t="str">
            <v>Transport and Logistics</v>
          </cell>
        </row>
        <row r="831">
          <cell r="C831" t="str">
            <v>4481</v>
          </cell>
          <cell r="D831" t="str">
            <v>Deep Sea Transportation of Passengers, Except by Ferry</v>
          </cell>
          <cell r="E831" t="str">
            <v>N</v>
          </cell>
          <cell r="F831" t="str">
            <v>Y</v>
          </cell>
          <cell r="H831" t="str">
            <v>TR</v>
          </cell>
          <cell r="I831" t="str">
            <v>N</v>
          </cell>
          <cell r="J831" t="str">
            <v>50121</v>
          </cell>
          <cell r="K831" t="str">
            <v>11</v>
          </cell>
          <cell r="L831" t="str">
            <v>N</v>
          </cell>
          <cell r="M831" t="str">
            <v>0</v>
          </cell>
          <cell r="N831" t="b">
            <v>1</v>
          </cell>
          <cell r="S831" t="str">
            <v>Transport and Logistics</v>
          </cell>
        </row>
        <row r="832">
          <cell r="C832" t="str">
            <v>4491</v>
          </cell>
          <cell r="D832" t="str">
            <v>Marine Cargo Handling</v>
          </cell>
          <cell r="E832" t="str">
            <v>N</v>
          </cell>
          <cell r="F832" t="str">
            <v>Y</v>
          </cell>
          <cell r="H832" t="str">
            <v>TR</v>
          </cell>
          <cell r="I832" t="str">
            <v>N</v>
          </cell>
          <cell r="J832" t="str">
            <v>50121</v>
          </cell>
          <cell r="K832" t="str">
            <v>11</v>
          </cell>
          <cell r="L832" t="str">
            <v>N</v>
          </cell>
          <cell r="M832" t="str">
            <v>0</v>
          </cell>
          <cell r="N832" t="b">
            <v>1</v>
          </cell>
          <cell r="S832" t="str">
            <v>Transport and Logistics</v>
          </cell>
        </row>
        <row r="833">
          <cell r="C833" t="str">
            <v>4492</v>
          </cell>
          <cell r="D833" t="str">
            <v>Towing and Tugboat Services</v>
          </cell>
          <cell r="E833" t="str">
            <v>N</v>
          </cell>
          <cell r="F833" t="str">
            <v>Y</v>
          </cell>
          <cell r="H833" t="str">
            <v>TR</v>
          </cell>
          <cell r="I833" t="str">
            <v>N</v>
          </cell>
          <cell r="J833" t="str">
            <v>50121</v>
          </cell>
          <cell r="K833" t="str">
            <v>11</v>
          </cell>
          <cell r="L833" t="str">
            <v>N</v>
          </cell>
          <cell r="M833" t="str">
            <v>0</v>
          </cell>
          <cell r="N833" t="b">
            <v>1</v>
          </cell>
          <cell r="S833" t="str">
            <v>Transport and Logistics</v>
          </cell>
        </row>
        <row r="834">
          <cell r="C834" t="str">
            <v>50122</v>
          </cell>
          <cell r="D834" t="str">
            <v>Transport by towing or pushing of barges, oil rigs</v>
          </cell>
          <cell r="E834" t="str">
            <v>N</v>
          </cell>
          <cell r="F834" t="str">
            <v>Y</v>
          </cell>
          <cell r="H834" t="str">
            <v>TR</v>
          </cell>
          <cell r="I834" t="str">
            <v>N</v>
          </cell>
          <cell r="J834" t="str">
            <v>50122</v>
          </cell>
          <cell r="K834" t="str">
            <v>11</v>
          </cell>
          <cell r="L834" t="str">
            <v>N</v>
          </cell>
          <cell r="M834" t="str">
            <v>0</v>
          </cell>
          <cell r="N834" t="b">
            <v>1</v>
          </cell>
          <cell r="S834" t="str">
            <v>Transport and Logistics</v>
          </cell>
        </row>
        <row r="835">
          <cell r="C835" t="str">
            <v>5021X</v>
          </cell>
          <cell r="D835" t="str">
            <v>Inland passenger water transport</v>
          </cell>
          <cell r="E835" t="str">
            <v>N</v>
          </cell>
          <cell r="F835" t="str">
            <v>Y</v>
          </cell>
          <cell r="H835" t="str">
            <v>TR</v>
          </cell>
          <cell r="I835" t="str">
            <v>N</v>
          </cell>
          <cell r="J835" t="str">
            <v>5021X</v>
          </cell>
          <cell r="K835" t="str">
            <v>11</v>
          </cell>
          <cell r="L835" t="str">
            <v>N</v>
          </cell>
          <cell r="M835" t="str">
            <v>0</v>
          </cell>
          <cell r="N835" t="b">
            <v>1</v>
          </cell>
          <cell r="S835" t="str">
            <v>Transport and Logistics</v>
          </cell>
        </row>
        <row r="836">
          <cell r="C836" t="str">
            <v>5022X</v>
          </cell>
          <cell r="D836" t="str">
            <v>Inland freight water transport</v>
          </cell>
          <cell r="E836" t="str">
            <v>N</v>
          </cell>
          <cell r="F836" t="str">
            <v>Y</v>
          </cell>
          <cell r="H836" t="str">
            <v>TR</v>
          </cell>
          <cell r="I836" t="str">
            <v>N</v>
          </cell>
          <cell r="J836" t="str">
            <v>5022X</v>
          </cell>
          <cell r="K836" t="str">
            <v>11</v>
          </cell>
          <cell r="L836" t="str">
            <v>N</v>
          </cell>
          <cell r="M836" t="str">
            <v>0</v>
          </cell>
          <cell r="N836" t="b">
            <v>1</v>
          </cell>
          <cell r="S836" t="str">
            <v>Transport and Logistics</v>
          </cell>
        </row>
        <row r="837">
          <cell r="C837" t="str">
            <v>4512</v>
          </cell>
          <cell r="D837" t="str">
            <v>Air Transportation, Scheduled</v>
          </cell>
          <cell r="E837" t="str">
            <v>N</v>
          </cell>
          <cell r="F837" t="str">
            <v>Y</v>
          </cell>
          <cell r="H837" t="str">
            <v>TR</v>
          </cell>
          <cell r="I837" t="str">
            <v>N</v>
          </cell>
          <cell r="J837" t="str">
            <v>51101</v>
          </cell>
          <cell r="K837" t="str">
            <v>11</v>
          </cell>
          <cell r="L837" t="str">
            <v>N</v>
          </cell>
          <cell r="M837" t="str">
            <v>0</v>
          </cell>
          <cell r="N837" t="b">
            <v>1</v>
          </cell>
          <cell r="S837" t="str">
            <v>Transport and Logistics</v>
          </cell>
        </row>
        <row r="838">
          <cell r="C838" t="str">
            <v>4522</v>
          </cell>
          <cell r="D838" t="str">
            <v>Air Transportation, Nonscheduled</v>
          </cell>
          <cell r="E838" t="str">
            <v>N</v>
          </cell>
          <cell r="F838" t="str">
            <v>Y</v>
          </cell>
          <cell r="H838" t="str">
            <v>TR</v>
          </cell>
          <cell r="I838" t="str">
            <v>N</v>
          </cell>
          <cell r="J838" t="str">
            <v>51102</v>
          </cell>
          <cell r="K838" t="str">
            <v>11</v>
          </cell>
          <cell r="L838" t="str">
            <v>N</v>
          </cell>
          <cell r="M838" t="str">
            <v>0</v>
          </cell>
          <cell r="N838" t="b">
            <v>1</v>
          </cell>
          <cell r="S838" t="str">
            <v>Transport and Logistics</v>
          </cell>
        </row>
        <row r="839">
          <cell r="C839" t="str">
            <v>51103</v>
          </cell>
          <cell r="D839" t="str">
            <v>Renting of air-transport equipment with operator for the purpose of passenger transportation</v>
          </cell>
          <cell r="E839" t="str">
            <v>N</v>
          </cell>
          <cell r="F839" t="str">
            <v>Y</v>
          </cell>
          <cell r="H839" t="str">
            <v>TR</v>
          </cell>
          <cell r="I839" t="str">
            <v>N</v>
          </cell>
          <cell r="J839" t="str">
            <v>51103</v>
          </cell>
          <cell r="K839" t="str">
            <v>11</v>
          </cell>
          <cell r="L839" t="str">
            <v>N</v>
          </cell>
          <cell r="M839" t="str">
            <v>0</v>
          </cell>
          <cell r="N839" t="b">
            <v>1</v>
          </cell>
          <cell r="S839" t="str">
            <v>Transport and Logistics</v>
          </cell>
        </row>
        <row r="840">
          <cell r="C840" t="str">
            <v>51201</v>
          </cell>
          <cell r="D840" t="str">
            <v>Transport freight by air over regular routes and on regular schedules</v>
          </cell>
          <cell r="E840" t="str">
            <v>N</v>
          </cell>
          <cell r="F840" t="str">
            <v>Y</v>
          </cell>
          <cell r="H840" t="str">
            <v>TR</v>
          </cell>
          <cell r="I840" t="str">
            <v>N</v>
          </cell>
          <cell r="J840" t="str">
            <v>51201</v>
          </cell>
          <cell r="K840" t="str">
            <v>11</v>
          </cell>
          <cell r="L840" t="str">
            <v>N</v>
          </cell>
          <cell r="M840" t="str">
            <v>0</v>
          </cell>
          <cell r="N840" t="b">
            <v>1</v>
          </cell>
          <cell r="S840" t="str">
            <v>Transport and Logistics</v>
          </cell>
        </row>
        <row r="841">
          <cell r="C841" t="str">
            <v>4581</v>
          </cell>
          <cell r="D841" t="str">
            <v>Airports, Flying Fields, and Airport Terminal Services</v>
          </cell>
          <cell r="E841" t="str">
            <v>N</v>
          </cell>
          <cell r="F841" t="str">
            <v>Y</v>
          </cell>
          <cell r="H841" t="str">
            <v>TR</v>
          </cell>
          <cell r="I841" t="str">
            <v>N</v>
          </cell>
          <cell r="J841" t="str">
            <v>51202</v>
          </cell>
          <cell r="K841" t="str">
            <v>11</v>
          </cell>
          <cell r="L841" t="str">
            <v>N</v>
          </cell>
          <cell r="M841" t="str">
            <v>0</v>
          </cell>
          <cell r="N841" t="b">
            <v>1</v>
          </cell>
          <cell r="S841" t="str">
            <v>Transport and Logistics</v>
          </cell>
        </row>
        <row r="842">
          <cell r="C842" t="str">
            <v>51203</v>
          </cell>
          <cell r="D842" t="str">
            <v>Renting of air-transport equipment with operator for the purpose of freight transportation</v>
          </cell>
          <cell r="E842" t="str">
            <v>N</v>
          </cell>
          <cell r="F842" t="str">
            <v>Y</v>
          </cell>
          <cell r="H842" t="str">
            <v>TR</v>
          </cell>
          <cell r="I842" t="str">
            <v>N</v>
          </cell>
          <cell r="J842" t="str">
            <v>51203</v>
          </cell>
          <cell r="K842" t="str">
            <v>11</v>
          </cell>
          <cell r="L842" t="str">
            <v>N</v>
          </cell>
          <cell r="M842" t="str">
            <v>0</v>
          </cell>
          <cell r="N842" t="b">
            <v>1</v>
          </cell>
          <cell r="S842" t="str">
            <v>Transport and Logistics</v>
          </cell>
        </row>
        <row r="843">
          <cell r="C843" t="str">
            <v>4226</v>
          </cell>
          <cell r="D843" t="str">
            <v>Special Warehousing and Storage, N.E.C.</v>
          </cell>
          <cell r="E843" t="str">
            <v>T</v>
          </cell>
          <cell r="F843" t="str">
            <v>Y</v>
          </cell>
          <cell r="H843" t="str">
            <v>TR</v>
          </cell>
          <cell r="I843" t="str">
            <v>N</v>
          </cell>
          <cell r="J843" t="str">
            <v>5210X</v>
          </cell>
          <cell r="K843" t="str">
            <v>11</v>
          </cell>
          <cell r="L843" t="str">
            <v>T</v>
          </cell>
          <cell r="M843" t="str">
            <v>11</v>
          </cell>
          <cell r="N843" t="b">
            <v>1</v>
          </cell>
          <cell r="S843" t="str">
            <v>Transport and Logistics</v>
          </cell>
        </row>
        <row r="844">
          <cell r="C844" t="str">
            <v>4225</v>
          </cell>
          <cell r="D844" t="str">
            <v>General Warehousing and Storage</v>
          </cell>
          <cell r="E844" t="str">
            <v>T</v>
          </cell>
          <cell r="F844" t="str">
            <v>Y</v>
          </cell>
          <cell r="H844" t="str">
            <v>TR</v>
          </cell>
          <cell r="I844" t="str">
            <v>N</v>
          </cell>
          <cell r="J844" t="str">
            <v>5210X</v>
          </cell>
          <cell r="K844" t="str">
            <v>11</v>
          </cell>
          <cell r="L844" t="str">
            <v>T</v>
          </cell>
          <cell r="M844" t="str">
            <v>11</v>
          </cell>
          <cell r="N844" t="b">
            <v>1</v>
          </cell>
          <cell r="S844" t="str">
            <v>Transport and Logistics</v>
          </cell>
        </row>
        <row r="845">
          <cell r="C845" t="str">
            <v>4222</v>
          </cell>
          <cell r="D845" t="str">
            <v>Refrigerated Warehousing and Storage</v>
          </cell>
          <cell r="E845" t="str">
            <v>T</v>
          </cell>
          <cell r="F845" t="str">
            <v>Y</v>
          </cell>
          <cell r="H845" t="str">
            <v>TR</v>
          </cell>
          <cell r="I845" t="str">
            <v>N</v>
          </cell>
          <cell r="J845" t="str">
            <v>5210X</v>
          </cell>
          <cell r="K845" t="str">
            <v>11</v>
          </cell>
          <cell r="L845" t="str">
            <v>T</v>
          </cell>
          <cell r="M845" t="str">
            <v>11</v>
          </cell>
          <cell r="N845" t="b">
            <v>1</v>
          </cell>
          <cell r="S845" t="str">
            <v>Transport and Logistics</v>
          </cell>
        </row>
        <row r="846">
          <cell r="C846" t="str">
            <v>4214</v>
          </cell>
          <cell r="D846" t="str">
            <v>Local Trucking With Storage</v>
          </cell>
          <cell r="E846" t="str">
            <v>T</v>
          </cell>
          <cell r="F846" t="str">
            <v>Y</v>
          </cell>
          <cell r="H846" t="str">
            <v>TR</v>
          </cell>
          <cell r="I846" t="str">
            <v>N</v>
          </cell>
          <cell r="J846" t="str">
            <v>5210X</v>
          </cell>
          <cell r="K846" t="str">
            <v>11</v>
          </cell>
          <cell r="L846" t="str">
            <v>T</v>
          </cell>
          <cell r="M846" t="str">
            <v>11</v>
          </cell>
          <cell r="N846" t="b">
            <v>1</v>
          </cell>
          <cell r="S846" t="str">
            <v>Transport and Logistics</v>
          </cell>
        </row>
        <row r="847">
          <cell r="C847" t="str">
            <v>5221X</v>
          </cell>
          <cell r="D847" t="str">
            <v>Service activities incidental to land transportation</v>
          </cell>
          <cell r="E847" t="str">
            <v>T</v>
          </cell>
          <cell r="F847" t="str">
            <v>Y</v>
          </cell>
          <cell r="H847" t="str">
            <v>TR</v>
          </cell>
          <cell r="I847" t="str">
            <v>N</v>
          </cell>
          <cell r="J847" t="str">
            <v>5221X</v>
          </cell>
          <cell r="K847" t="str">
            <v>11</v>
          </cell>
          <cell r="L847" t="str">
            <v>T</v>
          </cell>
          <cell r="M847" t="str">
            <v>11</v>
          </cell>
          <cell r="N847" t="b">
            <v>1</v>
          </cell>
          <cell r="S847" t="str">
            <v>Transport and Logistics</v>
          </cell>
        </row>
        <row r="848">
          <cell r="C848" t="str">
            <v>5222X</v>
          </cell>
          <cell r="D848" t="str">
            <v>Service activities incidental to water transportation</v>
          </cell>
          <cell r="E848" t="str">
            <v>T</v>
          </cell>
          <cell r="F848" t="str">
            <v>Y</v>
          </cell>
          <cell r="H848" t="str">
            <v>TR</v>
          </cell>
          <cell r="I848" t="str">
            <v>N</v>
          </cell>
          <cell r="J848" t="str">
            <v>5222X</v>
          </cell>
          <cell r="K848" t="str">
            <v>11</v>
          </cell>
          <cell r="L848" t="str">
            <v>T</v>
          </cell>
          <cell r="M848" t="str">
            <v>11</v>
          </cell>
          <cell r="N848" t="b">
            <v>1</v>
          </cell>
          <cell r="S848" t="str">
            <v>Transport and Logistics</v>
          </cell>
        </row>
        <row r="849">
          <cell r="C849" t="str">
            <v>5223X</v>
          </cell>
          <cell r="D849" t="str">
            <v>Service activities incidental to air transportation</v>
          </cell>
          <cell r="E849" t="str">
            <v>T</v>
          </cell>
          <cell r="F849" t="str">
            <v>Y</v>
          </cell>
          <cell r="H849" t="str">
            <v>TR</v>
          </cell>
          <cell r="I849" t="str">
            <v>N</v>
          </cell>
          <cell r="J849" t="str">
            <v>5223X</v>
          </cell>
          <cell r="K849" t="str">
            <v>11</v>
          </cell>
          <cell r="L849" t="str">
            <v>T</v>
          </cell>
          <cell r="M849" t="str">
            <v>11</v>
          </cell>
          <cell r="N849" t="b">
            <v>1</v>
          </cell>
          <cell r="S849" t="str">
            <v>Transport and Logistics</v>
          </cell>
        </row>
        <row r="850">
          <cell r="C850" t="str">
            <v>52241</v>
          </cell>
          <cell r="D850" t="str">
            <v>Stevedoring services</v>
          </cell>
          <cell r="E850" t="str">
            <v>T</v>
          </cell>
          <cell r="F850" t="str">
            <v>Y</v>
          </cell>
          <cell r="H850" t="str">
            <v>TR</v>
          </cell>
          <cell r="I850" t="str">
            <v>N</v>
          </cell>
          <cell r="J850" t="str">
            <v>52241</v>
          </cell>
          <cell r="K850" t="str">
            <v>11</v>
          </cell>
          <cell r="L850" t="str">
            <v>T</v>
          </cell>
          <cell r="M850" t="str">
            <v>11</v>
          </cell>
          <cell r="N850" t="b">
            <v>1</v>
          </cell>
          <cell r="S850" t="str">
            <v>Transport and Logistics</v>
          </cell>
        </row>
        <row r="851">
          <cell r="C851" t="str">
            <v>52249</v>
          </cell>
          <cell r="D851" t="str">
            <v>Other cargo handling activities n.e.c.</v>
          </cell>
          <cell r="E851" t="str">
            <v>T</v>
          </cell>
          <cell r="F851" t="str">
            <v>Y</v>
          </cell>
          <cell r="H851" t="str">
            <v>TR</v>
          </cell>
          <cell r="I851" t="str">
            <v>N</v>
          </cell>
          <cell r="J851" t="str">
            <v>52249</v>
          </cell>
          <cell r="K851" t="str">
            <v>11</v>
          </cell>
          <cell r="L851" t="str">
            <v>T</v>
          </cell>
          <cell r="M851" t="str">
            <v>11</v>
          </cell>
          <cell r="N851" t="b">
            <v>1</v>
          </cell>
          <cell r="S851" t="str">
            <v>Transport and Logistics</v>
          </cell>
        </row>
        <row r="852">
          <cell r="C852" t="str">
            <v>4212</v>
          </cell>
          <cell r="D852" t="str">
            <v>Local Trucking Without Storage</v>
          </cell>
          <cell r="E852" t="str">
            <v>T</v>
          </cell>
          <cell r="F852" t="str">
            <v>Y</v>
          </cell>
          <cell r="H852" t="str">
            <v>TR</v>
          </cell>
          <cell r="I852" t="str">
            <v>N</v>
          </cell>
          <cell r="J852" t="str">
            <v>52291</v>
          </cell>
          <cell r="K852" t="str">
            <v>11</v>
          </cell>
          <cell r="L852" t="str">
            <v>T</v>
          </cell>
          <cell r="M852" t="str">
            <v>11</v>
          </cell>
          <cell r="N852" t="b">
            <v>1</v>
          </cell>
          <cell r="S852" t="str">
            <v>Transport and Logistics</v>
          </cell>
        </row>
        <row r="853">
          <cell r="C853" t="str">
            <v>52291</v>
          </cell>
          <cell r="D853" t="str">
            <v>Freight Fowarding Services</v>
          </cell>
          <cell r="E853" t="str">
            <v>T</v>
          </cell>
          <cell r="F853" t="str">
            <v>Y</v>
          </cell>
          <cell r="H853" t="str">
            <v>TR</v>
          </cell>
          <cell r="I853" t="str">
            <v>N</v>
          </cell>
          <cell r="J853" t="str">
            <v>52291</v>
          </cell>
          <cell r="K853" t="str">
            <v>11</v>
          </cell>
          <cell r="L853" t="str">
            <v>T</v>
          </cell>
          <cell r="M853" t="str">
            <v>11</v>
          </cell>
          <cell r="N853" t="b">
            <v>1</v>
          </cell>
          <cell r="S853" t="str">
            <v>Transport and Logistics</v>
          </cell>
        </row>
        <row r="854">
          <cell r="C854" t="str">
            <v>4213</v>
          </cell>
          <cell r="D854" t="str">
            <v>Trucking, Except Local</v>
          </cell>
          <cell r="E854" t="str">
            <v>T</v>
          </cell>
          <cell r="F854" t="str">
            <v>Y</v>
          </cell>
          <cell r="H854" t="str">
            <v>TR</v>
          </cell>
          <cell r="I854" t="str">
            <v>N</v>
          </cell>
          <cell r="J854" t="str">
            <v>52291</v>
          </cell>
          <cell r="K854" t="str">
            <v>11</v>
          </cell>
          <cell r="L854" t="str">
            <v>T</v>
          </cell>
          <cell r="M854" t="str">
            <v>11</v>
          </cell>
          <cell r="N854" t="b">
            <v>1</v>
          </cell>
          <cell r="S854" t="str">
            <v>Transport and Logistics</v>
          </cell>
        </row>
        <row r="855">
          <cell r="C855" t="str">
            <v>4513</v>
          </cell>
          <cell r="D855" t="str">
            <v>Air Courier Services</v>
          </cell>
          <cell r="E855" t="str">
            <v>N</v>
          </cell>
          <cell r="F855" t="str">
            <v>Y</v>
          </cell>
          <cell r="H855" t="str">
            <v>TR</v>
          </cell>
          <cell r="I855" t="str">
            <v>N</v>
          </cell>
          <cell r="J855" t="str">
            <v>52291</v>
          </cell>
          <cell r="K855" t="str">
            <v>11</v>
          </cell>
          <cell r="L855" t="str">
            <v>N</v>
          </cell>
          <cell r="M855" t="str">
            <v>0</v>
          </cell>
          <cell r="N855" t="b">
            <v>1</v>
          </cell>
          <cell r="S855" t="str">
            <v>Transport and Logistics</v>
          </cell>
        </row>
        <row r="856">
          <cell r="C856" t="str">
            <v>52292</v>
          </cell>
          <cell r="D856" t="str">
            <v>Brokerage for ship and aircraft space</v>
          </cell>
          <cell r="E856" t="str">
            <v>N</v>
          </cell>
          <cell r="F856" t="str">
            <v>Y</v>
          </cell>
          <cell r="H856" t="str">
            <v>TR</v>
          </cell>
          <cell r="I856" t="str">
            <v>N</v>
          </cell>
          <cell r="J856" t="str">
            <v>52292</v>
          </cell>
          <cell r="K856" t="str">
            <v>11</v>
          </cell>
          <cell r="L856" t="str">
            <v>N</v>
          </cell>
          <cell r="M856" t="str">
            <v>0</v>
          </cell>
          <cell r="N856" t="b">
            <v>1</v>
          </cell>
          <cell r="S856" t="str">
            <v>Transport and Logistics</v>
          </cell>
        </row>
        <row r="857">
          <cell r="C857" t="str">
            <v>4729</v>
          </cell>
          <cell r="D857" t="str">
            <v>Arrangement of Passenger Transportation, N.E.C.</v>
          </cell>
          <cell r="E857" t="str">
            <v>T</v>
          </cell>
          <cell r="F857" t="str">
            <v>Y</v>
          </cell>
          <cell r="H857" t="str">
            <v>TR</v>
          </cell>
          <cell r="I857" t="str">
            <v>N</v>
          </cell>
          <cell r="J857" t="str">
            <v>52299</v>
          </cell>
          <cell r="K857" t="str">
            <v>11</v>
          </cell>
          <cell r="L857" t="str">
            <v>T</v>
          </cell>
          <cell r="M857" t="str">
            <v>11</v>
          </cell>
          <cell r="N857" t="b">
            <v>1</v>
          </cell>
          <cell r="S857" t="str">
            <v>Transport and Logistics</v>
          </cell>
        </row>
        <row r="858">
          <cell r="C858" t="str">
            <v>4731</v>
          </cell>
          <cell r="D858" t="str">
            <v>Arrangement of Transportation of Freight and Cargo</v>
          </cell>
          <cell r="E858" t="str">
            <v>T</v>
          </cell>
          <cell r="F858" t="str">
            <v>Y</v>
          </cell>
          <cell r="H858" t="str">
            <v>TR</v>
          </cell>
          <cell r="I858" t="str">
            <v>N</v>
          </cell>
          <cell r="J858" t="str">
            <v>52299</v>
          </cell>
          <cell r="K858" t="str">
            <v>11</v>
          </cell>
          <cell r="L858" t="str">
            <v>T</v>
          </cell>
          <cell r="M858" t="str">
            <v>11</v>
          </cell>
          <cell r="N858" t="b">
            <v>1</v>
          </cell>
          <cell r="S858" t="str">
            <v>Transport and Logistics</v>
          </cell>
        </row>
        <row r="859">
          <cell r="C859" t="str">
            <v>4231</v>
          </cell>
          <cell r="D859" t="str">
            <v>Terminal and Joint Terminal Maintenance Facilities for Motor Freight Transportation</v>
          </cell>
          <cell r="E859" t="str">
            <v>T</v>
          </cell>
          <cell r="F859" t="str">
            <v>Y</v>
          </cell>
          <cell r="H859" t="str">
            <v>TR</v>
          </cell>
          <cell r="I859" t="str">
            <v>N</v>
          </cell>
          <cell r="J859" t="str">
            <v>52299</v>
          </cell>
          <cell r="K859" t="str">
            <v>11</v>
          </cell>
          <cell r="L859" t="str">
            <v>T</v>
          </cell>
          <cell r="M859" t="str">
            <v>11</v>
          </cell>
          <cell r="N859" t="b">
            <v>1</v>
          </cell>
          <cell r="S859" t="str">
            <v>Transport and Logistics</v>
          </cell>
        </row>
        <row r="860">
          <cell r="C860" t="str">
            <v>4783</v>
          </cell>
          <cell r="D860" t="str">
            <v>Packing and Crating</v>
          </cell>
          <cell r="E860" t="str">
            <v>T</v>
          </cell>
          <cell r="F860" t="str">
            <v>Y</v>
          </cell>
          <cell r="H860" t="str">
            <v>TR</v>
          </cell>
          <cell r="I860" t="str">
            <v>N</v>
          </cell>
          <cell r="J860" t="str">
            <v>52299</v>
          </cell>
          <cell r="K860" t="str">
            <v>11</v>
          </cell>
          <cell r="L860" t="str">
            <v>T</v>
          </cell>
          <cell r="M860" t="str">
            <v>11</v>
          </cell>
          <cell r="N860" t="b">
            <v>1</v>
          </cell>
          <cell r="S860" t="str">
            <v>Transport and Logistics</v>
          </cell>
        </row>
        <row r="861">
          <cell r="C861" t="str">
            <v>4785</v>
          </cell>
          <cell r="D861" t="str">
            <v>Fixed Facilities and Inspection and Weighing Services for Motor Vehicle Transportation</v>
          </cell>
          <cell r="E861" t="str">
            <v>T</v>
          </cell>
          <cell r="F861" t="str">
            <v>Y</v>
          </cell>
          <cell r="H861" t="str">
            <v>TR</v>
          </cell>
          <cell r="I861" t="str">
            <v>N</v>
          </cell>
          <cell r="J861" t="str">
            <v>52299</v>
          </cell>
          <cell r="K861" t="str">
            <v>11</v>
          </cell>
          <cell r="L861" t="str">
            <v>T</v>
          </cell>
          <cell r="M861" t="str">
            <v>11</v>
          </cell>
          <cell r="N861" t="b">
            <v>1</v>
          </cell>
          <cell r="S861" t="str">
            <v>Transport and Logistics</v>
          </cell>
        </row>
        <row r="862">
          <cell r="C862" t="str">
            <v>4789</v>
          </cell>
          <cell r="D862" t="str">
            <v>Transportation Services, N.E.C.</v>
          </cell>
          <cell r="E862" t="str">
            <v>T</v>
          </cell>
          <cell r="F862" t="str">
            <v>Y</v>
          </cell>
          <cell r="H862" t="str">
            <v>TR</v>
          </cell>
          <cell r="I862" t="str">
            <v>N</v>
          </cell>
          <cell r="J862" t="str">
            <v>52299</v>
          </cell>
          <cell r="K862" t="str">
            <v>11</v>
          </cell>
          <cell r="L862" t="str">
            <v>T</v>
          </cell>
          <cell r="M862" t="str">
            <v>11</v>
          </cell>
          <cell r="N862" t="b">
            <v>1</v>
          </cell>
          <cell r="S862" t="str">
            <v>Transport and Logistics</v>
          </cell>
        </row>
        <row r="863">
          <cell r="C863" t="str">
            <v>4215</v>
          </cell>
          <cell r="D863" t="str">
            <v>Courier Services, Except by Air</v>
          </cell>
          <cell r="E863" t="str">
            <v>T</v>
          </cell>
          <cell r="F863" t="str">
            <v>Y</v>
          </cell>
          <cell r="H863" t="str">
            <v>TR</v>
          </cell>
          <cell r="I863" t="str">
            <v>N</v>
          </cell>
          <cell r="J863" t="str">
            <v>53XXX</v>
          </cell>
          <cell r="K863" t="str">
            <v>11</v>
          </cell>
          <cell r="L863" t="str">
            <v>T</v>
          </cell>
          <cell r="M863" t="str">
            <v>11</v>
          </cell>
          <cell r="N863" t="b">
            <v>1</v>
          </cell>
          <cell r="S863" t="str">
            <v>Transport and Logistics</v>
          </cell>
        </row>
        <row r="864">
          <cell r="C864" t="str">
            <v>7021</v>
          </cell>
          <cell r="D864" t="str">
            <v>Rooming and Boarding Houses</v>
          </cell>
          <cell r="E864" t="str">
            <v>H</v>
          </cell>
          <cell r="F864" t="str">
            <v>Y</v>
          </cell>
          <cell r="H864" t="str">
            <v>WH</v>
          </cell>
          <cell r="I864" t="str">
            <v>N</v>
          </cell>
          <cell r="J864" t="str">
            <v>55101</v>
          </cell>
          <cell r="K864" t="str">
            <v>9</v>
          </cell>
          <cell r="L864" t="str">
            <v>H</v>
          </cell>
          <cell r="M864" t="str">
            <v>0</v>
          </cell>
          <cell r="N864" t="b">
            <v>1</v>
          </cell>
          <cell r="S864" t="str">
            <v>Accommodations</v>
          </cell>
        </row>
        <row r="865">
          <cell r="C865" t="str">
            <v>7011</v>
          </cell>
          <cell r="D865" t="str">
            <v>Hotels and Motels</v>
          </cell>
          <cell r="E865" t="str">
            <v>H</v>
          </cell>
          <cell r="F865" t="str">
            <v>Y</v>
          </cell>
          <cell r="H865" t="str">
            <v>WH</v>
          </cell>
          <cell r="I865" t="str">
            <v>N</v>
          </cell>
          <cell r="J865" t="str">
            <v>55101</v>
          </cell>
          <cell r="K865" t="str">
            <v>9</v>
          </cell>
          <cell r="L865" t="str">
            <v>H</v>
          </cell>
          <cell r="M865" t="str">
            <v>0</v>
          </cell>
          <cell r="N865" t="b">
            <v>1</v>
          </cell>
          <cell r="P865" t="str">
            <v>Y</v>
          </cell>
          <cell r="S865" t="str">
            <v>Accommodations</v>
          </cell>
        </row>
        <row r="866">
          <cell r="C866" t="str">
            <v>7041</v>
          </cell>
          <cell r="D866" t="str">
            <v>Organization Hotels and Lodging Houses, on Membership Basis</v>
          </cell>
          <cell r="E866" t="str">
            <v>H</v>
          </cell>
          <cell r="F866" t="str">
            <v>Y</v>
          </cell>
          <cell r="H866" t="str">
            <v>WH</v>
          </cell>
          <cell r="I866" t="str">
            <v>N</v>
          </cell>
          <cell r="J866" t="str">
            <v>55101</v>
          </cell>
          <cell r="K866" t="str">
            <v>9</v>
          </cell>
          <cell r="L866" t="str">
            <v>H</v>
          </cell>
          <cell r="M866" t="str">
            <v>0</v>
          </cell>
          <cell r="N866" t="b">
            <v>1</v>
          </cell>
          <cell r="P866" t="str">
            <v>Y</v>
          </cell>
          <cell r="S866" t="str">
            <v>Accommodations</v>
          </cell>
        </row>
        <row r="867">
          <cell r="C867" t="str">
            <v>55104</v>
          </cell>
          <cell r="D867" t="str">
            <v>Chalets</v>
          </cell>
          <cell r="E867" t="str">
            <v>H</v>
          </cell>
          <cell r="F867" t="str">
            <v>Y</v>
          </cell>
          <cell r="H867" t="str">
            <v>WH</v>
          </cell>
          <cell r="I867" t="str">
            <v>N</v>
          </cell>
          <cell r="J867" t="str">
            <v>55104</v>
          </cell>
          <cell r="K867" t="str">
            <v>9</v>
          </cell>
          <cell r="L867" t="str">
            <v>H</v>
          </cell>
          <cell r="M867" t="str">
            <v>0</v>
          </cell>
          <cell r="N867" t="b">
            <v>1</v>
          </cell>
          <cell r="S867" t="str">
            <v>Accommodations</v>
          </cell>
        </row>
        <row r="868">
          <cell r="C868" t="str">
            <v>55105</v>
          </cell>
          <cell r="D868" t="str">
            <v>Rest house/guest house</v>
          </cell>
          <cell r="E868" t="str">
            <v>H</v>
          </cell>
          <cell r="F868" t="str">
            <v>Y</v>
          </cell>
          <cell r="H868" t="str">
            <v>WH</v>
          </cell>
          <cell r="I868" t="str">
            <v>N</v>
          </cell>
          <cell r="J868" t="str">
            <v>55105</v>
          </cell>
          <cell r="K868" t="str">
            <v>9</v>
          </cell>
          <cell r="L868" t="str">
            <v>H</v>
          </cell>
          <cell r="M868" t="str">
            <v>0</v>
          </cell>
          <cell r="N868" t="b">
            <v>1</v>
          </cell>
          <cell r="S868" t="str">
            <v>Accommodations</v>
          </cell>
        </row>
        <row r="869">
          <cell r="C869" t="str">
            <v>55108</v>
          </cell>
          <cell r="D869" t="str">
            <v>Home stay</v>
          </cell>
          <cell r="E869" t="str">
            <v>H</v>
          </cell>
          <cell r="F869" t="str">
            <v>Y</v>
          </cell>
          <cell r="H869" t="str">
            <v>WH</v>
          </cell>
          <cell r="I869" t="str">
            <v>N</v>
          </cell>
          <cell r="J869" t="str">
            <v>55108</v>
          </cell>
          <cell r="K869" t="str">
            <v>9</v>
          </cell>
          <cell r="L869" t="str">
            <v>H</v>
          </cell>
          <cell r="M869" t="str">
            <v>0</v>
          </cell>
          <cell r="N869" t="b">
            <v>1</v>
          </cell>
          <cell r="S869" t="str">
            <v>Accommodations</v>
          </cell>
        </row>
        <row r="870">
          <cell r="C870" t="str">
            <v>55199</v>
          </cell>
          <cell r="D870" t="str">
            <v>Other short term accommodation activities</v>
          </cell>
          <cell r="E870" t="str">
            <v>H</v>
          </cell>
          <cell r="F870" t="str">
            <v>Y</v>
          </cell>
          <cell r="H870" t="str">
            <v>WH</v>
          </cell>
          <cell r="I870" t="str">
            <v>N</v>
          </cell>
          <cell r="J870" t="str">
            <v>55199</v>
          </cell>
          <cell r="K870" t="str">
            <v>9</v>
          </cell>
          <cell r="L870" t="str">
            <v>H</v>
          </cell>
          <cell r="M870" t="str">
            <v>0</v>
          </cell>
          <cell r="N870" t="b">
            <v>1</v>
          </cell>
          <cell r="S870" t="str">
            <v>Accommodations</v>
          </cell>
        </row>
        <row r="871">
          <cell r="C871" t="str">
            <v>7032</v>
          </cell>
          <cell r="D871" t="str">
            <v>Sporting and Recreational Camps</v>
          </cell>
          <cell r="E871" t="str">
            <v>H</v>
          </cell>
          <cell r="F871" t="str">
            <v>Y</v>
          </cell>
          <cell r="H871" t="str">
            <v>WH</v>
          </cell>
          <cell r="I871" t="str">
            <v>N</v>
          </cell>
          <cell r="J871" t="str">
            <v>5520X</v>
          </cell>
          <cell r="K871" t="str">
            <v>9</v>
          </cell>
          <cell r="L871" t="str">
            <v>H</v>
          </cell>
          <cell r="M871" t="str">
            <v>0</v>
          </cell>
          <cell r="N871" t="b">
            <v>1</v>
          </cell>
          <cell r="S871" t="str">
            <v>Accommodations</v>
          </cell>
        </row>
        <row r="872">
          <cell r="C872" t="str">
            <v>55900</v>
          </cell>
          <cell r="D872" t="str">
            <v>Other accommodation</v>
          </cell>
          <cell r="E872" t="str">
            <v>H</v>
          </cell>
          <cell r="F872" t="str">
            <v>Y</v>
          </cell>
          <cell r="H872" t="str">
            <v>WH</v>
          </cell>
          <cell r="I872" t="str">
            <v>N</v>
          </cell>
          <cell r="J872" t="str">
            <v>55900</v>
          </cell>
          <cell r="K872" t="str">
            <v>9</v>
          </cell>
          <cell r="L872" t="str">
            <v>H</v>
          </cell>
          <cell r="M872" t="str">
            <v>0</v>
          </cell>
          <cell r="N872" t="b">
            <v>1</v>
          </cell>
          <cell r="S872" t="str">
            <v>Accommodations</v>
          </cell>
        </row>
        <row r="873">
          <cell r="C873" t="str">
            <v>5812</v>
          </cell>
          <cell r="D873" t="str">
            <v>Eating Places, Except Food Service, Institutional</v>
          </cell>
          <cell r="E873" t="str">
            <v>T</v>
          </cell>
          <cell r="F873" t="str">
            <v>Y</v>
          </cell>
          <cell r="H873" t="str">
            <v>WH</v>
          </cell>
          <cell r="I873" t="str">
            <v>N</v>
          </cell>
          <cell r="J873" t="str">
            <v>56101</v>
          </cell>
          <cell r="K873" t="str">
            <v>8</v>
          </cell>
          <cell r="L873" t="str">
            <v>T</v>
          </cell>
          <cell r="M873" t="str">
            <v>8</v>
          </cell>
          <cell r="N873" t="b">
            <v>1</v>
          </cell>
          <cell r="O873" t="str">
            <v>Y</v>
          </cell>
          <cell r="S873" t="str">
            <v>Food and beverage Services Activities (including restaurant/café/ mobile food service activities)</v>
          </cell>
        </row>
        <row r="874">
          <cell r="C874" t="str">
            <v>5813</v>
          </cell>
          <cell r="D874" t="str">
            <v>Drinking Places (Alcoholic Beverages)</v>
          </cell>
          <cell r="E874" t="str">
            <v>T</v>
          </cell>
          <cell r="F874" t="str">
            <v>N</v>
          </cell>
          <cell r="H874" t="str">
            <v>WH</v>
          </cell>
          <cell r="I874" t="str">
            <v>N</v>
          </cell>
          <cell r="J874" t="str">
            <v>56101</v>
          </cell>
          <cell r="K874" t="str">
            <v>8</v>
          </cell>
          <cell r="L874" t="str">
            <v>T</v>
          </cell>
          <cell r="M874" t="str">
            <v>8</v>
          </cell>
          <cell r="N874" t="b">
            <v>1</v>
          </cell>
          <cell r="R874" t="str">
            <v>Has changed to "A" in Nov 2019</v>
          </cell>
          <cell r="S874" t="str">
            <v>Food and beverage Services Activities (including restaurant/café/ mobile food service activities)</v>
          </cell>
        </row>
        <row r="875">
          <cell r="C875" t="str">
            <v>56102</v>
          </cell>
          <cell r="D875" t="str">
            <v>Cafeterias/canteens</v>
          </cell>
          <cell r="E875" t="str">
            <v>T</v>
          </cell>
          <cell r="F875" t="str">
            <v>N</v>
          </cell>
          <cell r="H875" t="str">
            <v>WH</v>
          </cell>
          <cell r="I875" t="str">
            <v>N</v>
          </cell>
          <cell r="J875" t="str">
            <v>56102</v>
          </cell>
          <cell r="K875" t="str">
            <v>8</v>
          </cell>
          <cell r="L875" t="str">
            <v>T</v>
          </cell>
          <cell r="M875" t="str">
            <v>8</v>
          </cell>
          <cell r="N875" t="b">
            <v>1</v>
          </cell>
          <cell r="S875" t="str">
            <v>Food and beverage Services Activities (including restaurant/café/ mobile food service activities)</v>
          </cell>
        </row>
        <row r="876">
          <cell r="C876" t="str">
            <v>56103</v>
          </cell>
          <cell r="D876" t="str">
            <v>Fast-food restaurants</v>
          </cell>
          <cell r="E876" t="str">
            <v>T</v>
          </cell>
          <cell r="F876" t="str">
            <v>N</v>
          </cell>
          <cell r="H876" t="str">
            <v>WH</v>
          </cell>
          <cell r="I876" t="str">
            <v>N</v>
          </cell>
          <cell r="J876" t="str">
            <v>56103</v>
          </cell>
          <cell r="K876" t="str">
            <v>8</v>
          </cell>
          <cell r="L876" t="str">
            <v>T</v>
          </cell>
          <cell r="M876" t="str">
            <v>8</v>
          </cell>
          <cell r="N876" t="b">
            <v>1</v>
          </cell>
          <cell r="S876" t="str">
            <v>Food and beverage Services Activities (including restaurant/café/ mobile food service activities)</v>
          </cell>
        </row>
        <row r="877">
          <cell r="C877" t="str">
            <v>56104</v>
          </cell>
          <cell r="D877" t="str">
            <v>Ice cream truck vendors and parlours</v>
          </cell>
          <cell r="E877" t="str">
            <v>T</v>
          </cell>
          <cell r="F877" t="str">
            <v>N</v>
          </cell>
          <cell r="H877" t="str">
            <v>WH</v>
          </cell>
          <cell r="I877" t="str">
            <v>N</v>
          </cell>
          <cell r="J877" t="str">
            <v>56104</v>
          </cell>
          <cell r="K877" t="str">
            <v>8</v>
          </cell>
          <cell r="L877" t="str">
            <v>T</v>
          </cell>
          <cell r="M877" t="str">
            <v>8</v>
          </cell>
          <cell r="N877" t="b">
            <v>1</v>
          </cell>
          <cell r="S877" t="str">
            <v>Food and beverage Services Activities (including restaurant/café/ mobile food service activities)</v>
          </cell>
        </row>
        <row r="878">
          <cell r="C878" t="str">
            <v>56105</v>
          </cell>
          <cell r="D878" t="str">
            <v>Mobile food carts</v>
          </cell>
          <cell r="E878" t="str">
            <v>T</v>
          </cell>
          <cell r="F878" t="str">
            <v>N</v>
          </cell>
          <cell r="H878" t="str">
            <v>WH</v>
          </cell>
          <cell r="I878" t="str">
            <v>N</v>
          </cell>
          <cell r="J878" t="str">
            <v>56105</v>
          </cell>
          <cell r="K878" t="str">
            <v>8</v>
          </cell>
          <cell r="L878" t="str">
            <v>T</v>
          </cell>
          <cell r="M878" t="str">
            <v>8</v>
          </cell>
          <cell r="N878" t="b">
            <v>1</v>
          </cell>
          <cell r="S878" t="str">
            <v>Food and beverage Services Activities (including restaurant/café/ mobile food service activities)</v>
          </cell>
        </row>
        <row r="879">
          <cell r="C879" t="str">
            <v>56106</v>
          </cell>
          <cell r="D879" t="str">
            <v>Food stalls/hawkers</v>
          </cell>
          <cell r="E879" t="str">
            <v>T</v>
          </cell>
          <cell r="F879" t="str">
            <v>N</v>
          </cell>
          <cell r="H879" t="str">
            <v>WH</v>
          </cell>
          <cell r="I879" t="str">
            <v>N</v>
          </cell>
          <cell r="J879" t="str">
            <v>56106</v>
          </cell>
          <cell r="K879" t="str">
            <v>8</v>
          </cell>
          <cell r="L879" t="str">
            <v>T</v>
          </cell>
          <cell r="M879" t="str">
            <v>8</v>
          </cell>
          <cell r="N879" t="b">
            <v>1</v>
          </cell>
          <cell r="S879" t="str">
            <v>Food and beverage Services Activities (including restaurant/café/ mobile food service activities)</v>
          </cell>
        </row>
        <row r="880">
          <cell r="C880" t="str">
            <v>56107</v>
          </cell>
          <cell r="D880" t="str">
            <v>Food or beverage, food and beverage preparation in market stalls/hawkers (e.g. pasar tani, pasar malam)</v>
          </cell>
          <cell r="E880" t="str">
            <v>T</v>
          </cell>
          <cell r="F880" t="str">
            <v>N</v>
          </cell>
          <cell r="H880" t="str">
            <v>WH</v>
          </cell>
          <cell r="I880" t="str">
            <v>N</v>
          </cell>
          <cell r="J880" t="str">
            <v>56107</v>
          </cell>
          <cell r="K880" t="str">
            <v>8</v>
          </cell>
          <cell r="L880" t="str">
            <v>T</v>
          </cell>
          <cell r="M880" t="str">
            <v>8</v>
          </cell>
          <cell r="N880" t="b">
            <v>1</v>
          </cell>
          <cell r="S880" t="str">
            <v>Food and beverage Services Activities (including restaurant/café/ mobile food service activities)</v>
          </cell>
        </row>
        <row r="881">
          <cell r="C881" t="str">
            <v>562XX</v>
          </cell>
          <cell r="D881" t="str">
            <v>Event catering and other food service activities</v>
          </cell>
          <cell r="E881" t="str">
            <v>T</v>
          </cell>
          <cell r="F881" t="str">
            <v>N</v>
          </cell>
          <cell r="H881" t="str">
            <v>WH</v>
          </cell>
          <cell r="I881" t="str">
            <v>N</v>
          </cell>
          <cell r="J881" t="str">
            <v>562XX</v>
          </cell>
          <cell r="K881" t="str">
            <v>8</v>
          </cell>
          <cell r="L881" t="str">
            <v>T</v>
          </cell>
          <cell r="M881" t="str">
            <v>8</v>
          </cell>
          <cell r="N881" t="b">
            <v>1</v>
          </cell>
          <cell r="S881" t="str">
            <v>Food and beverage Services Activities (including restaurant/café/ mobile food service activities)</v>
          </cell>
        </row>
        <row r="882">
          <cell r="C882" t="str">
            <v>56302</v>
          </cell>
          <cell r="D882" t="str">
            <v>Coffee shops</v>
          </cell>
          <cell r="E882" t="str">
            <v>T</v>
          </cell>
          <cell r="F882" t="str">
            <v>N</v>
          </cell>
          <cell r="H882" t="str">
            <v>WH</v>
          </cell>
          <cell r="I882" t="str">
            <v>N</v>
          </cell>
          <cell r="J882" t="str">
            <v>56302</v>
          </cell>
          <cell r="K882" t="str">
            <v>8</v>
          </cell>
          <cell r="L882" t="str">
            <v>T</v>
          </cell>
          <cell r="M882" t="str">
            <v>8</v>
          </cell>
          <cell r="N882" t="b">
            <v>1</v>
          </cell>
          <cell r="S882" t="str">
            <v>Food and beverage Services Activities (including restaurant/café/ mobile food service activities)</v>
          </cell>
        </row>
        <row r="883">
          <cell r="C883" t="str">
            <v>56303</v>
          </cell>
          <cell r="D883" t="str">
            <v>Drink stalls/hawkers</v>
          </cell>
          <cell r="E883" t="str">
            <v>T</v>
          </cell>
          <cell r="F883" t="str">
            <v>N</v>
          </cell>
          <cell r="H883" t="str">
            <v>WH</v>
          </cell>
          <cell r="I883" t="str">
            <v>N</v>
          </cell>
          <cell r="J883" t="str">
            <v>56303</v>
          </cell>
          <cell r="K883" t="str">
            <v>8</v>
          </cell>
          <cell r="L883" t="str">
            <v>T</v>
          </cell>
          <cell r="M883" t="str">
            <v>8</v>
          </cell>
          <cell r="N883" t="b">
            <v>1</v>
          </cell>
          <cell r="S883" t="str">
            <v>Food and beverage Services Activities (including restaurant/café/ mobile food service activities)</v>
          </cell>
        </row>
        <row r="884">
          <cell r="C884" t="str">
            <v>56399</v>
          </cell>
          <cell r="D884" t="str">
            <v>Other beverage serving activities</v>
          </cell>
          <cell r="E884" t="str">
            <v>T</v>
          </cell>
          <cell r="F884" t="str">
            <v>N</v>
          </cell>
          <cell r="H884" t="str">
            <v>WH</v>
          </cell>
          <cell r="I884" t="str">
            <v>N</v>
          </cell>
          <cell r="J884" t="str">
            <v>56399</v>
          </cell>
          <cell r="K884" t="str">
            <v>8</v>
          </cell>
          <cell r="L884" t="str">
            <v>T</v>
          </cell>
          <cell r="M884" t="str">
            <v>8</v>
          </cell>
          <cell r="N884" t="b">
            <v>1</v>
          </cell>
          <cell r="S884" t="str">
            <v>Food and beverage Services Activities (including restaurant/café/ mobile food service activities)</v>
          </cell>
        </row>
        <row r="885">
          <cell r="C885" t="str">
            <v>2732</v>
          </cell>
          <cell r="D885" t="str">
            <v>Book Printing</v>
          </cell>
          <cell r="E885" t="str">
            <v>T</v>
          </cell>
          <cell r="F885" t="str">
            <v>Y</v>
          </cell>
          <cell r="H885" t="str">
            <v>MA</v>
          </cell>
          <cell r="I885" t="str">
            <v>N</v>
          </cell>
          <cell r="J885" t="str">
            <v>58110</v>
          </cell>
          <cell r="K885" t="str">
            <v>10</v>
          </cell>
          <cell r="L885" t="str">
            <v>N</v>
          </cell>
          <cell r="M885" t="str">
            <v>0</v>
          </cell>
          <cell r="N885" t="b">
            <v>0</v>
          </cell>
          <cell r="R885" t="str">
            <v>Should it standardized the tagging? 
Propose to reclassify to "non-target"</v>
          </cell>
          <cell r="S885" t="str">
            <v>Printing &amp; reproduction  of recorded media/ Publishing Activities</v>
          </cell>
        </row>
        <row r="886">
          <cell r="C886" t="str">
            <v>2731</v>
          </cell>
          <cell r="D886" t="str">
            <v>Books: Publishing, or Publishing and Printing</v>
          </cell>
          <cell r="E886" t="str">
            <v>N</v>
          </cell>
          <cell r="F886" t="str">
            <v>Y</v>
          </cell>
          <cell r="H886" t="str">
            <v>MA</v>
          </cell>
          <cell r="I886" t="str">
            <v>N</v>
          </cell>
          <cell r="J886" t="str">
            <v>58110</v>
          </cell>
          <cell r="K886" t="str">
            <v>10</v>
          </cell>
          <cell r="L886" t="str">
            <v>N</v>
          </cell>
          <cell r="M886" t="str">
            <v>0</v>
          </cell>
          <cell r="N886" t="b">
            <v>1</v>
          </cell>
          <cell r="S886" t="str">
            <v>Printing &amp; reproduction  of recorded media/ Publishing Activities</v>
          </cell>
        </row>
        <row r="887">
          <cell r="C887" t="str">
            <v>5812X</v>
          </cell>
          <cell r="D887" t="str">
            <v>Publishing of directories and mailing lists</v>
          </cell>
          <cell r="E887" t="str">
            <v>T</v>
          </cell>
          <cell r="F887" t="str">
            <v>Y</v>
          </cell>
          <cell r="H887" t="str">
            <v>MA</v>
          </cell>
          <cell r="I887" t="str">
            <v>N</v>
          </cell>
          <cell r="J887" t="str">
            <v>5812X</v>
          </cell>
          <cell r="K887" t="str">
            <v>10</v>
          </cell>
          <cell r="L887" t="str">
            <v>N</v>
          </cell>
          <cell r="M887" t="str">
            <v>0</v>
          </cell>
          <cell r="N887" t="b">
            <v>0</v>
          </cell>
          <cell r="R887" t="str">
            <v>Should it standardized the tagging? 
Propose to reclassify to "non-target"</v>
          </cell>
          <cell r="S887" t="str">
            <v>Printing &amp; reproduction  of recorded media/ Publishing Activities</v>
          </cell>
        </row>
        <row r="888">
          <cell r="C888" t="str">
            <v>2721</v>
          </cell>
          <cell r="D888" t="str">
            <v>Periodicals: Publishing, or Publishing and Printing</v>
          </cell>
          <cell r="E888" t="str">
            <v>N</v>
          </cell>
          <cell r="F888" t="str">
            <v>Y</v>
          </cell>
          <cell r="H888" t="str">
            <v>MA</v>
          </cell>
          <cell r="I888" t="str">
            <v>N</v>
          </cell>
          <cell r="J888" t="str">
            <v>5813X</v>
          </cell>
          <cell r="K888" t="str">
            <v>10</v>
          </cell>
          <cell r="L888" t="str">
            <v>N</v>
          </cell>
          <cell r="M888" t="str">
            <v>0</v>
          </cell>
          <cell r="N888" t="b">
            <v>1</v>
          </cell>
          <cell r="S888" t="str">
            <v>Printing &amp; reproduction  of recorded media/ Publishing Activities</v>
          </cell>
        </row>
        <row r="889">
          <cell r="C889" t="str">
            <v>2711</v>
          </cell>
          <cell r="D889" t="str">
            <v>Newspapers: Publishing, or Publishing and Printing</v>
          </cell>
          <cell r="E889" t="str">
            <v>N</v>
          </cell>
          <cell r="F889" t="str">
            <v>Y</v>
          </cell>
          <cell r="H889" t="str">
            <v>MA</v>
          </cell>
          <cell r="I889" t="str">
            <v>N</v>
          </cell>
          <cell r="J889" t="str">
            <v>5813X</v>
          </cell>
          <cell r="K889" t="str">
            <v>10</v>
          </cell>
          <cell r="L889" t="str">
            <v>N</v>
          </cell>
          <cell r="M889" t="str">
            <v>0</v>
          </cell>
          <cell r="N889" t="b">
            <v>1</v>
          </cell>
          <cell r="S889" t="str">
            <v>Printing &amp; reproduction  of recorded media/ Publishing Activities</v>
          </cell>
        </row>
        <row r="890">
          <cell r="C890" t="str">
            <v>2771</v>
          </cell>
          <cell r="D890" t="str">
            <v>Greeting Cards</v>
          </cell>
          <cell r="E890" t="str">
            <v>T</v>
          </cell>
          <cell r="F890" t="str">
            <v>Y</v>
          </cell>
          <cell r="H890" t="str">
            <v>MA</v>
          </cell>
          <cell r="I890" t="str">
            <v>N</v>
          </cell>
          <cell r="J890" t="str">
            <v>5819X</v>
          </cell>
          <cell r="K890" t="str">
            <v>10</v>
          </cell>
          <cell r="L890" t="str">
            <v>N</v>
          </cell>
          <cell r="M890" t="str">
            <v>0</v>
          </cell>
          <cell r="N890" t="b">
            <v>0</v>
          </cell>
          <cell r="R890" t="str">
            <v>Should it standardized the tagging?</v>
          </cell>
          <cell r="S890" t="str">
            <v>Printing &amp; reproduction  of recorded media/ Publishing Activities</v>
          </cell>
        </row>
        <row r="891">
          <cell r="C891" t="str">
            <v>2759</v>
          </cell>
          <cell r="D891" t="str">
            <v>Commercial Printing, N.E.C.</v>
          </cell>
          <cell r="E891" t="str">
            <v>N</v>
          </cell>
          <cell r="F891" t="str">
            <v>Y</v>
          </cell>
          <cell r="G891" t="str">
            <v>N</v>
          </cell>
          <cell r="H891" t="str">
            <v>MA</v>
          </cell>
          <cell r="I891" t="str">
            <v>N</v>
          </cell>
          <cell r="J891" t="str">
            <v>5819X</v>
          </cell>
          <cell r="K891" t="str">
            <v>10</v>
          </cell>
          <cell r="L891" t="str">
            <v>N</v>
          </cell>
          <cell r="M891" t="str">
            <v>0</v>
          </cell>
          <cell r="N891" t="b">
            <v>1</v>
          </cell>
          <cell r="S891" t="str">
            <v>Printing &amp; reproduction  of recorded media/ Publishing Activities</v>
          </cell>
        </row>
        <row r="892">
          <cell r="C892" t="str">
            <v>2761</v>
          </cell>
          <cell r="D892" t="str">
            <v>Manifold Business Forms</v>
          </cell>
          <cell r="E892" t="str">
            <v>T</v>
          </cell>
          <cell r="F892" t="str">
            <v>Y</v>
          </cell>
          <cell r="H892" t="str">
            <v>MA</v>
          </cell>
          <cell r="I892" t="str">
            <v>N</v>
          </cell>
          <cell r="J892" t="str">
            <v>5819X</v>
          </cell>
          <cell r="K892" t="str">
            <v>10</v>
          </cell>
          <cell r="L892" t="str">
            <v>N</v>
          </cell>
          <cell r="M892" t="str">
            <v>0</v>
          </cell>
          <cell r="N892" t="b">
            <v>0</v>
          </cell>
          <cell r="R892" t="str">
            <v>Should it standardized the tagging?</v>
          </cell>
          <cell r="S892" t="str">
            <v>Printing &amp; reproduction  of recorded media/ Publishing Activities</v>
          </cell>
        </row>
        <row r="893">
          <cell r="C893" t="str">
            <v>2741</v>
          </cell>
          <cell r="D893" t="str">
            <v>Miscellaneous Publishing</v>
          </cell>
          <cell r="E893" t="str">
            <v>T</v>
          </cell>
          <cell r="F893" t="str">
            <v>Y</v>
          </cell>
          <cell r="H893" t="str">
            <v>MA</v>
          </cell>
          <cell r="I893" t="str">
            <v>N</v>
          </cell>
          <cell r="J893" t="str">
            <v>5819X</v>
          </cell>
          <cell r="K893" t="str">
            <v>10</v>
          </cell>
          <cell r="L893" t="str">
            <v>N</v>
          </cell>
          <cell r="M893" t="str">
            <v>0</v>
          </cell>
          <cell r="N893" t="b">
            <v>0</v>
          </cell>
          <cell r="R893" t="str">
            <v>Should it standardized the tagging?</v>
          </cell>
          <cell r="S893" t="str">
            <v>Printing &amp; reproduction  of recorded media/ Publishing Activities</v>
          </cell>
        </row>
        <row r="894">
          <cell r="C894" t="str">
            <v>2754</v>
          </cell>
          <cell r="D894" t="str">
            <v>Commercial Printing, Gravure</v>
          </cell>
          <cell r="E894" t="str">
            <v>T</v>
          </cell>
          <cell r="F894" t="str">
            <v>Y</v>
          </cell>
          <cell r="H894" t="str">
            <v>MA</v>
          </cell>
          <cell r="I894" t="str">
            <v>N</v>
          </cell>
          <cell r="J894" t="str">
            <v>5819X</v>
          </cell>
          <cell r="K894" t="str">
            <v>10</v>
          </cell>
          <cell r="L894" t="str">
            <v>N</v>
          </cell>
          <cell r="M894" t="str">
            <v>0</v>
          </cell>
          <cell r="N894" t="b">
            <v>0</v>
          </cell>
          <cell r="R894" t="str">
            <v>Should it standardized the tagging?</v>
          </cell>
          <cell r="S894" t="str">
            <v>Printing &amp; reproduction  of recorded media/ Publishing Activities</v>
          </cell>
        </row>
        <row r="895">
          <cell r="C895" t="str">
            <v>2789</v>
          </cell>
          <cell r="D895" t="str">
            <v>Bookbinding and Related Work</v>
          </cell>
          <cell r="E895" t="str">
            <v>T</v>
          </cell>
          <cell r="F895" t="str">
            <v>Y</v>
          </cell>
          <cell r="H895" t="str">
            <v>MA</v>
          </cell>
          <cell r="I895" t="str">
            <v>N</v>
          </cell>
          <cell r="J895" t="str">
            <v>5819X</v>
          </cell>
          <cell r="K895" t="str">
            <v>10</v>
          </cell>
          <cell r="L895" t="str">
            <v>N</v>
          </cell>
          <cell r="M895" t="str">
            <v>0</v>
          </cell>
          <cell r="N895" t="b">
            <v>0</v>
          </cell>
          <cell r="R895" t="str">
            <v>Should it standardized the tagging?</v>
          </cell>
          <cell r="S895" t="str">
            <v>Printing &amp; reproduction  of recorded media/ Publishing Activities</v>
          </cell>
        </row>
        <row r="896">
          <cell r="C896" t="str">
            <v>2752</v>
          </cell>
          <cell r="D896" t="str">
            <v>Commercial Printing, Lithographic</v>
          </cell>
          <cell r="E896" t="str">
            <v>T</v>
          </cell>
          <cell r="F896" t="str">
            <v>Y</v>
          </cell>
          <cell r="H896" t="str">
            <v>MA</v>
          </cell>
          <cell r="I896" t="str">
            <v>N</v>
          </cell>
          <cell r="J896" t="str">
            <v>5819X</v>
          </cell>
          <cell r="K896" t="str">
            <v>10</v>
          </cell>
          <cell r="L896" t="str">
            <v>N</v>
          </cell>
          <cell r="M896" t="str">
            <v>0</v>
          </cell>
          <cell r="N896" t="b">
            <v>0</v>
          </cell>
          <cell r="R896" t="str">
            <v>Should it standardized the tagging?</v>
          </cell>
          <cell r="S896" t="str">
            <v>Printing &amp; reproduction  of recorded media/ Publishing Activities</v>
          </cell>
        </row>
        <row r="897">
          <cell r="C897" t="str">
            <v>2782</v>
          </cell>
          <cell r="D897" t="str">
            <v>Blankbooks, Looseleaf Binders and Devices</v>
          </cell>
          <cell r="E897" t="str">
            <v>T</v>
          </cell>
          <cell r="F897" t="str">
            <v>Y</v>
          </cell>
          <cell r="H897" t="str">
            <v>MA</v>
          </cell>
          <cell r="I897" t="str">
            <v>N</v>
          </cell>
          <cell r="J897" t="str">
            <v>5819X</v>
          </cell>
          <cell r="K897" t="str">
            <v>10</v>
          </cell>
          <cell r="L897" t="str">
            <v>N</v>
          </cell>
          <cell r="M897" t="str">
            <v>0</v>
          </cell>
          <cell r="N897" t="b">
            <v>0</v>
          </cell>
          <cell r="R897" t="str">
            <v>Should it standardized the tagging?</v>
          </cell>
          <cell r="S897" t="str">
            <v>Printing &amp; reproduction  of recorded media/ Publishing Activities</v>
          </cell>
        </row>
        <row r="898">
          <cell r="C898" t="str">
            <v>582XX</v>
          </cell>
          <cell r="D898" t="str">
            <v>Software publishing</v>
          </cell>
          <cell r="E898" t="str">
            <v>T</v>
          </cell>
          <cell r="F898" t="str">
            <v>Y</v>
          </cell>
          <cell r="H898" t="str">
            <v>MA</v>
          </cell>
          <cell r="I898" t="str">
            <v>N</v>
          </cell>
          <cell r="J898" t="str">
            <v>582XX</v>
          </cell>
          <cell r="K898" t="str">
            <v>10</v>
          </cell>
          <cell r="L898" t="str">
            <v>T</v>
          </cell>
          <cell r="M898" t="str">
            <v>8</v>
          </cell>
          <cell r="N898" t="b">
            <v>1</v>
          </cell>
          <cell r="S898" t="str">
            <v>Printing &amp; reproduction  of recorded media/ Publishing Activities</v>
          </cell>
        </row>
        <row r="899">
          <cell r="C899" t="str">
            <v>7812</v>
          </cell>
          <cell r="D899" t="str">
            <v>Motion Picture and Video Tape Production</v>
          </cell>
          <cell r="E899" t="str">
            <v>N</v>
          </cell>
          <cell r="F899" t="str">
            <v>N</v>
          </cell>
          <cell r="H899" t="str">
            <v>ED</v>
          </cell>
          <cell r="I899" t="str">
            <v>N</v>
          </cell>
          <cell r="J899" t="str">
            <v>59XXX</v>
          </cell>
          <cell r="K899" t="str">
            <v>12</v>
          </cell>
          <cell r="L899" t="str">
            <v>N</v>
          </cell>
          <cell r="M899" t="str">
            <v>0</v>
          </cell>
          <cell r="N899" t="b">
            <v>1</v>
          </cell>
          <cell r="S899" t="str">
            <v>Information &amp; Communication</v>
          </cell>
        </row>
        <row r="900">
          <cell r="C900" t="str">
            <v>7819</v>
          </cell>
          <cell r="D900" t="str">
            <v>Services Allied to Motion Picture Production</v>
          </cell>
          <cell r="E900" t="str">
            <v>N</v>
          </cell>
          <cell r="F900" t="str">
            <v>N</v>
          </cell>
          <cell r="H900" t="str">
            <v>ED</v>
          </cell>
          <cell r="I900" t="str">
            <v>N</v>
          </cell>
          <cell r="J900" t="str">
            <v>59XXX</v>
          </cell>
          <cell r="K900" t="str">
            <v>12</v>
          </cell>
          <cell r="L900" t="str">
            <v>N</v>
          </cell>
          <cell r="M900" t="str">
            <v>0</v>
          </cell>
          <cell r="N900" t="b">
            <v>1</v>
          </cell>
          <cell r="S900" t="str">
            <v>Information &amp; Communication</v>
          </cell>
        </row>
        <row r="901">
          <cell r="C901" t="str">
            <v>7822</v>
          </cell>
          <cell r="D901" t="str">
            <v>Motion Picture and Video Tape Distribution</v>
          </cell>
          <cell r="E901" t="str">
            <v>N</v>
          </cell>
          <cell r="F901" t="str">
            <v>N</v>
          </cell>
          <cell r="H901" t="str">
            <v>ED</v>
          </cell>
          <cell r="I901" t="str">
            <v>N</v>
          </cell>
          <cell r="J901" t="str">
            <v>59XXX</v>
          </cell>
          <cell r="K901" t="str">
            <v>12</v>
          </cell>
          <cell r="L901" t="str">
            <v>N</v>
          </cell>
          <cell r="M901" t="str">
            <v>0</v>
          </cell>
          <cell r="N901" t="b">
            <v>1</v>
          </cell>
          <cell r="S901" t="str">
            <v>Information &amp; Communication</v>
          </cell>
        </row>
        <row r="902">
          <cell r="C902" t="str">
            <v>7829</v>
          </cell>
          <cell r="D902" t="str">
            <v>Services Allied to Motion Picture Distribution</v>
          </cell>
          <cell r="E902" t="str">
            <v>N</v>
          </cell>
          <cell r="F902" t="str">
            <v>N</v>
          </cell>
          <cell r="H902" t="str">
            <v>ED</v>
          </cell>
          <cell r="I902" t="str">
            <v>N</v>
          </cell>
          <cell r="J902" t="str">
            <v>59XXX</v>
          </cell>
          <cell r="K902" t="str">
            <v>12</v>
          </cell>
          <cell r="L902" t="str">
            <v>N</v>
          </cell>
          <cell r="M902" t="str">
            <v>0</v>
          </cell>
          <cell r="N902" t="b">
            <v>1</v>
          </cell>
          <cell r="S902" t="str">
            <v>Information &amp; Communication</v>
          </cell>
        </row>
        <row r="903">
          <cell r="C903" t="str">
            <v>943130</v>
          </cell>
          <cell r="D903" t="str">
            <v>Radio, TV broadcasting</v>
          </cell>
          <cell r="E903" t="str">
            <v>N</v>
          </cell>
          <cell r="F903" t="str">
            <v>N</v>
          </cell>
          <cell r="H903" t="str">
            <v>ED</v>
          </cell>
          <cell r="I903" t="str">
            <v>N</v>
          </cell>
          <cell r="J903" t="str">
            <v>59XXX</v>
          </cell>
          <cell r="K903" t="str">
            <v>12</v>
          </cell>
          <cell r="L903" t="str">
            <v>N</v>
          </cell>
          <cell r="M903" t="str">
            <v>0</v>
          </cell>
          <cell r="N903" t="b">
            <v>1</v>
          </cell>
          <cell r="S903" t="str">
            <v>Information &amp; Communication</v>
          </cell>
        </row>
        <row r="904">
          <cell r="C904" t="str">
            <v>943150</v>
          </cell>
          <cell r="D904" t="str">
            <v>Authors &amp; music composers</v>
          </cell>
          <cell r="E904" t="str">
            <v>N</v>
          </cell>
          <cell r="F904" t="str">
            <v>N</v>
          </cell>
          <cell r="H904" t="str">
            <v>ED</v>
          </cell>
          <cell r="I904" t="str">
            <v>N</v>
          </cell>
          <cell r="J904" t="str">
            <v>59XXX</v>
          </cell>
          <cell r="K904" t="str">
            <v>12</v>
          </cell>
          <cell r="L904" t="str">
            <v>N</v>
          </cell>
          <cell r="M904" t="str">
            <v>0</v>
          </cell>
          <cell r="N904" t="b">
            <v>1</v>
          </cell>
          <cell r="S904" t="str">
            <v>Information &amp; Communication</v>
          </cell>
        </row>
        <row r="905">
          <cell r="C905" t="str">
            <v>60XXX</v>
          </cell>
          <cell r="D905" t="str">
            <v>Programming and broadcasting activities</v>
          </cell>
          <cell r="E905" t="str">
            <v>N</v>
          </cell>
          <cell r="F905" t="str">
            <v>N</v>
          </cell>
          <cell r="H905" t="str">
            <v>ED</v>
          </cell>
          <cell r="I905" t="str">
            <v>N</v>
          </cell>
          <cell r="J905" t="str">
            <v>60XXX</v>
          </cell>
          <cell r="K905" t="str">
            <v>12</v>
          </cell>
          <cell r="L905" t="str">
            <v>N</v>
          </cell>
          <cell r="M905" t="str">
            <v>0</v>
          </cell>
          <cell r="N905" t="b">
            <v>1</v>
          </cell>
          <cell r="S905" t="str">
            <v>Information &amp; Communication</v>
          </cell>
        </row>
        <row r="906">
          <cell r="C906" t="str">
            <v>4813</v>
          </cell>
          <cell r="D906" t="str">
            <v>Telephone Communications, Except Radiotelephone</v>
          </cell>
          <cell r="E906" t="str">
            <v>T</v>
          </cell>
          <cell r="F906" t="str">
            <v>Y</v>
          </cell>
          <cell r="H906" t="str">
            <v>TR</v>
          </cell>
          <cell r="I906" t="str">
            <v>N</v>
          </cell>
          <cell r="J906" t="str">
            <v>6110X</v>
          </cell>
          <cell r="K906" t="str">
            <v>12</v>
          </cell>
          <cell r="L906" t="str">
            <v>T</v>
          </cell>
          <cell r="M906" t="str">
            <v>12</v>
          </cell>
          <cell r="N906" t="b">
            <v>1</v>
          </cell>
          <cell r="O906" t="str">
            <v>Y</v>
          </cell>
          <cell r="S906" t="str">
            <v>Information &amp; Communication - Telecommunication</v>
          </cell>
        </row>
        <row r="907">
          <cell r="C907" t="str">
            <v>4822</v>
          </cell>
          <cell r="D907" t="str">
            <v>Telegraph and Other Message Communications</v>
          </cell>
          <cell r="E907" t="str">
            <v>N</v>
          </cell>
          <cell r="F907" t="str">
            <v>Y</v>
          </cell>
          <cell r="H907" t="str">
            <v>TR</v>
          </cell>
          <cell r="I907" t="str">
            <v>N</v>
          </cell>
          <cell r="J907" t="str">
            <v>6110X</v>
          </cell>
          <cell r="K907" t="str">
            <v>0</v>
          </cell>
          <cell r="L907" t="str">
            <v>N</v>
          </cell>
          <cell r="M907" t="str">
            <v>0</v>
          </cell>
          <cell r="N907" t="b">
            <v>1</v>
          </cell>
          <cell r="S907" t="str">
            <v>Information &amp; Communication - Telecommunication</v>
          </cell>
        </row>
        <row r="908">
          <cell r="C908" t="str">
            <v>4832</v>
          </cell>
          <cell r="D908" t="str">
            <v>Radio Broadcasting Stations</v>
          </cell>
          <cell r="E908" t="str">
            <v>N</v>
          </cell>
          <cell r="F908" t="str">
            <v>Y</v>
          </cell>
          <cell r="H908" t="str">
            <v>TR</v>
          </cell>
          <cell r="I908" t="str">
            <v>N</v>
          </cell>
          <cell r="J908" t="str">
            <v>6110X</v>
          </cell>
          <cell r="K908" t="str">
            <v>0</v>
          </cell>
          <cell r="L908" t="str">
            <v>N</v>
          </cell>
          <cell r="M908" t="str">
            <v>0</v>
          </cell>
          <cell r="N908" t="b">
            <v>1</v>
          </cell>
          <cell r="S908" t="str">
            <v>Information &amp; Communication - Telecommunication</v>
          </cell>
        </row>
        <row r="909">
          <cell r="C909" t="str">
            <v>4833</v>
          </cell>
          <cell r="D909" t="str">
            <v>Television Broadcasting Stations</v>
          </cell>
          <cell r="E909" t="str">
            <v>N</v>
          </cell>
          <cell r="F909" t="str">
            <v>Y</v>
          </cell>
          <cell r="H909" t="str">
            <v>TR</v>
          </cell>
          <cell r="I909" t="str">
            <v>N</v>
          </cell>
          <cell r="J909" t="str">
            <v>6110X</v>
          </cell>
          <cell r="K909" t="str">
            <v>0</v>
          </cell>
          <cell r="L909" t="str">
            <v>N</v>
          </cell>
          <cell r="M909" t="str">
            <v>0</v>
          </cell>
          <cell r="N909" t="b">
            <v>1</v>
          </cell>
          <cell r="S909" t="str">
            <v>Information &amp; Communication - Telecommunication</v>
          </cell>
        </row>
        <row r="910">
          <cell r="C910" t="str">
            <v>4841</v>
          </cell>
          <cell r="D910" t="str">
            <v>Cable and Other Pay Television Services</v>
          </cell>
          <cell r="E910" t="str">
            <v>N</v>
          </cell>
          <cell r="F910" t="str">
            <v>Y</v>
          </cell>
          <cell r="H910" t="str">
            <v>TR</v>
          </cell>
          <cell r="I910" t="str">
            <v>N</v>
          </cell>
          <cell r="J910" t="str">
            <v>6110X</v>
          </cell>
          <cell r="K910" t="str">
            <v>0</v>
          </cell>
          <cell r="L910" t="str">
            <v>N</v>
          </cell>
          <cell r="M910" t="str">
            <v>0</v>
          </cell>
          <cell r="N910" t="b">
            <v>1</v>
          </cell>
          <cell r="S910" t="str">
            <v>Information &amp; Communication - Telecommunication</v>
          </cell>
        </row>
        <row r="911">
          <cell r="C911" t="str">
            <v>4899</v>
          </cell>
          <cell r="D911" t="str">
            <v>Communications Services, N.E.C.</v>
          </cell>
          <cell r="E911" t="str">
            <v>N</v>
          </cell>
          <cell r="F911" t="str">
            <v>Y</v>
          </cell>
          <cell r="H911" t="str">
            <v>TR</v>
          </cell>
          <cell r="I911" t="str">
            <v>N</v>
          </cell>
          <cell r="J911" t="str">
            <v>6110X</v>
          </cell>
          <cell r="K911" t="str">
            <v>0</v>
          </cell>
          <cell r="L911" t="str">
            <v>N</v>
          </cell>
          <cell r="M911" t="str">
            <v>0</v>
          </cell>
          <cell r="N911" t="b">
            <v>1</v>
          </cell>
          <cell r="S911" t="str">
            <v>Information &amp; Communication - Telecommunication</v>
          </cell>
        </row>
        <row r="912">
          <cell r="C912" t="str">
            <v>4812</v>
          </cell>
          <cell r="D912" t="str">
            <v>Radiotelephone Communications</v>
          </cell>
          <cell r="E912" t="str">
            <v>N</v>
          </cell>
          <cell r="F912" t="str">
            <v>Y</v>
          </cell>
          <cell r="H912" t="str">
            <v>TR</v>
          </cell>
          <cell r="I912" t="str">
            <v>N</v>
          </cell>
          <cell r="J912" t="str">
            <v>6110X</v>
          </cell>
          <cell r="K912" t="str">
            <v>0</v>
          </cell>
          <cell r="L912" t="str">
            <v>N</v>
          </cell>
          <cell r="M912" t="str">
            <v>0</v>
          </cell>
          <cell r="N912" t="b">
            <v>1</v>
          </cell>
          <cell r="S912" t="str">
            <v>Information &amp; Communication - Telecommunication</v>
          </cell>
        </row>
        <row r="913">
          <cell r="C913" t="str">
            <v>6110X</v>
          </cell>
          <cell r="D913" t="str">
            <v>Others (Post and Telecommunications)</v>
          </cell>
          <cell r="E913" t="str">
            <v>N</v>
          </cell>
          <cell r="F913" t="str">
            <v>Y</v>
          </cell>
          <cell r="H913" t="str">
            <v>TR</v>
          </cell>
          <cell r="I913" t="str">
            <v>N</v>
          </cell>
          <cell r="J913" t="str">
            <v>6110X</v>
          </cell>
          <cell r="K913" t="str">
            <v>12</v>
          </cell>
          <cell r="L913" t="str">
            <v>N</v>
          </cell>
          <cell r="M913" t="str">
            <v>0</v>
          </cell>
          <cell r="N913" t="b">
            <v>1</v>
          </cell>
          <cell r="S913" t="str">
            <v>Information &amp; Communication - Telecommunication</v>
          </cell>
        </row>
        <row r="914">
          <cell r="C914" t="str">
            <v>6120X</v>
          </cell>
          <cell r="D914" t="str">
            <v>Wireless telecommunications activities</v>
          </cell>
          <cell r="E914" t="str">
            <v>N</v>
          </cell>
          <cell r="F914" t="str">
            <v>Y</v>
          </cell>
          <cell r="H914" t="str">
            <v>TR</v>
          </cell>
          <cell r="I914" t="str">
            <v>N</v>
          </cell>
          <cell r="J914" t="str">
            <v>6120X</v>
          </cell>
          <cell r="K914" t="str">
            <v>12</v>
          </cell>
          <cell r="L914" t="str">
            <v>N</v>
          </cell>
          <cell r="M914" t="str">
            <v>0</v>
          </cell>
          <cell r="N914" t="b">
            <v>1</v>
          </cell>
          <cell r="S914" t="str">
            <v>Information &amp; Communication - Telecommunication</v>
          </cell>
        </row>
        <row r="915">
          <cell r="C915" t="str">
            <v>6130X</v>
          </cell>
          <cell r="D915" t="str">
            <v>Satellite telecommunications activities</v>
          </cell>
          <cell r="E915" t="str">
            <v>N</v>
          </cell>
          <cell r="F915" t="str">
            <v>Y</v>
          </cell>
          <cell r="H915" t="str">
            <v>TR</v>
          </cell>
          <cell r="I915" t="str">
            <v>N</v>
          </cell>
          <cell r="J915" t="str">
            <v>6130X</v>
          </cell>
          <cell r="K915" t="str">
            <v>12</v>
          </cell>
          <cell r="L915" t="str">
            <v>N</v>
          </cell>
          <cell r="M915" t="str">
            <v>0</v>
          </cell>
          <cell r="N915" t="b">
            <v>1</v>
          </cell>
          <cell r="S915" t="str">
            <v>Information &amp; Communication - Telecommunication</v>
          </cell>
        </row>
        <row r="916">
          <cell r="C916" t="str">
            <v>6190X</v>
          </cell>
          <cell r="D916" t="str">
            <v>Other telecommunications activities</v>
          </cell>
          <cell r="E916" t="str">
            <v>N</v>
          </cell>
          <cell r="F916" t="str">
            <v>Y</v>
          </cell>
          <cell r="H916" t="str">
            <v>TR</v>
          </cell>
          <cell r="I916" t="str">
            <v>N</v>
          </cell>
          <cell r="J916" t="str">
            <v>6190X</v>
          </cell>
          <cell r="K916" t="str">
            <v>12</v>
          </cell>
          <cell r="L916" t="str">
            <v>N</v>
          </cell>
          <cell r="M916" t="str">
            <v>0</v>
          </cell>
          <cell r="N916" t="b">
            <v>1</v>
          </cell>
          <cell r="S916" t="str">
            <v>Information &amp; Communication - Telecommunication</v>
          </cell>
        </row>
        <row r="917">
          <cell r="C917" t="str">
            <v>7374</v>
          </cell>
          <cell r="D917" t="str">
            <v>Computer Processing and Data Preparation and Processing Services</v>
          </cell>
          <cell r="E917" t="str">
            <v>T</v>
          </cell>
          <cell r="F917" t="str">
            <v>Y</v>
          </cell>
          <cell r="H917" t="str">
            <v>FI</v>
          </cell>
          <cell r="I917" t="str">
            <v>N</v>
          </cell>
          <cell r="J917" t="str">
            <v>620XX</v>
          </cell>
          <cell r="K917" t="str">
            <v>12</v>
          </cell>
          <cell r="L917" t="str">
            <v>N</v>
          </cell>
          <cell r="M917" t="str">
            <v>0</v>
          </cell>
          <cell r="N917" t="b">
            <v>0</v>
          </cell>
          <cell r="R917" t="str">
            <v>Possible to standardize the tagging between UBL &amp; non-UBL on the sector tagging?</v>
          </cell>
          <cell r="S917" t="str">
            <v>Information &amp; Communication</v>
          </cell>
        </row>
        <row r="918">
          <cell r="C918" t="str">
            <v>7372</v>
          </cell>
          <cell r="D918" t="str">
            <v>Prepackaged Software</v>
          </cell>
          <cell r="E918" t="str">
            <v>T</v>
          </cell>
          <cell r="F918" t="str">
            <v>Y</v>
          </cell>
          <cell r="H918" t="str">
            <v>FI</v>
          </cell>
          <cell r="I918" t="str">
            <v>N</v>
          </cell>
          <cell r="J918" t="str">
            <v>620XX</v>
          </cell>
          <cell r="K918" t="str">
            <v>12</v>
          </cell>
          <cell r="L918" t="str">
            <v>N</v>
          </cell>
          <cell r="M918" t="str">
            <v>0</v>
          </cell>
          <cell r="N918" t="b">
            <v>0</v>
          </cell>
          <cell r="R918" t="str">
            <v>Possible to standardize the tagging between UBL &amp; non-UBL on the sector tagging?</v>
          </cell>
          <cell r="S918" t="str">
            <v>Information &amp; Communication</v>
          </cell>
        </row>
        <row r="919">
          <cell r="C919" t="str">
            <v>7371</v>
          </cell>
          <cell r="D919" t="str">
            <v>Computer Programming Services</v>
          </cell>
          <cell r="E919" t="str">
            <v>T</v>
          </cell>
          <cell r="F919" t="str">
            <v>Y</v>
          </cell>
          <cell r="H919" t="str">
            <v>FI</v>
          </cell>
          <cell r="I919" t="str">
            <v>N</v>
          </cell>
          <cell r="J919" t="str">
            <v>620XX</v>
          </cell>
          <cell r="K919" t="str">
            <v>12</v>
          </cell>
          <cell r="L919" t="str">
            <v>N</v>
          </cell>
          <cell r="M919" t="str">
            <v>0</v>
          </cell>
          <cell r="N919" t="b">
            <v>0</v>
          </cell>
          <cell r="R919" t="str">
            <v>Possible to standardize the tagging between UBL &amp; non-UBL on the sector tagging?</v>
          </cell>
          <cell r="S919" t="str">
            <v>Information &amp; Communication</v>
          </cell>
        </row>
        <row r="920">
          <cell r="C920" t="str">
            <v>7373</v>
          </cell>
          <cell r="D920" t="str">
            <v>Computer Integrated Systems Design</v>
          </cell>
          <cell r="E920" t="str">
            <v>T</v>
          </cell>
          <cell r="F920" t="str">
            <v>Y</v>
          </cell>
          <cell r="H920" t="str">
            <v>FI</v>
          </cell>
          <cell r="I920" t="str">
            <v>N</v>
          </cell>
          <cell r="J920" t="str">
            <v>620XX</v>
          </cell>
          <cell r="K920" t="str">
            <v>12</v>
          </cell>
          <cell r="L920" t="str">
            <v>N</v>
          </cell>
          <cell r="M920" t="str">
            <v>0</v>
          </cell>
          <cell r="N920" t="b">
            <v>0</v>
          </cell>
          <cell r="R920" t="str">
            <v>Possible to standardize the tagging between UBL &amp; non-UBL on the sector tagging?</v>
          </cell>
          <cell r="S920" t="str">
            <v>Information &amp; Communication</v>
          </cell>
        </row>
        <row r="921">
          <cell r="C921" t="str">
            <v>7375</v>
          </cell>
          <cell r="D921" t="str">
            <v>Information Retrieval Services</v>
          </cell>
          <cell r="E921" t="str">
            <v>T</v>
          </cell>
          <cell r="F921" t="str">
            <v>Y</v>
          </cell>
          <cell r="H921" t="str">
            <v>FI</v>
          </cell>
          <cell r="I921" t="str">
            <v>N</v>
          </cell>
          <cell r="J921" t="str">
            <v>620XX</v>
          </cell>
          <cell r="K921" t="str">
            <v>12</v>
          </cell>
          <cell r="L921" t="str">
            <v>T</v>
          </cell>
          <cell r="M921" t="str">
            <v>12</v>
          </cell>
          <cell r="N921" t="b">
            <v>1</v>
          </cell>
          <cell r="S921" t="str">
            <v>Information &amp; Communication</v>
          </cell>
        </row>
        <row r="922">
          <cell r="C922" t="str">
            <v>7376</v>
          </cell>
          <cell r="D922" t="str">
            <v>Computer Facilities Management Services</v>
          </cell>
          <cell r="E922" t="str">
            <v>T</v>
          </cell>
          <cell r="F922" t="str">
            <v>Y</v>
          </cell>
          <cell r="H922" t="str">
            <v>FI</v>
          </cell>
          <cell r="I922" t="str">
            <v>N</v>
          </cell>
          <cell r="J922" t="str">
            <v>620XX</v>
          </cell>
          <cell r="K922" t="str">
            <v>12</v>
          </cell>
          <cell r="L922" t="str">
            <v>N</v>
          </cell>
          <cell r="M922" t="str">
            <v>0</v>
          </cell>
          <cell r="N922" t="b">
            <v>0</v>
          </cell>
          <cell r="R922" t="str">
            <v>Possible to standardize the tagging between UBL &amp; non-UBL on the sector tagging?</v>
          </cell>
          <cell r="S922" t="str">
            <v>Information &amp; Communication</v>
          </cell>
        </row>
        <row r="923">
          <cell r="C923" t="str">
            <v>7378</v>
          </cell>
          <cell r="D923" t="str">
            <v>Computer Maintenance and Repair</v>
          </cell>
          <cell r="E923" t="str">
            <v>T</v>
          </cell>
          <cell r="F923" t="str">
            <v>Y</v>
          </cell>
          <cell r="H923" t="str">
            <v>FI</v>
          </cell>
          <cell r="I923" t="str">
            <v>N</v>
          </cell>
          <cell r="J923" t="str">
            <v>620XX</v>
          </cell>
          <cell r="K923" t="str">
            <v>12</v>
          </cell>
          <cell r="L923" t="str">
            <v>N</v>
          </cell>
          <cell r="M923" t="str">
            <v>0</v>
          </cell>
          <cell r="N923" t="b">
            <v>0</v>
          </cell>
          <cell r="R923" t="str">
            <v>Possible to standardize the tagging between UBL &amp; non-UBL on the sector tagging?</v>
          </cell>
          <cell r="S923" t="str">
            <v>Information &amp; Communication</v>
          </cell>
        </row>
        <row r="924">
          <cell r="C924" t="str">
            <v>7379</v>
          </cell>
          <cell r="D924" t="str">
            <v>Computer Related Services, N.E.C.</v>
          </cell>
          <cell r="E924" t="str">
            <v>T</v>
          </cell>
          <cell r="F924" t="str">
            <v>Y</v>
          </cell>
          <cell r="H924" t="str">
            <v>FI</v>
          </cell>
          <cell r="I924" t="str">
            <v>N</v>
          </cell>
          <cell r="J924" t="str">
            <v>620XX</v>
          </cell>
          <cell r="K924" t="str">
            <v>12</v>
          </cell>
          <cell r="L924" t="str">
            <v>N</v>
          </cell>
          <cell r="M924" t="str">
            <v>0</v>
          </cell>
          <cell r="N924" t="b">
            <v>0</v>
          </cell>
          <cell r="R924" t="str">
            <v>Possible to standardize the tagging between UBL &amp; non-UBL on the sector tagging?</v>
          </cell>
          <cell r="S924" t="str">
            <v>Information &amp; Communication</v>
          </cell>
        </row>
        <row r="925">
          <cell r="C925" t="str">
            <v>7377</v>
          </cell>
          <cell r="D925" t="str">
            <v>Computer Rental and Leasing</v>
          </cell>
          <cell r="E925" t="str">
            <v>T</v>
          </cell>
          <cell r="F925" t="str">
            <v>Y</v>
          </cell>
          <cell r="H925" t="str">
            <v>FI</v>
          </cell>
          <cell r="I925" t="str">
            <v>N</v>
          </cell>
          <cell r="J925" t="str">
            <v>620XX</v>
          </cell>
          <cell r="K925" t="str">
            <v>12</v>
          </cell>
          <cell r="L925" t="str">
            <v>N</v>
          </cell>
          <cell r="M925" t="str">
            <v>0</v>
          </cell>
          <cell r="N925" t="b">
            <v>0</v>
          </cell>
          <cell r="R925" t="str">
            <v>Possible to standardize the tagging between UBL &amp; non-UBL on the sector tagging?</v>
          </cell>
          <cell r="S925" t="str">
            <v>Information &amp; Communication</v>
          </cell>
        </row>
        <row r="926">
          <cell r="C926" t="str">
            <v>631XX</v>
          </cell>
          <cell r="D926" t="str">
            <v>Data processing, hosting and related activities; web portals</v>
          </cell>
          <cell r="E926" t="str">
            <v>T</v>
          </cell>
          <cell r="F926" t="str">
            <v>Y</v>
          </cell>
          <cell r="H926" t="str">
            <v>ED</v>
          </cell>
          <cell r="I926" t="str">
            <v>N</v>
          </cell>
          <cell r="J926" t="str">
            <v>631XX</v>
          </cell>
          <cell r="K926" t="str">
            <v>12</v>
          </cell>
          <cell r="L926" t="str">
            <v>N</v>
          </cell>
          <cell r="M926" t="str">
            <v>0</v>
          </cell>
          <cell r="N926" t="b">
            <v>0</v>
          </cell>
          <cell r="R926" t="str">
            <v>should it standardized the tagging between UBL and non-UBL</v>
          </cell>
          <cell r="S926" t="str">
            <v>Information &amp; Communication</v>
          </cell>
        </row>
        <row r="927">
          <cell r="C927" t="str">
            <v>943300</v>
          </cell>
          <cell r="D927" t="str">
            <v>Printed news supply services (MRS)</v>
          </cell>
          <cell r="E927" t="str">
            <v>T</v>
          </cell>
          <cell r="F927" t="str">
            <v>Y</v>
          </cell>
          <cell r="H927" t="str">
            <v>ED</v>
          </cell>
          <cell r="I927" t="str">
            <v>N</v>
          </cell>
          <cell r="J927" t="str">
            <v>6391X</v>
          </cell>
          <cell r="K927" t="str">
            <v>12</v>
          </cell>
          <cell r="L927" t="str">
            <v>N</v>
          </cell>
          <cell r="M927" t="str">
            <v>0</v>
          </cell>
          <cell r="N927" t="b">
            <v>0</v>
          </cell>
          <cell r="R927" t="str">
            <v>should it standardized the tagging between UBL and non-UBL</v>
          </cell>
          <cell r="S927" t="str">
            <v>Information &amp; Communication</v>
          </cell>
        </row>
        <row r="928">
          <cell r="C928" t="str">
            <v>943400</v>
          </cell>
          <cell r="D928" t="str">
            <v>Picture supply services</v>
          </cell>
          <cell r="E928" t="str">
            <v>T</v>
          </cell>
          <cell r="F928" t="str">
            <v>Y</v>
          </cell>
          <cell r="H928" t="str">
            <v>ED</v>
          </cell>
          <cell r="I928" t="str">
            <v>N</v>
          </cell>
          <cell r="J928" t="str">
            <v>6391X</v>
          </cell>
          <cell r="K928" t="str">
            <v>12</v>
          </cell>
          <cell r="L928" t="str">
            <v>N</v>
          </cell>
          <cell r="M928" t="str">
            <v>0</v>
          </cell>
          <cell r="N928" t="b">
            <v>0</v>
          </cell>
          <cell r="R928" t="str">
            <v>should it standardized the tagging between UBL and non-UBL</v>
          </cell>
          <cell r="S928" t="str">
            <v>Information &amp; Communication</v>
          </cell>
        </row>
        <row r="929">
          <cell r="C929" t="str">
            <v>943500</v>
          </cell>
          <cell r="D929" t="str">
            <v>Other news agencies (MRS)</v>
          </cell>
          <cell r="E929" t="str">
            <v>T</v>
          </cell>
          <cell r="F929" t="str">
            <v>Y</v>
          </cell>
          <cell r="H929" t="str">
            <v>ED</v>
          </cell>
          <cell r="I929" t="str">
            <v>N</v>
          </cell>
          <cell r="J929" t="str">
            <v>6391X</v>
          </cell>
          <cell r="K929" t="str">
            <v>12</v>
          </cell>
          <cell r="L929" t="str">
            <v>N</v>
          </cell>
          <cell r="M929" t="str">
            <v>0</v>
          </cell>
          <cell r="N929" t="b">
            <v>0</v>
          </cell>
          <cell r="R929" t="str">
            <v>should it standardized the tagging between UBL and non-UBL</v>
          </cell>
          <cell r="S929" t="str">
            <v>Information &amp; Communication</v>
          </cell>
        </row>
        <row r="930">
          <cell r="C930" t="str">
            <v>63990</v>
          </cell>
          <cell r="D930" t="str">
            <v>Other information service activities n.e.c.</v>
          </cell>
          <cell r="E930" t="str">
            <v>T</v>
          </cell>
          <cell r="F930" t="str">
            <v>Y</v>
          </cell>
          <cell r="H930" t="str">
            <v>FI</v>
          </cell>
          <cell r="I930" t="str">
            <v>N</v>
          </cell>
          <cell r="J930" t="str">
            <v>63990</v>
          </cell>
          <cell r="K930" t="str">
            <v>12</v>
          </cell>
          <cell r="L930" t="str">
            <v>N</v>
          </cell>
          <cell r="M930" t="str">
            <v>0</v>
          </cell>
          <cell r="N930" t="b">
            <v>0</v>
          </cell>
          <cell r="R930" t="str">
            <v>Possible to standardize the tagging between UBL &amp; non-UBL on the sector tagging?</v>
          </cell>
          <cell r="S930" t="str">
            <v>Information &amp; Communication</v>
          </cell>
        </row>
        <row r="931">
          <cell r="C931" t="str">
            <v>64110</v>
          </cell>
          <cell r="D931" t="str">
            <v>Central banking</v>
          </cell>
          <cell r="E931" t="str">
            <v>A</v>
          </cell>
          <cell r="F931" t="str">
            <v>Y</v>
          </cell>
          <cell r="G931" t="str">
            <v>N</v>
          </cell>
          <cell r="H931" t="str">
            <v>FI</v>
          </cell>
          <cell r="I931" t="str">
            <v>N</v>
          </cell>
          <cell r="J931" t="str">
            <v>64110</v>
          </cell>
          <cell r="K931" t="str">
            <v>0</v>
          </cell>
          <cell r="L931" t="str">
            <v>A</v>
          </cell>
          <cell r="M931" t="str">
            <v>0</v>
          </cell>
          <cell r="N931" t="b">
            <v>1</v>
          </cell>
          <cell r="S931" t="str">
            <v>Central banking</v>
          </cell>
        </row>
        <row r="932">
          <cell r="C932" t="str">
            <v>6021</v>
          </cell>
          <cell r="D932" t="str">
            <v>National Commercial Banks</v>
          </cell>
          <cell r="E932" t="str">
            <v>A</v>
          </cell>
          <cell r="F932" t="str">
            <v>Y</v>
          </cell>
          <cell r="G932" t="str">
            <v>N</v>
          </cell>
          <cell r="H932" t="str">
            <v>FI</v>
          </cell>
          <cell r="I932" t="str">
            <v>N</v>
          </cell>
          <cell r="J932" t="str">
            <v>64191</v>
          </cell>
          <cell r="K932" t="str">
            <v>0</v>
          </cell>
          <cell r="L932" t="str">
            <v>A</v>
          </cell>
          <cell r="M932" t="str">
            <v>0</v>
          </cell>
          <cell r="N932" t="b">
            <v>1</v>
          </cell>
          <cell r="S932" t="str">
            <v>Commercial Banks</v>
          </cell>
        </row>
        <row r="933">
          <cell r="C933" t="str">
            <v>6022</v>
          </cell>
          <cell r="D933" t="str">
            <v>State Commercial Banks</v>
          </cell>
          <cell r="E933" t="str">
            <v>A</v>
          </cell>
          <cell r="F933" t="str">
            <v>Y</v>
          </cell>
          <cell r="G933" t="str">
            <v>N</v>
          </cell>
          <cell r="H933" t="str">
            <v>FI</v>
          </cell>
          <cell r="I933" t="str">
            <v>N</v>
          </cell>
          <cell r="J933" t="str">
            <v>64191</v>
          </cell>
          <cell r="K933" t="str">
            <v>0</v>
          </cell>
          <cell r="L933" t="str">
            <v>A</v>
          </cell>
          <cell r="M933" t="str">
            <v>0</v>
          </cell>
          <cell r="N933" t="b">
            <v>1</v>
          </cell>
          <cell r="S933" t="str">
            <v>Commercial Banks</v>
          </cell>
        </row>
        <row r="934">
          <cell r="C934" t="str">
            <v>6029</v>
          </cell>
          <cell r="D934" t="str">
            <v>Commercial Banks, N.E.C.</v>
          </cell>
          <cell r="E934" t="str">
            <v>A</v>
          </cell>
          <cell r="F934" t="str">
            <v>Y</v>
          </cell>
          <cell r="G934" t="str">
            <v>N</v>
          </cell>
          <cell r="H934" t="str">
            <v>FI</v>
          </cell>
          <cell r="I934" t="str">
            <v>N</v>
          </cell>
          <cell r="J934" t="str">
            <v>64191</v>
          </cell>
          <cell r="K934" t="str">
            <v>0</v>
          </cell>
          <cell r="L934" t="str">
            <v>A</v>
          </cell>
          <cell r="M934" t="str">
            <v>0</v>
          </cell>
          <cell r="N934" t="b">
            <v>1</v>
          </cell>
          <cell r="S934" t="str">
            <v>Commercial Banks</v>
          </cell>
        </row>
        <row r="935">
          <cell r="C935" t="str">
            <v>811011</v>
          </cell>
          <cell r="D935" t="str">
            <v>Industrial Devt. Finance institution</v>
          </cell>
          <cell r="E935" t="str">
            <v>A</v>
          </cell>
          <cell r="F935" t="str">
            <v>Y</v>
          </cell>
          <cell r="G935" t="str">
            <v>N</v>
          </cell>
          <cell r="H935" t="str">
            <v>FI</v>
          </cell>
          <cell r="I935" t="str">
            <v>N</v>
          </cell>
          <cell r="J935" t="str">
            <v>64195</v>
          </cell>
          <cell r="K935" t="str">
            <v>0</v>
          </cell>
          <cell r="L935" t="str">
            <v>A</v>
          </cell>
          <cell r="M935" t="str">
            <v>0</v>
          </cell>
          <cell r="N935" t="b">
            <v>1</v>
          </cell>
          <cell r="S935" t="str">
            <v>Development financial institutions (with deposits taking functions)</v>
          </cell>
        </row>
        <row r="936">
          <cell r="C936" t="str">
            <v>64192</v>
          </cell>
          <cell r="D936" t="str">
            <v>Islamic Banks</v>
          </cell>
          <cell r="E936" t="str">
            <v>A</v>
          </cell>
          <cell r="F936" t="str">
            <v>Y</v>
          </cell>
          <cell r="G936" t="str">
            <v>N</v>
          </cell>
          <cell r="H936" t="str">
            <v>FI</v>
          </cell>
          <cell r="I936" t="str">
            <v>N</v>
          </cell>
          <cell r="J936" t="str">
            <v>64192</v>
          </cell>
          <cell r="K936" t="str">
            <v>0</v>
          </cell>
          <cell r="L936" t="str">
            <v>A</v>
          </cell>
          <cell r="M936" t="str">
            <v>0</v>
          </cell>
          <cell r="N936" t="b">
            <v>1</v>
          </cell>
          <cell r="S936" t="str">
            <v>Islamic Banks</v>
          </cell>
        </row>
        <row r="937">
          <cell r="C937" t="str">
            <v>64193</v>
          </cell>
          <cell r="D937" t="str">
            <v>Offshore Banks</v>
          </cell>
          <cell r="E937" t="str">
            <v>A</v>
          </cell>
          <cell r="F937" t="str">
            <v>Y</v>
          </cell>
          <cell r="G937" t="str">
            <v>N</v>
          </cell>
          <cell r="H937" t="str">
            <v>FI</v>
          </cell>
          <cell r="I937" t="str">
            <v>N</v>
          </cell>
          <cell r="J937" t="str">
            <v>64193</v>
          </cell>
          <cell r="K937" t="str">
            <v>0</v>
          </cell>
          <cell r="L937" t="str">
            <v>A</v>
          </cell>
          <cell r="M937" t="str">
            <v>0</v>
          </cell>
          <cell r="N937" t="b">
            <v>1</v>
          </cell>
          <cell r="S937" t="str">
            <v>Offshore Banks</v>
          </cell>
        </row>
        <row r="938">
          <cell r="C938" t="str">
            <v>6282</v>
          </cell>
          <cell r="D938" t="str">
            <v>Investment Advice</v>
          </cell>
          <cell r="E938" t="str">
            <v>A</v>
          </cell>
          <cell r="F938" t="str">
            <v>Y</v>
          </cell>
          <cell r="G938" t="str">
            <v>N</v>
          </cell>
          <cell r="H938" t="str">
            <v>FI</v>
          </cell>
          <cell r="I938" t="str">
            <v>N</v>
          </cell>
          <cell r="J938" t="str">
            <v>64194</v>
          </cell>
          <cell r="K938" t="str">
            <v>0</v>
          </cell>
          <cell r="L938" t="str">
            <v>A</v>
          </cell>
          <cell r="M938" t="str">
            <v>0</v>
          </cell>
          <cell r="N938" t="b">
            <v>1</v>
          </cell>
          <cell r="S938" t="str">
            <v>Investment Banks</v>
          </cell>
        </row>
        <row r="939">
          <cell r="C939" t="str">
            <v>64195</v>
          </cell>
          <cell r="D939" t="str">
            <v>Development financial institutions (with deposits taking functions)</v>
          </cell>
          <cell r="E939" t="str">
            <v>A</v>
          </cell>
          <cell r="F939" t="str">
            <v>Y</v>
          </cell>
          <cell r="G939" t="str">
            <v>N</v>
          </cell>
          <cell r="H939" t="str">
            <v>FI</v>
          </cell>
          <cell r="I939" t="str">
            <v>N</v>
          </cell>
          <cell r="J939" t="str">
            <v>64199</v>
          </cell>
          <cell r="K939" t="str">
            <v>0</v>
          </cell>
          <cell r="L939" t="str">
            <v>A</v>
          </cell>
          <cell r="M939" t="str">
            <v>0</v>
          </cell>
          <cell r="N939" t="b">
            <v>1</v>
          </cell>
          <cell r="S939" t="str">
            <v>Other monetary intermediation (with deposits taking functions) n.e.c.</v>
          </cell>
        </row>
        <row r="940">
          <cell r="C940" t="str">
            <v>6289</v>
          </cell>
          <cell r="D940" t="str">
            <v>Services Allied With the Exchange of Securities or Commodities, N.E.C.</v>
          </cell>
          <cell r="E940" t="str">
            <v>A</v>
          </cell>
          <cell r="F940" t="str">
            <v>Y</v>
          </cell>
          <cell r="G940" t="str">
            <v>N</v>
          </cell>
          <cell r="H940" t="str">
            <v>FI</v>
          </cell>
          <cell r="I940" t="str">
            <v>N</v>
          </cell>
          <cell r="J940" t="str">
            <v>64199</v>
          </cell>
          <cell r="K940" t="str">
            <v>0</v>
          </cell>
          <cell r="L940" t="str">
            <v>A</v>
          </cell>
          <cell r="M940" t="str">
            <v>0</v>
          </cell>
          <cell r="N940" t="b">
            <v>1</v>
          </cell>
          <cell r="S940" t="str">
            <v>Other monetary intermediation (with deposits taking functions) n.e.c.</v>
          </cell>
        </row>
        <row r="941">
          <cell r="C941" t="str">
            <v>6035</v>
          </cell>
          <cell r="D941" t="str">
            <v>Savings Institutions, Federally Chartered</v>
          </cell>
          <cell r="E941" t="str">
            <v>A</v>
          </cell>
          <cell r="F941" t="str">
            <v>Y</v>
          </cell>
          <cell r="G941" t="str">
            <v>N</v>
          </cell>
          <cell r="H941" t="str">
            <v>FI</v>
          </cell>
          <cell r="I941" t="str">
            <v>N</v>
          </cell>
          <cell r="J941" t="str">
            <v>64199</v>
          </cell>
          <cell r="K941" t="str">
            <v>0</v>
          </cell>
          <cell r="L941" t="str">
            <v>A</v>
          </cell>
          <cell r="M941" t="str">
            <v>0</v>
          </cell>
          <cell r="N941" t="b">
            <v>1</v>
          </cell>
          <cell r="S941" t="str">
            <v>Other monetary intermediation (with deposits taking functions) n.e.c.</v>
          </cell>
        </row>
        <row r="942">
          <cell r="C942" t="str">
            <v>6081</v>
          </cell>
          <cell r="D942" t="str">
            <v>Branches and Agencies of Foreign Banks</v>
          </cell>
          <cell r="E942" t="str">
            <v>A</v>
          </cell>
          <cell r="F942" t="str">
            <v>Y</v>
          </cell>
          <cell r="G942" t="str">
            <v>N</v>
          </cell>
          <cell r="H942" t="str">
            <v>FI</v>
          </cell>
          <cell r="I942" t="str">
            <v>N</v>
          </cell>
          <cell r="J942" t="str">
            <v>64199</v>
          </cell>
          <cell r="K942" t="str">
            <v>0</v>
          </cell>
          <cell r="L942" t="str">
            <v>A</v>
          </cell>
          <cell r="M942" t="str">
            <v>0</v>
          </cell>
          <cell r="N942" t="b">
            <v>1</v>
          </cell>
          <cell r="S942" t="str">
            <v>Other monetary intermediation (with deposits taking functions) n.e.c.</v>
          </cell>
        </row>
        <row r="943">
          <cell r="C943" t="str">
            <v>6036</v>
          </cell>
          <cell r="D943" t="str">
            <v>Savings Institutions, Not Federally Chartered</v>
          </cell>
          <cell r="E943" t="str">
            <v>A</v>
          </cell>
          <cell r="F943" t="str">
            <v>Y</v>
          </cell>
          <cell r="G943" t="str">
            <v>N</v>
          </cell>
          <cell r="H943" t="str">
            <v>FI</v>
          </cell>
          <cell r="I943" t="str">
            <v>N</v>
          </cell>
          <cell r="J943" t="str">
            <v>64199</v>
          </cell>
          <cell r="K943" t="str">
            <v>0</v>
          </cell>
          <cell r="L943" t="str">
            <v>A</v>
          </cell>
          <cell r="M943" t="str">
            <v>0</v>
          </cell>
          <cell r="N943" t="b">
            <v>1</v>
          </cell>
          <cell r="S943" t="str">
            <v>Other monetary intermediation (with deposits taking functions) n.e.c.</v>
          </cell>
        </row>
        <row r="944">
          <cell r="C944" t="str">
            <v>6061</v>
          </cell>
          <cell r="D944" t="str">
            <v>Credit Unions, Federally Chartered</v>
          </cell>
          <cell r="E944" t="str">
            <v>A</v>
          </cell>
          <cell r="F944" t="str">
            <v>Y</v>
          </cell>
          <cell r="G944" t="str">
            <v>N</v>
          </cell>
          <cell r="H944" t="str">
            <v>FI</v>
          </cell>
          <cell r="I944" t="str">
            <v>N</v>
          </cell>
          <cell r="J944" t="str">
            <v>64199</v>
          </cell>
          <cell r="K944" t="str">
            <v>0</v>
          </cell>
          <cell r="L944" t="str">
            <v>A</v>
          </cell>
          <cell r="M944" t="str">
            <v>0</v>
          </cell>
          <cell r="N944" t="b">
            <v>1</v>
          </cell>
          <cell r="S944" t="str">
            <v>Other monetary intermediation (with deposits taking functions) n.e.c.</v>
          </cell>
        </row>
        <row r="945">
          <cell r="C945" t="str">
            <v>6062</v>
          </cell>
          <cell r="D945" t="str">
            <v>Credit Unions, Not Federally Chartered</v>
          </cell>
          <cell r="E945" t="str">
            <v>A</v>
          </cell>
          <cell r="F945" t="str">
            <v>Y</v>
          </cell>
          <cell r="G945" t="str">
            <v>N</v>
          </cell>
          <cell r="H945" t="str">
            <v>FI</v>
          </cell>
          <cell r="I945" t="str">
            <v>N</v>
          </cell>
          <cell r="J945" t="str">
            <v>64199</v>
          </cell>
          <cell r="K945" t="str">
            <v>0</v>
          </cell>
          <cell r="L945" t="str">
            <v>A</v>
          </cell>
          <cell r="M945" t="str">
            <v>0</v>
          </cell>
          <cell r="N945" t="b">
            <v>1</v>
          </cell>
          <cell r="S945" t="str">
            <v>Other monetary intermediation (with deposits taking functions) n.e.c.</v>
          </cell>
        </row>
        <row r="946">
          <cell r="C946" t="str">
            <v>6082</v>
          </cell>
          <cell r="D946" t="str">
            <v>Foreign Trade and International Banks</v>
          </cell>
          <cell r="E946" t="str">
            <v>A</v>
          </cell>
          <cell r="F946" t="str">
            <v>Y</v>
          </cell>
          <cell r="G946" t="str">
            <v>N</v>
          </cell>
          <cell r="H946" t="str">
            <v>FI</v>
          </cell>
          <cell r="I946" t="str">
            <v>N</v>
          </cell>
          <cell r="J946" t="str">
            <v>64199</v>
          </cell>
          <cell r="K946" t="str">
            <v>0</v>
          </cell>
          <cell r="L946" t="str">
            <v>A</v>
          </cell>
          <cell r="M946" t="str">
            <v>0</v>
          </cell>
          <cell r="N946" t="b">
            <v>1</v>
          </cell>
          <cell r="S946" t="str">
            <v>Other monetary intermediation (with deposits taking functions) n.e.c.</v>
          </cell>
        </row>
        <row r="947">
          <cell r="C947" t="str">
            <v>6091</v>
          </cell>
          <cell r="D947" t="str">
            <v>Nondeposit Trust Facilities</v>
          </cell>
          <cell r="E947" t="str">
            <v>A</v>
          </cell>
          <cell r="F947" t="str">
            <v>Y</v>
          </cell>
          <cell r="G947" t="str">
            <v>N</v>
          </cell>
          <cell r="H947" t="str">
            <v>FI</v>
          </cell>
          <cell r="I947" t="str">
            <v>N</v>
          </cell>
          <cell r="J947" t="str">
            <v>64199</v>
          </cell>
          <cell r="K947" t="str">
            <v>0</v>
          </cell>
          <cell r="L947" t="str">
            <v>A</v>
          </cell>
          <cell r="M947" t="str">
            <v>0</v>
          </cell>
          <cell r="N947" t="b">
            <v>1</v>
          </cell>
          <cell r="S947" t="str">
            <v>Other monetary intermediation (with deposits taking functions) n.e.c.</v>
          </cell>
        </row>
        <row r="948">
          <cell r="C948" t="str">
            <v>6099</v>
          </cell>
          <cell r="D948" t="str">
            <v>Functions Related to Depositor Banking, N.E.C.</v>
          </cell>
          <cell r="E948" t="str">
            <v>A</v>
          </cell>
          <cell r="F948" t="str">
            <v>Y</v>
          </cell>
          <cell r="G948" t="str">
            <v>N</v>
          </cell>
          <cell r="H948" t="str">
            <v>FI</v>
          </cell>
          <cell r="I948" t="str">
            <v>N</v>
          </cell>
          <cell r="J948" t="str">
            <v>64199</v>
          </cell>
          <cell r="K948" t="str">
            <v>0</v>
          </cell>
          <cell r="L948" t="str">
            <v>A</v>
          </cell>
          <cell r="M948" t="str">
            <v>0</v>
          </cell>
          <cell r="N948" t="b">
            <v>1</v>
          </cell>
          <cell r="S948" t="str">
            <v>Other monetary intermediation (with deposits taking functions) n.e.c.</v>
          </cell>
        </row>
        <row r="949">
          <cell r="C949" t="str">
            <v>6162</v>
          </cell>
          <cell r="D949" t="str">
            <v>Mortgage Bankers and Loan Correspondents</v>
          </cell>
          <cell r="E949" t="str">
            <v>A</v>
          </cell>
          <cell r="F949" t="str">
            <v>Y</v>
          </cell>
          <cell r="G949" t="str">
            <v>N</v>
          </cell>
          <cell r="H949" t="str">
            <v>FI</v>
          </cell>
          <cell r="I949" t="str">
            <v>N</v>
          </cell>
          <cell r="J949" t="str">
            <v>64199</v>
          </cell>
          <cell r="K949" t="str">
            <v>0</v>
          </cell>
          <cell r="L949" t="str">
            <v>A</v>
          </cell>
          <cell r="M949" t="str">
            <v>0</v>
          </cell>
          <cell r="N949" t="b">
            <v>1</v>
          </cell>
          <cell r="S949" t="str">
            <v>Other monetary intermediation (with deposits taking functions) n.e.c.</v>
          </cell>
        </row>
        <row r="950">
          <cell r="C950" t="str">
            <v>6712</v>
          </cell>
          <cell r="D950" t="str">
            <v>Offices of Bank Holding Companies</v>
          </cell>
          <cell r="E950" t="str">
            <v>A</v>
          </cell>
          <cell r="F950" t="str">
            <v>Y</v>
          </cell>
          <cell r="G950" t="str">
            <v>Y</v>
          </cell>
          <cell r="H950" t="str">
            <v>FI</v>
          </cell>
          <cell r="I950" t="str">
            <v>N</v>
          </cell>
          <cell r="J950" t="str">
            <v>64199</v>
          </cell>
          <cell r="K950" t="str">
            <v>0</v>
          </cell>
          <cell r="L950" t="str">
            <v>A</v>
          </cell>
          <cell r="M950" t="str">
            <v>0</v>
          </cell>
          <cell r="N950" t="b">
            <v>1</v>
          </cell>
          <cell r="Q950" t="str">
            <v>Y</v>
          </cell>
          <cell r="S950" t="str">
            <v>Other monetary intermediation (with deposits taking functions) n.e.c.</v>
          </cell>
        </row>
        <row r="951">
          <cell r="C951" t="str">
            <v>64200</v>
          </cell>
          <cell r="D951" t="str">
            <v>Activities of holding companies</v>
          </cell>
          <cell r="E951" t="str">
            <v>A</v>
          </cell>
          <cell r="F951" t="str">
            <v>Y</v>
          </cell>
          <cell r="G951" t="str">
            <v>N</v>
          </cell>
          <cell r="H951" t="str">
            <v>FI</v>
          </cell>
          <cell r="I951" t="str">
            <v>N</v>
          </cell>
          <cell r="J951" t="str">
            <v>64200</v>
          </cell>
          <cell r="K951" t="str">
            <v>0</v>
          </cell>
          <cell r="L951" t="str">
            <v>A</v>
          </cell>
          <cell r="M951" t="str">
            <v>0</v>
          </cell>
          <cell r="N951" t="b">
            <v>1</v>
          </cell>
          <cell r="S951" t="str">
            <v>Activities of holding companies</v>
          </cell>
        </row>
        <row r="952">
          <cell r="C952" t="str">
            <v>64301</v>
          </cell>
          <cell r="D952" t="str">
            <v>Venture capital fund</v>
          </cell>
          <cell r="E952" t="str">
            <v>A</v>
          </cell>
          <cell r="F952" t="str">
            <v>Y</v>
          </cell>
          <cell r="G952" t="str">
            <v>N</v>
          </cell>
          <cell r="H952" t="str">
            <v>FI</v>
          </cell>
          <cell r="I952" t="str">
            <v>N</v>
          </cell>
          <cell r="J952" t="str">
            <v>64301</v>
          </cell>
          <cell r="K952" t="str">
            <v>0</v>
          </cell>
          <cell r="L952" t="str">
            <v>A</v>
          </cell>
          <cell r="M952" t="str">
            <v>0</v>
          </cell>
          <cell r="N952" t="b">
            <v>1</v>
          </cell>
          <cell r="S952" t="str">
            <v>Venture capital fund</v>
          </cell>
        </row>
        <row r="953">
          <cell r="C953" t="str">
            <v>64302</v>
          </cell>
          <cell r="D953" t="str">
            <v>Unit trust fund excludes REITs</v>
          </cell>
          <cell r="E953" t="str">
            <v>A</v>
          </cell>
          <cell r="F953" t="str">
            <v>Y</v>
          </cell>
          <cell r="G953" t="str">
            <v>N</v>
          </cell>
          <cell r="H953" t="str">
            <v>FI</v>
          </cell>
          <cell r="I953" t="str">
            <v>N</v>
          </cell>
          <cell r="J953" t="str">
            <v>64302</v>
          </cell>
          <cell r="K953" t="str">
            <v>0</v>
          </cell>
          <cell r="L953" t="str">
            <v>A</v>
          </cell>
          <cell r="M953" t="str">
            <v>0</v>
          </cell>
          <cell r="N953" t="b">
            <v>1</v>
          </cell>
          <cell r="S953" t="str">
            <v>Unit trust fund excludes REITs</v>
          </cell>
        </row>
        <row r="954">
          <cell r="C954" t="str">
            <v>64303</v>
          </cell>
          <cell r="D954" t="str">
            <v>Property unit trust (REITs)</v>
          </cell>
          <cell r="E954" t="str">
            <v>A</v>
          </cell>
          <cell r="F954" t="str">
            <v>Y</v>
          </cell>
          <cell r="G954" t="str">
            <v>N</v>
          </cell>
          <cell r="H954" t="str">
            <v>FI</v>
          </cell>
          <cell r="I954" t="str">
            <v>N</v>
          </cell>
          <cell r="J954" t="str">
            <v>64303</v>
          </cell>
          <cell r="K954" t="str">
            <v>0</v>
          </cell>
          <cell r="L954" t="str">
            <v>A</v>
          </cell>
          <cell r="M954" t="str">
            <v>0</v>
          </cell>
          <cell r="N954" t="b">
            <v>1</v>
          </cell>
          <cell r="S954" t="str">
            <v>Property unit trust (REITs)</v>
          </cell>
        </row>
        <row r="955">
          <cell r="C955" t="str">
            <v>64304</v>
          </cell>
          <cell r="D955" t="str">
            <v>Other administration of trusts accounts</v>
          </cell>
          <cell r="E955" t="str">
            <v>A</v>
          </cell>
          <cell r="F955" t="str">
            <v>Y</v>
          </cell>
          <cell r="G955" t="str">
            <v>N</v>
          </cell>
          <cell r="H955" t="str">
            <v>FI</v>
          </cell>
          <cell r="I955" t="str">
            <v>N</v>
          </cell>
          <cell r="J955" t="str">
            <v>64304</v>
          </cell>
          <cell r="K955" t="str">
            <v>0</v>
          </cell>
          <cell r="L955" t="str">
            <v>A</v>
          </cell>
          <cell r="M955" t="str">
            <v>0</v>
          </cell>
          <cell r="N955" t="b">
            <v>1</v>
          </cell>
          <cell r="S955" t="str">
            <v>Other administration of trusts accounts</v>
          </cell>
        </row>
        <row r="956">
          <cell r="C956" t="str">
            <v>64309</v>
          </cell>
          <cell r="D956" t="str">
            <v>Trusts, funds and similar financial entities n.e.c.</v>
          </cell>
          <cell r="E956" t="str">
            <v>A</v>
          </cell>
          <cell r="F956" t="str">
            <v>Y</v>
          </cell>
          <cell r="G956" t="str">
            <v>N</v>
          </cell>
          <cell r="H956" t="str">
            <v>FI</v>
          </cell>
          <cell r="I956" t="str">
            <v>N</v>
          </cell>
          <cell r="J956" t="str">
            <v>64309</v>
          </cell>
          <cell r="K956" t="str">
            <v>0</v>
          </cell>
          <cell r="L956" t="str">
            <v>A</v>
          </cell>
          <cell r="M956" t="str">
            <v>0</v>
          </cell>
          <cell r="N956" t="b">
            <v>1</v>
          </cell>
          <cell r="S956" t="str">
            <v>Trusts, funds and similar financial entities n.e.c.</v>
          </cell>
        </row>
        <row r="957">
          <cell r="C957" t="str">
            <v>6726</v>
          </cell>
          <cell r="D957" t="str">
            <v>Unit Investment Trusts, Face-Amount Certificate Offices, and Closed-End Management Investment Offices</v>
          </cell>
          <cell r="E957" t="str">
            <v>A</v>
          </cell>
          <cell r="F957" t="str">
            <v>Y</v>
          </cell>
          <cell r="H957" t="str">
            <v>FI</v>
          </cell>
          <cell r="I957" t="str">
            <v>N</v>
          </cell>
          <cell r="J957" t="str">
            <v>651XX</v>
          </cell>
          <cell r="K957" t="str">
            <v>0</v>
          </cell>
          <cell r="L957" t="str">
            <v>A</v>
          </cell>
          <cell r="M957" t="str">
            <v>0</v>
          </cell>
          <cell r="N957" t="b">
            <v>1</v>
          </cell>
          <cell r="S957" t="str">
            <v>Insurance/Takaful</v>
          </cell>
        </row>
        <row r="958">
          <cell r="C958" t="str">
            <v>6732</v>
          </cell>
          <cell r="D958" t="str">
            <v>Educational, Religious, and Charitable Trusts</v>
          </cell>
          <cell r="E958" t="str">
            <v>A</v>
          </cell>
          <cell r="F958" t="str">
            <v>Y</v>
          </cell>
          <cell r="H958" t="str">
            <v>FI</v>
          </cell>
          <cell r="I958" t="str">
            <v>N</v>
          </cell>
          <cell r="J958" t="str">
            <v>651XX</v>
          </cell>
          <cell r="K958" t="str">
            <v>0</v>
          </cell>
          <cell r="L958" t="str">
            <v>A</v>
          </cell>
          <cell r="M958" t="str">
            <v>0</v>
          </cell>
          <cell r="N958" t="b">
            <v>1</v>
          </cell>
          <cell r="S958" t="str">
            <v>Insurance/Takaful</v>
          </cell>
        </row>
        <row r="959">
          <cell r="C959" t="str">
            <v>6733</v>
          </cell>
          <cell r="D959" t="str">
            <v>Trusts, Except Educational, Religious, and Charitable</v>
          </cell>
          <cell r="E959" t="str">
            <v>A</v>
          </cell>
          <cell r="F959" t="str">
            <v>Y</v>
          </cell>
          <cell r="H959" t="str">
            <v>FI</v>
          </cell>
          <cell r="I959" t="str">
            <v>N</v>
          </cell>
          <cell r="J959" t="str">
            <v>651XX</v>
          </cell>
          <cell r="K959" t="str">
            <v>0</v>
          </cell>
          <cell r="L959" t="str">
            <v>A</v>
          </cell>
          <cell r="M959" t="str">
            <v>0</v>
          </cell>
          <cell r="N959" t="b">
            <v>1</v>
          </cell>
          <cell r="S959" t="str">
            <v>Insurance/Takaful</v>
          </cell>
        </row>
        <row r="960">
          <cell r="C960" t="str">
            <v>6141</v>
          </cell>
          <cell r="D960" t="str">
            <v>Personal Credit Institutions</v>
          </cell>
          <cell r="E960" t="str">
            <v>A</v>
          </cell>
          <cell r="F960" t="str">
            <v>Y</v>
          </cell>
          <cell r="G960" t="str">
            <v>N</v>
          </cell>
          <cell r="H960" t="str">
            <v>FI</v>
          </cell>
          <cell r="I960" t="str">
            <v>N</v>
          </cell>
          <cell r="J960" t="str">
            <v>64910</v>
          </cell>
          <cell r="K960" t="str">
            <v>0</v>
          </cell>
          <cell r="L960" t="str">
            <v>A</v>
          </cell>
          <cell r="M960" t="str">
            <v>0</v>
          </cell>
          <cell r="N960" t="b">
            <v>1</v>
          </cell>
          <cell r="S960" t="str">
            <v>Financial leasing activities</v>
          </cell>
        </row>
        <row r="961">
          <cell r="C961" t="str">
            <v>6153</v>
          </cell>
          <cell r="D961" t="str">
            <v>Short-Term Business Credit Institutions</v>
          </cell>
          <cell r="E961" t="str">
            <v>A</v>
          </cell>
          <cell r="F961" t="str">
            <v>Y</v>
          </cell>
          <cell r="G961" t="str">
            <v>N</v>
          </cell>
          <cell r="H961" t="str">
            <v>FI</v>
          </cell>
          <cell r="I961" t="str">
            <v>N</v>
          </cell>
          <cell r="J961" t="str">
            <v>64910</v>
          </cell>
          <cell r="K961" t="str">
            <v>0</v>
          </cell>
          <cell r="L961" t="str">
            <v>A</v>
          </cell>
          <cell r="M961" t="str">
            <v>0</v>
          </cell>
          <cell r="N961" t="b">
            <v>1</v>
          </cell>
          <cell r="S961" t="str">
            <v>Financial leasing activities</v>
          </cell>
        </row>
        <row r="962">
          <cell r="C962" t="str">
            <v>6159</v>
          </cell>
          <cell r="D962" t="str">
            <v>Miscellaneous Business Credit Institutions</v>
          </cell>
          <cell r="E962" t="str">
            <v>A</v>
          </cell>
          <cell r="F962" t="str">
            <v>Y</v>
          </cell>
          <cell r="G962" t="str">
            <v>N</v>
          </cell>
          <cell r="H962" t="str">
            <v>FI</v>
          </cell>
          <cell r="I962" t="str">
            <v>N</v>
          </cell>
          <cell r="J962" t="str">
            <v>64910</v>
          </cell>
          <cell r="K962" t="str">
            <v>0</v>
          </cell>
          <cell r="L962" t="str">
            <v>A</v>
          </cell>
          <cell r="M962" t="str">
            <v>0</v>
          </cell>
          <cell r="N962" t="b">
            <v>1</v>
          </cell>
          <cell r="S962" t="str">
            <v>Financial leasing activities</v>
          </cell>
        </row>
        <row r="963">
          <cell r="C963" t="str">
            <v>811010</v>
          </cell>
          <cell r="D963" t="str">
            <v>Rural Credit Institutions</v>
          </cell>
          <cell r="E963" t="str">
            <v>A</v>
          </cell>
          <cell r="F963" t="str">
            <v>Y</v>
          </cell>
          <cell r="G963" t="str">
            <v>N</v>
          </cell>
          <cell r="H963" t="str">
            <v>FI</v>
          </cell>
          <cell r="I963" t="str">
            <v>N</v>
          </cell>
          <cell r="J963" t="str">
            <v>64921</v>
          </cell>
          <cell r="K963" t="str">
            <v>0</v>
          </cell>
          <cell r="L963" t="str">
            <v>A</v>
          </cell>
          <cell r="M963" t="str">
            <v>0</v>
          </cell>
          <cell r="N963" t="b">
            <v>1</v>
          </cell>
          <cell r="S963" t="str">
            <v>Development financial institutions (without deposits taking functions)</v>
          </cell>
        </row>
        <row r="964">
          <cell r="C964" t="str">
            <v>811021</v>
          </cell>
          <cell r="D964" t="str">
            <v>Building societies</v>
          </cell>
          <cell r="E964" t="str">
            <v>A</v>
          </cell>
          <cell r="F964" t="str">
            <v>Y</v>
          </cell>
          <cell r="G964" t="str">
            <v>N</v>
          </cell>
          <cell r="H964" t="str">
            <v>FI</v>
          </cell>
          <cell r="I964" t="str">
            <v>N</v>
          </cell>
          <cell r="J964" t="str">
            <v>64921</v>
          </cell>
          <cell r="K964" t="str">
            <v>0</v>
          </cell>
          <cell r="L964" t="str">
            <v>A</v>
          </cell>
          <cell r="M964" t="str">
            <v>0</v>
          </cell>
          <cell r="N964" t="b">
            <v>1</v>
          </cell>
          <cell r="S964" t="str">
            <v>Development financial institutions (without deposits taking functions)</v>
          </cell>
        </row>
        <row r="965">
          <cell r="C965" t="str">
            <v>64922</v>
          </cell>
          <cell r="D965" t="str">
            <v>Credit card services</v>
          </cell>
          <cell r="E965" t="str">
            <v>A</v>
          </cell>
          <cell r="F965" t="str">
            <v>Y</v>
          </cell>
          <cell r="G965" t="str">
            <v>N</v>
          </cell>
          <cell r="H965" t="str">
            <v>FI</v>
          </cell>
          <cell r="I965" t="str">
            <v>N</v>
          </cell>
          <cell r="J965" t="str">
            <v>64922</v>
          </cell>
          <cell r="K965" t="str">
            <v>0</v>
          </cell>
          <cell r="L965" t="str">
            <v>A</v>
          </cell>
          <cell r="M965" t="str">
            <v>0</v>
          </cell>
          <cell r="N965" t="b">
            <v>1</v>
          </cell>
          <cell r="S965" t="str">
            <v>Credit card services</v>
          </cell>
        </row>
        <row r="966">
          <cell r="C966" t="str">
            <v>64923</v>
          </cell>
          <cell r="D966" t="str">
            <v>Licensed money lending activities</v>
          </cell>
          <cell r="E966" t="str">
            <v>A</v>
          </cell>
          <cell r="F966" t="str">
            <v>Y</v>
          </cell>
          <cell r="G966" t="str">
            <v>N</v>
          </cell>
          <cell r="H966" t="str">
            <v>FI</v>
          </cell>
          <cell r="I966" t="str">
            <v>N</v>
          </cell>
          <cell r="J966" t="str">
            <v>64923</v>
          </cell>
          <cell r="K966" t="str">
            <v>0</v>
          </cell>
          <cell r="L966" t="str">
            <v>A</v>
          </cell>
          <cell r="M966" t="str">
            <v>0</v>
          </cell>
          <cell r="N966" t="b">
            <v>1</v>
          </cell>
          <cell r="S966" t="str">
            <v>Licensed money lending activities</v>
          </cell>
        </row>
        <row r="967">
          <cell r="C967" t="str">
            <v>64924</v>
          </cell>
          <cell r="D967" t="str">
            <v>Pawnshops and pawnbrokers includes Ar-Rahnu</v>
          </cell>
          <cell r="E967" t="str">
            <v>A</v>
          </cell>
          <cell r="F967" t="str">
            <v>Y</v>
          </cell>
          <cell r="G967" t="str">
            <v>N</v>
          </cell>
          <cell r="H967" t="str">
            <v>FI</v>
          </cell>
          <cell r="I967" t="str">
            <v>N</v>
          </cell>
          <cell r="J967" t="str">
            <v>64924</v>
          </cell>
          <cell r="K967" t="str">
            <v>0</v>
          </cell>
          <cell r="L967" t="str">
            <v>A</v>
          </cell>
          <cell r="M967" t="str">
            <v>0</v>
          </cell>
          <cell r="N967" t="b">
            <v>1</v>
          </cell>
          <cell r="S967" t="str">
            <v>Pawnshops and pawnbrokers includes Ar-Rahnu</v>
          </cell>
        </row>
        <row r="968">
          <cell r="C968" t="str">
            <v>64925</v>
          </cell>
          <cell r="D968" t="str">
            <v>Co-operative with credits functions</v>
          </cell>
          <cell r="E968" t="str">
            <v>A</v>
          </cell>
          <cell r="F968" t="str">
            <v>Y</v>
          </cell>
          <cell r="G968" t="str">
            <v>N</v>
          </cell>
          <cell r="H968" t="str">
            <v>FI</v>
          </cell>
          <cell r="I968" t="str">
            <v>N</v>
          </cell>
          <cell r="J968" t="str">
            <v>64925</v>
          </cell>
          <cell r="K968" t="str">
            <v>0</v>
          </cell>
          <cell r="L968" t="str">
            <v>A</v>
          </cell>
          <cell r="M968" t="str">
            <v>0</v>
          </cell>
          <cell r="N968" t="b">
            <v>1</v>
          </cell>
          <cell r="S968" t="str">
            <v>Co-operative with credits functions</v>
          </cell>
        </row>
        <row r="969">
          <cell r="C969" t="str">
            <v>64929</v>
          </cell>
          <cell r="D969" t="str">
            <v>Other credit granting n.e.c.</v>
          </cell>
          <cell r="E969" t="str">
            <v>A</v>
          </cell>
          <cell r="F969" t="str">
            <v>Y</v>
          </cell>
          <cell r="G969" t="str">
            <v>N</v>
          </cell>
          <cell r="H969" t="str">
            <v>FI</v>
          </cell>
          <cell r="I969" t="str">
            <v>N</v>
          </cell>
          <cell r="J969" t="str">
            <v>64929</v>
          </cell>
          <cell r="K969" t="str">
            <v>0</v>
          </cell>
          <cell r="L969" t="str">
            <v>A</v>
          </cell>
          <cell r="M969" t="str">
            <v>0</v>
          </cell>
          <cell r="N969" t="b">
            <v>1</v>
          </cell>
          <cell r="S969" t="str">
            <v>Other credit granting n.e.c.</v>
          </cell>
        </row>
        <row r="970">
          <cell r="C970" t="str">
            <v>64991</v>
          </cell>
          <cell r="D970" t="str">
            <v>Factoring companies</v>
          </cell>
          <cell r="E970" t="str">
            <v>A</v>
          </cell>
          <cell r="F970" t="str">
            <v>Y</v>
          </cell>
          <cell r="G970" t="str">
            <v>N</v>
          </cell>
          <cell r="H970" t="str">
            <v>FI</v>
          </cell>
          <cell r="I970" t="str">
            <v>N</v>
          </cell>
          <cell r="J970" t="str">
            <v>64991</v>
          </cell>
          <cell r="K970" t="str">
            <v>0</v>
          </cell>
          <cell r="L970" t="str">
            <v>A</v>
          </cell>
          <cell r="M970" t="str">
            <v>0</v>
          </cell>
          <cell r="N970" t="b">
            <v>1</v>
          </cell>
          <cell r="S970" t="str">
            <v>Factoring companies</v>
          </cell>
        </row>
        <row r="971">
          <cell r="C971" t="str">
            <v>64992</v>
          </cell>
          <cell r="D971" t="str">
            <v>Representative office of foreign banks</v>
          </cell>
          <cell r="E971" t="str">
            <v>A</v>
          </cell>
          <cell r="F971" t="str">
            <v>Y</v>
          </cell>
          <cell r="G971" t="str">
            <v>N</v>
          </cell>
          <cell r="H971" t="str">
            <v>FI</v>
          </cell>
          <cell r="I971" t="str">
            <v>N</v>
          </cell>
          <cell r="J971" t="str">
            <v>64992</v>
          </cell>
          <cell r="K971" t="str">
            <v>0</v>
          </cell>
          <cell r="L971" t="str">
            <v>A</v>
          </cell>
          <cell r="M971" t="str">
            <v>0</v>
          </cell>
          <cell r="N971" t="b">
            <v>1</v>
          </cell>
          <cell r="S971" t="str">
            <v>Representative office of foreign banks</v>
          </cell>
        </row>
        <row r="972">
          <cell r="C972" t="str">
            <v>64993</v>
          </cell>
          <cell r="D972" t="str">
            <v>Nominee companies</v>
          </cell>
          <cell r="E972" t="str">
            <v>A</v>
          </cell>
          <cell r="F972" t="str">
            <v>Y</v>
          </cell>
          <cell r="G972" t="str">
            <v>N</v>
          </cell>
          <cell r="H972" t="str">
            <v>FI</v>
          </cell>
          <cell r="I972" t="str">
            <v>N</v>
          </cell>
          <cell r="J972" t="str">
            <v>64993</v>
          </cell>
          <cell r="K972" t="str">
            <v>0</v>
          </cell>
          <cell r="L972" t="str">
            <v>A</v>
          </cell>
          <cell r="M972" t="str">
            <v>0</v>
          </cell>
          <cell r="N972" t="b">
            <v>1</v>
          </cell>
          <cell r="S972" t="str">
            <v>Nominee companies</v>
          </cell>
        </row>
        <row r="973">
          <cell r="C973" t="str">
            <v>64999</v>
          </cell>
          <cell r="D973" t="str">
            <v>Other financial service activities, except insurance/takaful and pension funding n.e.c.</v>
          </cell>
          <cell r="E973" t="str">
            <v>A</v>
          </cell>
          <cell r="F973" t="str">
            <v>Y</v>
          </cell>
          <cell r="G973" t="str">
            <v>N</v>
          </cell>
          <cell r="H973" t="str">
            <v>FI</v>
          </cell>
          <cell r="I973" t="str">
            <v>N</v>
          </cell>
          <cell r="J973" t="str">
            <v>64999</v>
          </cell>
          <cell r="K973" t="str">
            <v>0</v>
          </cell>
          <cell r="L973" t="str">
            <v>A</v>
          </cell>
          <cell r="M973" t="str">
            <v>0</v>
          </cell>
          <cell r="N973" t="b">
            <v>1</v>
          </cell>
          <cell r="S973" t="str">
            <v>Other financial service activities, except insurance/takaful and pension funding n.e.c.</v>
          </cell>
        </row>
        <row r="974">
          <cell r="C974" t="str">
            <v>6321</v>
          </cell>
          <cell r="D974" t="str">
            <v>Accident and Health Insurance</v>
          </cell>
          <cell r="E974" t="str">
            <v>T</v>
          </cell>
          <cell r="F974" t="str">
            <v>Y</v>
          </cell>
          <cell r="H974" t="str">
            <v>FI</v>
          </cell>
          <cell r="I974" t="str">
            <v>N</v>
          </cell>
          <cell r="J974" t="str">
            <v>651XX</v>
          </cell>
          <cell r="K974" t="str">
            <v>12</v>
          </cell>
          <cell r="L974" t="str">
            <v>T</v>
          </cell>
          <cell r="M974" t="str">
            <v>12</v>
          </cell>
          <cell r="N974" t="b">
            <v>1</v>
          </cell>
          <cell r="S974" t="str">
            <v>Financial and Insurance/Takaful Activities</v>
          </cell>
        </row>
        <row r="975">
          <cell r="C975" t="str">
            <v>6361</v>
          </cell>
          <cell r="D975" t="str">
            <v>Title Insurance</v>
          </cell>
          <cell r="E975" t="str">
            <v>T</v>
          </cell>
          <cell r="F975" t="str">
            <v>Y</v>
          </cell>
          <cell r="H975" t="str">
            <v>FI</v>
          </cell>
          <cell r="I975" t="str">
            <v>N</v>
          </cell>
          <cell r="J975" t="str">
            <v>651XX</v>
          </cell>
          <cell r="K975" t="str">
            <v>12</v>
          </cell>
          <cell r="L975" t="str">
            <v>T</v>
          </cell>
          <cell r="M975" t="str">
            <v>12</v>
          </cell>
          <cell r="N975" t="b">
            <v>1</v>
          </cell>
          <cell r="S975" t="str">
            <v>Financial and Insurance/Takaful Activities</v>
          </cell>
        </row>
        <row r="976">
          <cell r="C976" t="str">
            <v>6311</v>
          </cell>
          <cell r="D976" t="str">
            <v>Life Insurance</v>
          </cell>
          <cell r="E976" t="str">
            <v>T</v>
          </cell>
          <cell r="F976" t="str">
            <v>Y</v>
          </cell>
          <cell r="H976" t="str">
            <v>FI</v>
          </cell>
          <cell r="I976" t="str">
            <v>N</v>
          </cell>
          <cell r="J976" t="str">
            <v>651XX</v>
          </cell>
          <cell r="K976" t="str">
            <v>12</v>
          </cell>
          <cell r="L976" t="str">
            <v>T</v>
          </cell>
          <cell r="M976" t="str">
            <v>12</v>
          </cell>
          <cell r="N976" t="b">
            <v>1</v>
          </cell>
          <cell r="S976" t="str">
            <v>Financial and Insurance/Takaful Activities</v>
          </cell>
        </row>
        <row r="977">
          <cell r="C977" t="str">
            <v>6324</v>
          </cell>
          <cell r="D977" t="str">
            <v>Hospital and Medical Service Plans</v>
          </cell>
          <cell r="E977" t="str">
            <v>T</v>
          </cell>
          <cell r="F977" t="str">
            <v>Y</v>
          </cell>
          <cell r="H977" t="str">
            <v>FI</v>
          </cell>
          <cell r="I977" t="str">
            <v>N</v>
          </cell>
          <cell r="J977" t="str">
            <v>651XX</v>
          </cell>
          <cell r="K977" t="str">
            <v>12</v>
          </cell>
          <cell r="L977" t="str">
            <v>T</v>
          </cell>
          <cell r="M977" t="str">
            <v>12</v>
          </cell>
          <cell r="N977" t="b">
            <v>1</v>
          </cell>
          <cell r="S977" t="str">
            <v>Financial and Insurance/Takaful Activities</v>
          </cell>
        </row>
        <row r="978">
          <cell r="C978" t="str">
            <v>6331</v>
          </cell>
          <cell r="D978" t="str">
            <v>Fire,Marine, and Casualty Insurance</v>
          </cell>
          <cell r="E978" t="str">
            <v>T</v>
          </cell>
          <cell r="F978" t="str">
            <v>Y</v>
          </cell>
          <cell r="H978" t="str">
            <v>FI</v>
          </cell>
          <cell r="I978" t="str">
            <v>N</v>
          </cell>
          <cell r="J978" t="str">
            <v>651XX</v>
          </cell>
          <cell r="K978" t="str">
            <v>12</v>
          </cell>
          <cell r="L978" t="str">
            <v>T</v>
          </cell>
          <cell r="M978" t="str">
            <v>12</v>
          </cell>
          <cell r="N978" t="b">
            <v>1</v>
          </cell>
          <cell r="S978" t="str">
            <v>Financial and Insurance/Takaful Activities</v>
          </cell>
        </row>
        <row r="979">
          <cell r="C979" t="str">
            <v>6351</v>
          </cell>
          <cell r="D979" t="str">
            <v>Surety Insurance</v>
          </cell>
          <cell r="E979" t="str">
            <v>T</v>
          </cell>
          <cell r="F979" t="str">
            <v>Y</v>
          </cell>
          <cell r="H979" t="str">
            <v>FI</v>
          </cell>
          <cell r="I979" t="str">
            <v>N</v>
          </cell>
          <cell r="J979" t="str">
            <v>651XX</v>
          </cell>
          <cell r="K979" t="str">
            <v>12</v>
          </cell>
          <cell r="L979" t="str">
            <v>T</v>
          </cell>
          <cell r="M979" t="str">
            <v>12</v>
          </cell>
          <cell r="N979" t="b">
            <v>1</v>
          </cell>
          <cell r="S979" t="str">
            <v>Financial and Insurance/Takaful Activities</v>
          </cell>
        </row>
        <row r="980">
          <cell r="C980" t="str">
            <v>6371</v>
          </cell>
          <cell r="D980" t="str">
            <v>Pension, Health and Welfare Fundse</v>
          </cell>
          <cell r="E980" t="str">
            <v>T</v>
          </cell>
          <cell r="F980" t="str">
            <v>Y</v>
          </cell>
          <cell r="H980" t="str">
            <v>FI</v>
          </cell>
          <cell r="I980" t="str">
            <v>N</v>
          </cell>
          <cell r="J980" t="str">
            <v>651XX</v>
          </cell>
          <cell r="K980" t="str">
            <v>12</v>
          </cell>
          <cell r="L980" t="str">
            <v>T</v>
          </cell>
          <cell r="M980" t="str">
            <v>12</v>
          </cell>
          <cell r="N980" t="b">
            <v>1</v>
          </cell>
          <cell r="S980" t="str">
            <v>Financial and Insurance/Takaful Activities</v>
          </cell>
        </row>
        <row r="981">
          <cell r="C981" t="str">
            <v>6399</v>
          </cell>
          <cell r="D981" t="str">
            <v>Insurance Carriers, N.E.C</v>
          </cell>
          <cell r="E981" t="str">
            <v>T</v>
          </cell>
          <cell r="F981" t="str">
            <v>Y</v>
          </cell>
          <cell r="H981" t="str">
            <v>FI</v>
          </cell>
          <cell r="I981" t="str">
            <v>N</v>
          </cell>
          <cell r="J981" t="str">
            <v>651XX</v>
          </cell>
          <cell r="K981" t="str">
            <v>12</v>
          </cell>
          <cell r="L981" t="str">
            <v>T</v>
          </cell>
          <cell r="M981" t="str">
            <v>12</v>
          </cell>
          <cell r="N981" t="b">
            <v>1</v>
          </cell>
          <cell r="S981" t="str">
            <v>Financial and Insurance/Takaful Activities</v>
          </cell>
        </row>
        <row r="982">
          <cell r="C982" t="str">
            <v>6520X</v>
          </cell>
          <cell r="D982" t="str">
            <v>Reinsurance/Retakaful</v>
          </cell>
          <cell r="E982" t="str">
            <v>A</v>
          </cell>
          <cell r="F982" t="str">
            <v>Y</v>
          </cell>
          <cell r="G982" t="str">
            <v>N</v>
          </cell>
          <cell r="H982" t="str">
            <v>FI</v>
          </cell>
          <cell r="I982" t="str">
            <v>N</v>
          </cell>
          <cell r="J982" t="str">
            <v>6520X</v>
          </cell>
          <cell r="K982" t="str">
            <v>0</v>
          </cell>
          <cell r="L982" t="str">
            <v>A</v>
          </cell>
          <cell r="M982" t="str">
            <v>0</v>
          </cell>
          <cell r="N982" t="b">
            <v>1</v>
          </cell>
          <cell r="S982" t="str">
            <v>Reinsurance/Retakaful</v>
          </cell>
        </row>
        <row r="983">
          <cell r="C983" t="str">
            <v>65301</v>
          </cell>
          <cell r="D983" t="str">
            <v>Pension funding</v>
          </cell>
          <cell r="E983" t="str">
            <v>A</v>
          </cell>
          <cell r="F983" t="str">
            <v>Y</v>
          </cell>
          <cell r="G983" t="str">
            <v>N</v>
          </cell>
          <cell r="H983" t="str">
            <v>FI</v>
          </cell>
          <cell r="I983" t="str">
            <v>N</v>
          </cell>
          <cell r="J983" t="str">
            <v>65301</v>
          </cell>
          <cell r="K983" t="str">
            <v>0</v>
          </cell>
          <cell r="L983" t="str">
            <v>A</v>
          </cell>
          <cell r="M983" t="str">
            <v>0</v>
          </cell>
          <cell r="N983" t="b">
            <v>1</v>
          </cell>
          <cell r="S983" t="str">
            <v>Pension funding</v>
          </cell>
        </row>
        <row r="984">
          <cell r="C984" t="str">
            <v>65302</v>
          </cell>
          <cell r="D984" t="str">
            <v>Provident funding</v>
          </cell>
          <cell r="E984" t="str">
            <v>A</v>
          </cell>
          <cell r="F984" t="str">
            <v>Y</v>
          </cell>
          <cell r="G984" t="str">
            <v>N</v>
          </cell>
          <cell r="H984" t="str">
            <v>FI</v>
          </cell>
          <cell r="I984" t="str">
            <v>N</v>
          </cell>
          <cell r="J984" t="str">
            <v>65302</v>
          </cell>
          <cell r="K984" t="str">
            <v>0</v>
          </cell>
          <cell r="L984" t="str">
            <v>A</v>
          </cell>
          <cell r="M984" t="str">
            <v>0</v>
          </cell>
          <cell r="N984" t="b">
            <v>1</v>
          </cell>
          <cell r="S984" t="str">
            <v>Provident funding</v>
          </cell>
        </row>
        <row r="985">
          <cell r="C985" t="str">
            <v>66111</v>
          </cell>
          <cell r="D985" t="str">
            <v>Stock exchanges</v>
          </cell>
          <cell r="E985" t="str">
            <v>A</v>
          </cell>
          <cell r="F985" t="str">
            <v>Y</v>
          </cell>
          <cell r="G985" t="str">
            <v>N</v>
          </cell>
          <cell r="H985" t="str">
            <v>FI</v>
          </cell>
          <cell r="I985" t="str">
            <v>N</v>
          </cell>
          <cell r="J985" t="str">
            <v>66111</v>
          </cell>
          <cell r="K985" t="str">
            <v>0</v>
          </cell>
          <cell r="L985" t="str">
            <v>A</v>
          </cell>
          <cell r="M985" t="str">
            <v>0</v>
          </cell>
          <cell r="N985" t="b">
            <v>1</v>
          </cell>
          <cell r="S985" t="str">
            <v>Stock exchanges</v>
          </cell>
        </row>
        <row r="986">
          <cell r="C986" t="str">
            <v>66112</v>
          </cell>
          <cell r="D986" t="str">
            <v>Exchanges for commodity contracts</v>
          </cell>
          <cell r="E986" t="str">
            <v>A</v>
          </cell>
          <cell r="F986" t="str">
            <v>Y</v>
          </cell>
          <cell r="G986" t="str">
            <v>N</v>
          </cell>
          <cell r="H986" t="str">
            <v>FI</v>
          </cell>
          <cell r="I986" t="str">
            <v>N</v>
          </cell>
          <cell r="J986" t="str">
            <v>66112</v>
          </cell>
          <cell r="K986" t="str">
            <v>0</v>
          </cell>
          <cell r="L986" t="str">
            <v>A</v>
          </cell>
          <cell r="M986" t="str">
            <v>0</v>
          </cell>
          <cell r="N986" t="b">
            <v>1</v>
          </cell>
          <cell r="S986" t="str">
            <v>Exchanges for commodity contracts</v>
          </cell>
        </row>
        <row r="987">
          <cell r="C987" t="str">
            <v>66113</v>
          </cell>
          <cell r="D987" t="str">
            <v>Securities exchange</v>
          </cell>
          <cell r="E987" t="str">
            <v>A</v>
          </cell>
          <cell r="F987" t="str">
            <v>Y</v>
          </cell>
          <cell r="G987" t="str">
            <v>N</v>
          </cell>
          <cell r="H987" t="str">
            <v>FI</v>
          </cell>
          <cell r="I987" t="str">
            <v>N</v>
          </cell>
          <cell r="J987" t="str">
            <v>66113</v>
          </cell>
          <cell r="K987" t="str">
            <v>0</v>
          </cell>
          <cell r="L987" t="str">
            <v>A</v>
          </cell>
          <cell r="M987" t="str">
            <v>0</v>
          </cell>
          <cell r="N987" t="b">
            <v>1</v>
          </cell>
          <cell r="S987" t="str">
            <v>Securities exchange</v>
          </cell>
        </row>
        <row r="988">
          <cell r="C988" t="str">
            <v>66114</v>
          </cell>
          <cell r="D988" t="str">
            <v>Exchanges for commodity futures contracts</v>
          </cell>
          <cell r="E988" t="str">
            <v>A</v>
          </cell>
          <cell r="F988" t="str">
            <v>Y</v>
          </cell>
          <cell r="G988" t="str">
            <v>N</v>
          </cell>
          <cell r="H988" t="str">
            <v>FI</v>
          </cell>
          <cell r="I988" t="str">
            <v>N</v>
          </cell>
          <cell r="J988" t="str">
            <v>66114</v>
          </cell>
          <cell r="K988" t="str">
            <v>0</v>
          </cell>
          <cell r="L988" t="str">
            <v>A</v>
          </cell>
          <cell r="M988" t="str">
            <v>0</v>
          </cell>
          <cell r="N988" t="b">
            <v>1</v>
          </cell>
          <cell r="S988" t="str">
            <v>Exchanges for commodity futures contracts</v>
          </cell>
        </row>
        <row r="989">
          <cell r="C989" t="str">
            <v>66119</v>
          </cell>
          <cell r="D989" t="str">
            <v>Administration of financial markets n.e.c.</v>
          </cell>
          <cell r="E989" t="str">
            <v>A</v>
          </cell>
          <cell r="F989" t="str">
            <v>Y</v>
          </cell>
          <cell r="G989" t="str">
            <v>N</v>
          </cell>
          <cell r="H989" t="str">
            <v>FI</v>
          </cell>
          <cell r="I989" t="str">
            <v>N</v>
          </cell>
          <cell r="J989" t="str">
            <v>66119</v>
          </cell>
          <cell r="K989" t="str">
            <v>0</v>
          </cell>
          <cell r="L989" t="str">
            <v>A</v>
          </cell>
          <cell r="M989" t="str">
            <v>0</v>
          </cell>
          <cell r="N989" t="b">
            <v>1</v>
          </cell>
          <cell r="S989" t="str">
            <v>Administration of financial markets n.e.c.</v>
          </cell>
        </row>
        <row r="990">
          <cell r="C990" t="str">
            <v>6211</v>
          </cell>
          <cell r="D990" t="str">
            <v>Security Brokers, Dealers and Flotation Companies</v>
          </cell>
          <cell r="E990" t="str">
            <v>A</v>
          </cell>
          <cell r="F990" t="str">
            <v>Y</v>
          </cell>
          <cell r="G990" t="str">
            <v>N</v>
          </cell>
          <cell r="H990" t="str">
            <v>FI</v>
          </cell>
          <cell r="I990" t="str">
            <v>N</v>
          </cell>
          <cell r="J990" t="str">
            <v>66121</v>
          </cell>
          <cell r="K990" t="str">
            <v>0</v>
          </cell>
          <cell r="L990" t="str">
            <v>A</v>
          </cell>
          <cell r="M990" t="str">
            <v>0</v>
          </cell>
          <cell r="N990" t="b">
            <v>1</v>
          </cell>
          <cell r="S990" t="str">
            <v>Stock, share and bond brokers</v>
          </cell>
        </row>
        <row r="991">
          <cell r="C991" t="str">
            <v>6221</v>
          </cell>
          <cell r="D991" t="str">
            <v>Commodity Contracts Brokers and Dealers</v>
          </cell>
          <cell r="E991" t="str">
            <v>A</v>
          </cell>
          <cell r="F991" t="str">
            <v>Y</v>
          </cell>
          <cell r="G991" t="str">
            <v>N</v>
          </cell>
          <cell r="H991" t="str">
            <v>FI</v>
          </cell>
          <cell r="I991" t="str">
            <v>N</v>
          </cell>
          <cell r="J991" t="str">
            <v>66121</v>
          </cell>
          <cell r="K991" t="str">
            <v>0</v>
          </cell>
          <cell r="L991" t="str">
            <v>A</v>
          </cell>
          <cell r="M991" t="str">
            <v>0</v>
          </cell>
          <cell r="N991" t="b">
            <v>1</v>
          </cell>
          <cell r="S991" t="str">
            <v>Stock, share and bond brokers</v>
          </cell>
        </row>
        <row r="992">
          <cell r="C992" t="str">
            <v>6231</v>
          </cell>
          <cell r="D992" t="str">
            <v>Security and Commodity Exchanges</v>
          </cell>
          <cell r="E992" t="str">
            <v>A</v>
          </cell>
          <cell r="F992" t="str">
            <v>Y</v>
          </cell>
          <cell r="G992" t="str">
            <v>N</v>
          </cell>
          <cell r="H992" t="str">
            <v>FI</v>
          </cell>
          <cell r="I992" t="str">
            <v>N</v>
          </cell>
          <cell r="J992" t="str">
            <v>66122</v>
          </cell>
          <cell r="K992" t="str">
            <v>0</v>
          </cell>
          <cell r="L992" t="str">
            <v>A</v>
          </cell>
          <cell r="M992" t="str">
            <v>0</v>
          </cell>
          <cell r="N992" t="b">
            <v>1</v>
          </cell>
          <cell r="S992" t="str">
            <v>Commodity brokers and dealers</v>
          </cell>
        </row>
        <row r="993">
          <cell r="C993" t="str">
            <v>66123</v>
          </cell>
          <cell r="D993" t="str">
            <v>Gold bullion dealers</v>
          </cell>
          <cell r="E993" t="str">
            <v>A</v>
          </cell>
          <cell r="F993" t="str">
            <v>Y</v>
          </cell>
          <cell r="G993" t="str">
            <v>N</v>
          </cell>
          <cell r="H993" t="str">
            <v>FI</v>
          </cell>
          <cell r="I993" t="str">
            <v>N</v>
          </cell>
          <cell r="J993" t="str">
            <v>66123</v>
          </cell>
          <cell r="K993" t="str">
            <v>0</v>
          </cell>
          <cell r="L993" t="str">
            <v>A</v>
          </cell>
          <cell r="M993" t="str">
            <v>0</v>
          </cell>
          <cell r="N993" t="b">
            <v>1</v>
          </cell>
          <cell r="S993" t="str">
            <v>Gold bullion dealers</v>
          </cell>
        </row>
        <row r="994">
          <cell r="C994" t="str">
            <v>66124</v>
          </cell>
          <cell r="D994" t="str">
            <v>Foreign exchange broker and dealers (Bureaux de change)</v>
          </cell>
          <cell r="E994" t="str">
            <v>A</v>
          </cell>
          <cell r="F994" t="str">
            <v>Y</v>
          </cell>
          <cell r="G994" t="str">
            <v>N</v>
          </cell>
          <cell r="H994" t="str">
            <v>FI</v>
          </cell>
          <cell r="I994" t="str">
            <v>N</v>
          </cell>
          <cell r="J994" t="str">
            <v>66124</v>
          </cell>
          <cell r="K994" t="str">
            <v>0</v>
          </cell>
          <cell r="L994" t="str">
            <v>A</v>
          </cell>
          <cell r="M994" t="str">
            <v>0</v>
          </cell>
          <cell r="N994" t="b">
            <v>1</v>
          </cell>
          <cell r="S994" t="str">
            <v>Foreign exchange broker and dealers (Bureaux de change)</v>
          </cell>
        </row>
        <row r="995">
          <cell r="C995" t="str">
            <v>66125</v>
          </cell>
          <cell r="D995" t="str">
            <v>Money-changing services</v>
          </cell>
          <cell r="E995" t="str">
            <v>A</v>
          </cell>
          <cell r="F995" t="str">
            <v>Y</v>
          </cell>
          <cell r="G995" t="str">
            <v>N</v>
          </cell>
          <cell r="H995" t="str">
            <v>FI</v>
          </cell>
          <cell r="I995" t="str">
            <v>N</v>
          </cell>
          <cell r="J995" t="str">
            <v>66125</v>
          </cell>
          <cell r="K995" t="str">
            <v>0</v>
          </cell>
          <cell r="L995" t="str">
            <v>A</v>
          </cell>
          <cell r="M995" t="str">
            <v>0</v>
          </cell>
          <cell r="N995" t="b">
            <v>1</v>
          </cell>
          <cell r="S995" t="str">
            <v>Money-changing services</v>
          </cell>
        </row>
        <row r="996">
          <cell r="C996" t="str">
            <v>66129</v>
          </cell>
          <cell r="D996" t="str">
            <v>Other financial and commodity futures brokers and dealers</v>
          </cell>
          <cell r="E996" t="str">
            <v>A</v>
          </cell>
          <cell r="F996" t="str">
            <v>Y</v>
          </cell>
          <cell r="G996" t="str">
            <v>N</v>
          </cell>
          <cell r="H996" t="str">
            <v>FI</v>
          </cell>
          <cell r="I996" t="str">
            <v>N</v>
          </cell>
          <cell r="J996" t="str">
            <v>66129</v>
          </cell>
          <cell r="K996" t="str">
            <v>0</v>
          </cell>
          <cell r="L996" t="str">
            <v>A</v>
          </cell>
          <cell r="M996" t="str">
            <v>0</v>
          </cell>
          <cell r="N996" t="b">
            <v>1</v>
          </cell>
          <cell r="S996" t="str">
            <v>Other financial and commodity futures brokers and dealers</v>
          </cell>
        </row>
        <row r="997">
          <cell r="C997" t="str">
            <v>6792</v>
          </cell>
          <cell r="D997" t="str">
            <v>Oil Royalty Traders</v>
          </cell>
          <cell r="E997" t="str">
            <v>T</v>
          </cell>
          <cell r="F997" t="str">
            <v>Y</v>
          </cell>
          <cell r="H997" t="str">
            <v>FI</v>
          </cell>
          <cell r="I997" t="str">
            <v>N</v>
          </cell>
          <cell r="J997" t="str">
            <v>64199</v>
          </cell>
          <cell r="K997" t="str">
            <v>12</v>
          </cell>
          <cell r="L997" t="str">
            <v>T</v>
          </cell>
          <cell r="M997" t="str">
            <v>12</v>
          </cell>
          <cell r="N997" t="b">
            <v>1</v>
          </cell>
          <cell r="R997" t="str">
            <v>Refer to sheet 1 for detail description for 6792. Should this be under target sector?</v>
          </cell>
          <cell r="S997" t="str">
            <v>Other monetary intermediation (with deposits taking functions) n.e.c.</v>
          </cell>
        </row>
        <row r="998">
          <cell r="C998" t="str">
            <v>66191</v>
          </cell>
          <cell r="D998" t="str">
            <v>Investment advisory services</v>
          </cell>
          <cell r="E998" t="str">
            <v>A</v>
          </cell>
          <cell r="F998" t="str">
            <v>Y</v>
          </cell>
          <cell r="G998" t="str">
            <v>N</v>
          </cell>
          <cell r="H998" t="str">
            <v>FI</v>
          </cell>
          <cell r="I998" t="str">
            <v>N</v>
          </cell>
          <cell r="J998" t="str">
            <v>66191</v>
          </cell>
          <cell r="K998" t="str">
            <v>0</v>
          </cell>
          <cell r="L998" t="str">
            <v>A</v>
          </cell>
          <cell r="M998" t="str">
            <v>0</v>
          </cell>
          <cell r="N998" t="b">
            <v>1</v>
          </cell>
          <cell r="S998" t="str">
            <v>Investment advisory services</v>
          </cell>
        </row>
        <row r="999">
          <cell r="C999" t="str">
            <v>66192</v>
          </cell>
          <cell r="D999" t="str">
            <v>Financial consultancy services</v>
          </cell>
          <cell r="E999" t="str">
            <v>A</v>
          </cell>
          <cell r="F999" t="str">
            <v>Y</v>
          </cell>
          <cell r="G999" t="str">
            <v>N</v>
          </cell>
          <cell r="H999" t="str">
            <v>FI</v>
          </cell>
          <cell r="I999" t="str">
            <v>N</v>
          </cell>
          <cell r="J999" t="str">
            <v>66192</v>
          </cell>
          <cell r="K999" t="str">
            <v>0</v>
          </cell>
          <cell r="L999" t="str">
            <v>A</v>
          </cell>
          <cell r="M999" t="str">
            <v>0</v>
          </cell>
          <cell r="N999" t="b">
            <v>1</v>
          </cell>
          <cell r="S999" t="str">
            <v>Financial consultancy services</v>
          </cell>
        </row>
        <row r="1000">
          <cell r="C1000" t="str">
            <v>66199</v>
          </cell>
          <cell r="D1000" t="str">
            <v>Activities auxiliary to finance n.e.c.</v>
          </cell>
          <cell r="E1000" t="str">
            <v>A</v>
          </cell>
          <cell r="F1000" t="str">
            <v>Y</v>
          </cell>
          <cell r="G1000" t="str">
            <v>N</v>
          </cell>
          <cell r="H1000" t="str">
            <v>FI</v>
          </cell>
          <cell r="I1000" t="str">
            <v>N</v>
          </cell>
          <cell r="J1000" t="str">
            <v>66199</v>
          </cell>
          <cell r="K1000" t="str">
            <v>0</v>
          </cell>
          <cell r="L1000" t="str">
            <v>A</v>
          </cell>
          <cell r="M1000" t="str">
            <v>0</v>
          </cell>
          <cell r="N1000" t="b">
            <v>1</v>
          </cell>
          <cell r="S1000" t="str">
            <v>Activities auxiliary to finance n.e.c.</v>
          </cell>
        </row>
        <row r="1001">
          <cell r="C1001" t="str">
            <v>66211</v>
          </cell>
          <cell r="D1001" t="str">
            <v>Insurance adjusting service</v>
          </cell>
          <cell r="E1001" t="str">
            <v>A</v>
          </cell>
          <cell r="F1001" t="str">
            <v>Y</v>
          </cell>
          <cell r="G1001" t="str">
            <v>N</v>
          </cell>
          <cell r="H1001" t="str">
            <v>FI</v>
          </cell>
          <cell r="I1001" t="str">
            <v>N</v>
          </cell>
          <cell r="J1001" t="str">
            <v>66211</v>
          </cell>
          <cell r="K1001" t="str">
            <v>0</v>
          </cell>
          <cell r="L1001" t="str">
            <v>A</v>
          </cell>
          <cell r="M1001" t="str">
            <v>0</v>
          </cell>
          <cell r="N1001" t="b">
            <v>1</v>
          </cell>
          <cell r="S1001" t="str">
            <v>Insurance adjusting service</v>
          </cell>
        </row>
        <row r="1002">
          <cell r="C1002" t="str">
            <v>66212</v>
          </cell>
          <cell r="D1002" t="str">
            <v>Takaful adjusting service</v>
          </cell>
          <cell r="E1002" t="str">
            <v>A</v>
          </cell>
          <cell r="F1002" t="str">
            <v>Y</v>
          </cell>
          <cell r="G1002" t="str">
            <v>N</v>
          </cell>
          <cell r="H1002" t="str">
            <v>FI</v>
          </cell>
          <cell r="I1002" t="str">
            <v>N</v>
          </cell>
          <cell r="J1002" t="str">
            <v>66212</v>
          </cell>
          <cell r="K1002" t="str">
            <v>0</v>
          </cell>
          <cell r="L1002" t="str">
            <v>A</v>
          </cell>
          <cell r="M1002" t="str">
            <v>0</v>
          </cell>
          <cell r="N1002" t="b">
            <v>1</v>
          </cell>
          <cell r="S1002" t="str">
            <v>Takaful adjusting service</v>
          </cell>
        </row>
        <row r="1003">
          <cell r="C1003" t="str">
            <v>66221</v>
          </cell>
          <cell r="D1003" t="str">
            <v>Insurance agents</v>
          </cell>
          <cell r="E1003" t="str">
            <v>A</v>
          </cell>
          <cell r="F1003" t="str">
            <v>Y</v>
          </cell>
          <cell r="G1003" t="str">
            <v>N</v>
          </cell>
          <cell r="H1003" t="str">
            <v>FI</v>
          </cell>
          <cell r="I1003" t="str">
            <v>N</v>
          </cell>
          <cell r="J1003" t="str">
            <v>66221</v>
          </cell>
          <cell r="K1003" t="str">
            <v>0</v>
          </cell>
          <cell r="L1003" t="str">
            <v>A</v>
          </cell>
          <cell r="M1003" t="str">
            <v>0</v>
          </cell>
          <cell r="N1003" t="b">
            <v>1</v>
          </cell>
          <cell r="S1003" t="str">
            <v>Insurance agents</v>
          </cell>
        </row>
        <row r="1004">
          <cell r="C1004" t="str">
            <v>66222</v>
          </cell>
          <cell r="D1004" t="str">
            <v>Takaful agents</v>
          </cell>
          <cell r="E1004" t="str">
            <v>A</v>
          </cell>
          <cell r="F1004" t="str">
            <v>Y</v>
          </cell>
          <cell r="G1004" t="str">
            <v>N</v>
          </cell>
          <cell r="H1004" t="str">
            <v>FI</v>
          </cell>
          <cell r="I1004" t="str">
            <v>N</v>
          </cell>
          <cell r="J1004" t="str">
            <v>66222</v>
          </cell>
          <cell r="K1004" t="str">
            <v>0</v>
          </cell>
          <cell r="L1004" t="str">
            <v>A</v>
          </cell>
          <cell r="M1004" t="str">
            <v>0</v>
          </cell>
          <cell r="N1004" t="b">
            <v>1</v>
          </cell>
          <cell r="S1004" t="str">
            <v>Takaful agents</v>
          </cell>
        </row>
        <row r="1005">
          <cell r="C1005" t="str">
            <v>66223</v>
          </cell>
          <cell r="D1005" t="str">
            <v>Insurance brokers</v>
          </cell>
          <cell r="E1005" t="str">
            <v>A</v>
          </cell>
          <cell r="F1005" t="str">
            <v>Y</v>
          </cell>
          <cell r="G1005" t="str">
            <v>N</v>
          </cell>
          <cell r="H1005" t="str">
            <v>FI</v>
          </cell>
          <cell r="I1005" t="str">
            <v>N</v>
          </cell>
          <cell r="J1005" t="str">
            <v>66223</v>
          </cell>
          <cell r="K1005" t="str">
            <v>0</v>
          </cell>
          <cell r="L1005" t="str">
            <v>A</v>
          </cell>
          <cell r="M1005" t="str">
            <v>0</v>
          </cell>
          <cell r="N1005" t="b">
            <v>1</v>
          </cell>
          <cell r="S1005" t="str">
            <v>Insurance brokers</v>
          </cell>
        </row>
        <row r="1006">
          <cell r="C1006" t="str">
            <v>66224</v>
          </cell>
          <cell r="D1006" t="str">
            <v>Takaful brokers</v>
          </cell>
          <cell r="E1006" t="str">
            <v>A</v>
          </cell>
          <cell r="F1006" t="str">
            <v>Y</v>
          </cell>
          <cell r="G1006" t="str">
            <v>N</v>
          </cell>
          <cell r="H1006" t="str">
            <v>FI</v>
          </cell>
          <cell r="I1006" t="str">
            <v>N</v>
          </cell>
          <cell r="J1006" t="str">
            <v>66224</v>
          </cell>
          <cell r="K1006" t="str">
            <v>0</v>
          </cell>
          <cell r="L1006" t="str">
            <v>A</v>
          </cell>
          <cell r="M1006" t="str">
            <v>0</v>
          </cell>
          <cell r="N1006" t="b">
            <v>1</v>
          </cell>
          <cell r="S1006" t="str">
            <v>Takaful brokers</v>
          </cell>
        </row>
        <row r="1007">
          <cell r="C1007" t="str">
            <v>66290</v>
          </cell>
          <cell r="D1007" t="str">
            <v>Other activities auxiliary to insurance, takaful and pension funding</v>
          </cell>
          <cell r="E1007" t="str">
            <v>A</v>
          </cell>
          <cell r="F1007" t="str">
            <v>Y</v>
          </cell>
          <cell r="G1007" t="str">
            <v>N</v>
          </cell>
          <cell r="H1007" t="str">
            <v>FI</v>
          </cell>
          <cell r="I1007" t="str">
            <v>N</v>
          </cell>
          <cell r="J1007" t="str">
            <v>66290</v>
          </cell>
          <cell r="K1007" t="str">
            <v>0</v>
          </cell>
          <cell r="L1007" t="str">
            <v>A</v>
          </cell>
          <cell r="M1007" t="str">
            <v>0</v>
          </cell>
          <cell r="N1007" t="b">
            <v>1</v>
          </cell>
          <cell r="S1007" t="str">
            <v>Other activities auxiliary to insurance, takaful and pension funding</v>
          </cell>
        </row>
        <row r="1008">
          <cell r="C1008" t="str">
            <v>66301</v>
          </cell>
          <cell r="D1008" t="str">
            <v>Management of pension funds</v>
          </cell>
          <cell r="E1008" t="str">
            <v>A</v>
          </cell>
          <cell r="F1008" t="str">
            <v>Y</v>
          </cell>
          <cell r="G1008" t="str">
            <v>N</v>
          </cell>
          <cell r="H1008" t="str">
            <v>FI</v>
          </cell>
          <cell r="I1008" t="str">
            <v>N</v>
          </cell>
          <cell r="J1008" t="str">
            <v>66301</v>
          </cell>
          <cell r="K1008" t="str">
            <v>0</v>
          </cell>
          <cell r="L1008" t="str">
            <v>A</v>
          </cell>
          <cell r="M1008" t="str">
            <v>0</v>
          </cell>
          <cell r="N1008" t="b">
            <v>1</v>
          </cell>
          <cell r="S1008" t="str">
            <v>Management of pension funds</v>
          </cell>
        </row>
        <row r="1009">
          <cell r="C1009" t="str">
            <v>66302</v>
          </cell>
          <cell r="D1009" t="str">
            <v>Assets/portfolio management</v>
          </cell>
          <cell r="E1009" t="str">
            <v>A</v>
          </cell>
          <cell r="F1009" t="str">
            <v>Y</v>
          </cell>
          <cell r="G1009" t="str">
            <v>N</v>
          </cell>
          <cell r="H1009" t="str">
            <v>FI</v>
          </cell>
          <cell r="I1009" t="str">
            <v>N</v>
          </cell>
          <cell r="J1009" t="str">
            <v>66302</v>
          </cell>
          <cell r="K1009" t="str">
            <v>0</v>
          </cell>
          <cell r="L1009" t="str">
            <v>A</v>
          </cell>
          <cell r="M1009" t="str">
            <v>0</v>
          </cell>
          <cell r="N1009" t="b">
            <v>1</v>
          </cell>
          <cell r="S1009" t="str">
            <v>Assets/portfolio management</v>
          </cell>
        </row>
        <row r="1010">
          <cell r="C1010" t="str">
            <v>66303</v>
          </cell>
          <cell r="D1010" t="str">
            <v>Unit trust management companies</v>
          </cell>
          <cell r="E1010" t="str">
            <v>A</v>
          </cell>
          <cell r="F1010" t="str">
            <v>Y</v>
          </cell>
          <cell r="G1010" t="str">
            <v>N</v>
          </cell>
          <cell r="H1010" t="str">
            <v>FI</v>
          </cell>
          <cell r="I1010" t="str">
            <v>N</v>
          </cell>
          <cell r="J1010" t="str">
            <v>66303</v>
          </cell>
          <cell r="K1010" t="str">
            <v>0</v>
          </cell>
          <cell r="L1010" t="str">
            <v>A</v>
          </cell>
          <cell r="M1010" t="str">
            <v>0</v>
          </cell>
          <cell r="N1010" t="b">
            <v>1</v>
          </cell>
          <cell r="S1010" t="str">
            <v>Unit trust management companies</v>
          </cell>
        </row>
        <row r="1011">
          <cell r="C1011" t="str">
            <v>68101</v>
          </cell>
          <cell r="D1011" t="str">
            <v>Buying, selling, renting and operating of self-owned or leased real estate – residential buildings</v>
          </cell>
          <cell r="E1011" t="str">
            <v>N</v>
          </cell>
          <cell r="F1011" t="str">
            <v>Y</v>
          </cell>
          <cell r="G1011" t="str">
            <v>N</v>
          </cell>
          <cell r="H1011" t="str">
            <v>FI</v>
          </cell>
          <cell r="I1011" t="str">
            <v>N</v>
          </cell>
          <cell r="J1011" t="str">
            <v>68101</v>
          </cell>
          <cell r="K1011" t="str">
            <v>0</v>
          </cell>
          <cell r="L1011" t="str">
            <v>N</v>
          </cell>
          <cell r="M1011" t="str">
            <v>0</v>
          </cell>
          <cell r="N1011" t="b">
            <v>1</v>
          </cell>
          <cell r="R1011" t="str">
            <v>To review whether this is classified under IHC</v>
          </cell>
          <cell r="S1011" t="str">
            <v>Real Estate</v>
          </cell>
        </row>
        <row r="1012">
          <cell r="C1012" t="str">
            <v>831210</v>
          </cell>
          <cell r="D1012" t="str">
            <v>Real estate Operation - Industrial building &amp; factories</v>
          </cell>
          <cell r="E1012" t="str">
            <v>N</v>
          </cell>
          <cell r="F1012" t="str">
            <v>Y</v>
          </cell>
          <cell r="G1012" t="str">
            <v>Y</v>
          </cell>
          <cell r="H1012" t="str">
            <v>FI</v>
          </cell>
          <cell r="I1012" t="str">
            <v>N</v>
          </cell>
          <cell r="J1012" t="str">
            <v>68102</v>
          </cell>
          <cell r="K1012" t="str">
            <v>0</v>
          </cell>
          <cell r="L1012" t="str">
            <v>N</v>
          </cell>
          <cell r="M1012" t="str">
            <v>0</v>
          </cell>
          <cell r="N1012" t="b">
            <v>1</v>
          </cell>
          <cell r="S1012" t="str">
            <v>Real Estate (IHC)</v>
          </cell>
        </row>
        <row r="1013">
          <cell r="C1013" t="str">
            <v>831221</v>
          </cell>
          <cell r="D1013" t="str">
            <v>Real estate operations - shopping complex</v>
          </cell>
          <cell r="E1013" t="str">
            <v>N</v>
          </cell>
          <cell r="F1013" t="str">
            <v>Y</v>
          </cell>
          <cell r="G1013" t="str">
            <v>Y</v>
          </cell>
          <cell r="H1013" t="str">
            <v>FI</v>
          </cell>
          <cell r="I1013" t="str">
            <v>N</v>
          </cell>
          <cell r="J1013" t="str">
            <v>68102</v>
          </cell>
          <cell r="K1013" t="str">
            <v>0</v>
          </cell>
          <cell r="L1013" t="str">
            <v>N</v>
          </cell>
          <cell r="M1013" t="str">
            <v>0</v>
          </cell>
          <cell r="N1013" t="b">
            <v>1</v>
          </cell>
          <cell r="S1013" t="str">
            <v>Real Estate (IHC)</v>
          </cell>
        </row>
        <row r="1014">
          <cell r="C1014" t="str">
            <v>831222</v>
          </cell>
          <cell r="D1014" t="str">
            <v>Real estate operations - office building</v>
          </cell>
          <cell r="E1014" t="str">
            <v>N</v>
          </cell>
          <cell r="F1014" t="str">
            <v>Y</v>
          </cell>
          <cell r="G1014" t="str">
            <v>Y</v>
          </cell>
          <cell r="H1014" t="str">
            <v>FI</v>
          </cell>
          <cell r="I1014" t="str">
            <v>N</v>
          </cell>
          <cell r="J1014" t="str">
            <v>68102</v>
          </cell>
          <cell r="K1014" t="str">
            <v>0</v>
          </cell>
          <cell r="L1014" t="str">
            <v>N</v>
          </cell>
          <cell r="M1014" t="str">
            <v>0</v>
          </cell>
          <cell r="N1014" t="b">
            <v>1</v>
          </cell>
          <cell r="S1014" t="str">
            <v>Real Estate (IHC)</v>
          </cell>
        </row>
        <row r="1015">
          <cell r="C1015" t="str">
            <v>831223</v>
          </cell>
          <cell r="D1015" t="str">
            <v>Real estate operations - shophouse</v>
          </cell>
          <cell r="E1015" t="str">
            <v>N</v>
          </cell>
          <cell r="F1015" t="str">
            <v>Y</v>
          </cell>
          <cell r="G1015" t="str">
            <v>Y</v>
          </cell>
          <cell r="H1015" t="str">
            <v>FI</v>
          </cell>
          <cell r="I1015" t="str">
            <v>N</v>
          </cell>
          <cell r="J1015" t="str">
            <v>68102</v>
          </cell>
          <cell r="K1015" t="str">
            <v>0</v>
          </cell>
          <cell r="L1015" t="str">
            <v>N</v>
          </cell>
          <cell r="M1015" t="str">
            <v>0</v>
          </cell>
          <cell r="N1015" t="b">
            <v>1</v>
          </cell>
          <cell r="S1015" t="str">
            <v>Real Estate (IHC)</v>
          </cell>
        </row>
        <row r="1016">
          <cell r="C1016" t="str">
            <v>6512</v>
          </cell>
          <cell r="D1016" t="str">
            <v>Operators of Nonresidential Buildings</v>
          </cell>
          <cell r="E1016" t="str">
            <v>N</v>
          </cell>
          <cell r="F1016" t="str">
            <v>Y</v>
          </cell>
          <cell r="G1016" t="str">
            <v>Y</v>
          </cell>
          <cell r="H1016" t="str">
            <v>FI</v>
          </cell>
          <cell r="I1016" t="str">
            <v>N</v>
          </cell>
          <cell r="J1016" t="str">
            <v>68102</v>
          </cell>
          <cell r="K1016" t="str">
            <v>0</v>
          </cell>
          <cell r="L1016" t="str">
            <v>N</v>
          </cell>
          <cell r="M1016" t="str">
            <v>0</v>
          </cell>
          <cell r="N1016" t="b">
            <v>1</v>
          </cell>
          <cell r="S1016" t="str">
            <v>Real Estate (IHC)</v>
          </cell>
        </row>
        <row r="1017">
          <cell r="C1017" t="str">
            <v>7033</v>
          </cell>
          <cell r="D1017" t="str">
            <v>Recreational Vehicle Parks and Campsites</v>
          </cell>
          <cell r="E1017" t="str">
            <v>N</v>
          </cell>
          <cell r="F1017" t="str">
            <v>Y</v>
          </cell>
          <cell r="H1017" t="str">
            <v>FI</v>
          </cell>
          <cell r="I1017" t="str">
            <v>N</v>
          </cell>
          <cell r="J1017" t="str">
            <v>68102</v>
          </cell>
          <cell r="K1017" t="str">
            <v>0</v>
          </cell>
          <cell r="L1017" t="str">
            <v>N</v>
          </cell>
          <cell r="M1017" t="str">
            <v>0</v>
          </cell>
          <cell r="N1017" t="b">
            <v>1</v>
          </cell>
          <cell r="S1017" t="str">
            <v>Real Estate</v>
          </cell>
        </row>
        <row r="1018">
          <cell r="C1018" t="str">
            <v>68103</v>
          </cell>
          <cell r="D1018" t="str">
            <v>Buying, selling, renting and operating of self-owned or leased real estate – land</v>
          </cell>
          <cell r="E1018" t="str">
            <v>N</v>
          </cell>
          <cell r="F1018" t="str">
            <v>Y</v>
          </cell>
          <cell r="H1018" t="str">
            <v>FI</v>
          </cell>
          <cell r="I1018" t="str">
            <v>N</v>
          </cell>
          <cell r="J1018" t="str">
            <v>68103</v>
          </cell>
          <cell r="K1018" t="str">
            <v>0</v>
          </cell>
          <cell r="L1018" t="str">
            <v>N</v>
          </cell>
          <cell r="M1018" t="str">
            <v>0</v>
          </cell>
          <cell r="N1018" t="b">
            <v>1</v>
          </cell>
          <cell r="R1018" t="str">
            <v>Real Estate- IHC??</v>
          </cell>
          <cell r="S1018" t="str">
            <v>Real Estate</v>
          </cell>
        </row>
        <row r="1019">
          <cell r="C1019" t="str">
            <v>68104</v>
          </cell>
          <cell r="D1019" t="str">
            <v>Development of building projects for own operation, i.e. for renting of space in these buildings</v>
          </cell>
          <cell r="E1019" t="str">
            <v>N</v>
          </cell>
          <cell r="F1019" t="str">
            <v>Y</v>
          </cell>
          <cell r="H1019" t="str">
            <v>FI</v>
          </cell>
          <cell r="I1019" t="str">
            <v>N</v>
          </cell>
          <cell r="J1019" t="str">
            <v>68104</v>
          </cell>
          <cell r="K1019" t="str">
            <v>0</v>
          </cell>
          <cell r="L1019" t="str">
            <v>N</v>
          </cell>
          <cell r="M1019" t="str">
            <v>0</v>
          </cell>
          <cell r="N1019" t="b">
            <v>1</v>
          </cell>
          <cell r="R1019" t="str">
            <v>Real Estate- IHC??</v>
          </cell>
          <cell r="S1019" t="str">
            <v>Real Estate</v>
          </cell>
        </row>
        <row r="1020">
          <cell r="C1020" t="str">
            <v>68109</v>
          </cell>
          <cell r="D1020" t="str">
            <v>Real estate activities with own or leased property n.e.c.</v>
          </cell>
          <cell r="E1020" t="str">
            <v>N</v>
          </cell>
          <cell r="F1020" t="str">
            <v>Y</v>
          </cell>
          <cell r="H1020" t="str">
            <v>FI</v>
          </cell>
          <cell r="I1020" t="str">
            <v>N</v>
          </cell>
          <cell r="J1020" t="str">
            <v>68109</v>
          </cell>
          <cell r="K1020" t="str">
            <v>0</v>
          </cell>
          <cell r="L1020" t="str">
            <v>N</v>
          </cell>
          <cell r="M1020" t="str">
            <v>0</v>
          </cell>
          <cell r="N1020" t="b">
            <v>1</v>
          </cell>
          <cell r="R1020" t="str">
            <v>Real Estate- IHC??</v>
          </cell>
          <cell r="S1020" t="str">
            <v>Real Estate</v>
          </cell>
        </row>
        <row r="1021">
          <cell r="C1021" t="str">
            <v>6531</v>
          </cell>
          <cell r="D1021" t="str">
            <v>Real Estate Agents and Managers</v>
          </cell>
          <cell r="E1021" t="str">
            <v>N</v>
          </cell>
          <cell r="F1021" t="str">
            <v>Y</v>
          </cell>
          <cell r="G1021" t="str">
            <v>Y</v>
          </cell>
          <cell r="H1021" t="str">
            <v>FI</v>
          </cell>
          <cell r="I1021" t="str">
            <v>N</v>
          </cell>
          <cell r="J1021" t="str">
            <v>68201</v>
          </cell>
          <cell r="K1021" t="str">
            <v>0</v>
          </cell>
          <cell r="L1021" t="str">
            <v>N</v>
          </cell>
          <cell r="M1021" t="str">
            <v>0</v>
          </cell>
          <cell r="N1021" t="b">
            <v>1</v>
          </cell>
          <cell r="Q1021" t="str">
            <v>Y</v>
          </cell>
          <cell r="S1021" t="str">
            <v>Real Estate (IHC)</v>
          </cell>
        </row>
        <row r="1022">
          <cell r="C1022" t="str">
            <v>68202</v>
          </cell>
          <cell r="D1022" t="str">
            <v>Management of real estate on a fee or contract basis</v>
          </cell>
          <cell r="E1022" t="str">
            <v>N</v>
          </cell>
          <cell r="F1022" t="str">
            <v>Y</v>
          </cell>
          <cell r="G1022" t="str">
            <v>Y</v>
          </cell>
          <cell r="H1022" t="str">
            <v>FI</v>
          </cell>
          <cell r="I1022" t="str">
            <v>N</v>
          </cell>
          <cell r="J1022" t="str">
            <v>68202</v>
          </cell>
          <cell r="K1022" t="str">
            <v>0</v>
          </cell>
          <cell r="L1022" t="str">
            <v>N</v>
          </cell>
          <cell r="M1022" t="str">
            <v>0</v>
          </cell>
          <cell r="N1022" t="b">
            <v>1</v>
          </cell>
          <cell r="S1022" t="str">
            <v>Real Estate (IHC)</v>
          </cell>
        </row>
        <row r="1023">
          <cell r="C1023" t="str">
            <v>68203</v>
          </cell>
          <cell r="D1023" t="str">
            <v>Appraisal services for real estate</v>
          </cell>
          <cell r="E1023" t="str">
            <v>N</v>
          </cell>
          <cell r="F1023" t="str">
            <v>Y</v>
          </cell>
          <cell r="G1023" t="str">
            <v>Y</v>
          </cell>
          <cell r="H1023" t="str">
            <v>FI</v>
          </cell>
          <cell r="I1023" t="str">
            <v>N</v>
          </cell>
          <cell r="J1023" t="str">
            <v>68203</v>
          </cell>
          <cell r="K1023" t="str">
            <v>0</v>
          </cell>
          <cell r="L1023" t="str">
            <v>N</v>
          </cell>
          <cell r="M1023" t="str">
            <v>0</v>
          </cell>
          <cell r="N1023" t="b">
            <v>1</v>
          </cell>
          <cell r="R1023" t="str">
            <v>IHC? Description in sheet 1</v>
          </cell>
          <cell r="S1023" t="str">
            <v>Real Estate</v>
          </cell>
        </row>
        <row r="1024">
          <cell r="C1024" t="str">
            <v>6719</v>
          </cell>
          <cell r="D1024" t="str">
            <v>Offices of Holding Companies, N.E.C.</v>
          </cell>
          <cell r="E1024" t="str">
            <v>N</v>
          </cell>
          <cell r="F1024" t="str">
            <v>Y</v>
          </cell>
          <cell r="G1024" t="str">
            <v>Y</v>
          </cell>
          <cell r="H1024" t="str">
            <v>FI</v>
          </cell>
          <cell r="I1024" t="str">
            <v>N</v>
          </cell>
          <cell r="J1024" t="str">
            <v>68209</v>
          </cell>
          <cell r="K1024" t="str">
            <v>0</v>
          </cell>
          <cell r="L1024" t="str">
            <v>N</v>
          </cell>
          <cell r="M1024" t="str">
            <v>0</v>
          </cell>
          <cell r="N1024" t="b">
            <v>1</v>
          </cell>
          <cell r="Q1024" t="str">
            <v>Y</v>
          </cell>
          <cell r="S1024" t="str">
            <v>Real Estate (IHC)</v>
          </cell>
        </row>
        <row r="1025">
          <cell r="C1025" t="str">
            <v>6517</v>
          </cell>
          <cell r="D1025" t="str">
            <v>Lessors of Railroad Property</v>
          </cell>
          <cell r="E1025" t="str">
            <v>N</v>
          </cell>
          <cell r="F1025" t="str">
            <v>Y</v>
          </cell>
          <cell r="H1025" t="str">
            <v>FI</v>
          </cell>
          <cell r="I1025" t="str">
            <v>N</v>
          </cell>
          <cell r="J1025" t="str">
            <v>68209</v>
          </cell>
          <cell r="K1025" t="str">
            <v>0</v>
          </cell>
          <cell r="L1025" t="str">
            <v>N</v>
          </cell>
          <cell r="M1025" t="str">
            <v>0</v>
          </cell>
          <cell r="N1025" t="b">
            <v>1</v>
          </cell>
          <cell r="S1025" t="str">
            <v>Real Estate</v>
          </cell>
        </row>
        <row r="1026">
          <cell r="C1026" t="str">
            <v>6513</v>
          </cell>
          <cell r="D1026" t="str">
            <v>Operators of Apartment Buildings</v>
          </cell>
          <cell r="E1026" t="str">
            <v>N</v>
          </cell>
          <cell r="F1026" t="str">
            <v>Y</v>
          </cell>
          <cell r="G1026" t="str">
            <v>Y</v>
          </cell>
          <cell r="H1026" t="str">
            <v>FI</v>
          </cell>
          <cell r="I1026" t="str">
            <v>N</v>
          </cell>
          <cell r="J1026" t="str">
            <v>68209</v>
          </cell>
          <cell r="K1026" t="str">
            <v>0</v>
          </cell>
          <cell r="L1026" t="str">
            <v>N</v>
          </cell>
          <cell r="M1026" t="str">
            <v>0</v>
          </cell>
          <cell r="N1026" t="b">
            <v>1</v>
          </cell>
          <cell r="S1026" t="str">
            <v>Real Estate (IHC)</v>
          </cell>
        </row>
        <row r="1027">
          <cell r="C1027" t="str">
            <v>6514</v>
          </cell>
          <cell r="D1027" t="str">
            <v>Operators of Dwellings Other Than Apartment Buildings</v>
          </cell>
          <cell r="E1027" t="str">
            <v>A</v>
          </cell>
          <cell r="F1027" t="str">
            <v>Y</v>
          </cell>
          <cell r="G1027" t="str">
            <v>Y</v>
          </cell>
          <cell r="H1027" t="str">
            <v>FI</v>
          </cell>
          <cell r="I1027" t="str">
            <v>N</v>
          </cell>
          <cell r="J1027" t="str">
            <v>68209</v>
          </cell>
          <cell r="K1027" t="str">
            <v>0</v>
          </cell>
          <cell r="L1027" t="str">
            <v>A</v>
          </cell>
          <cell r="M1027" t="str">
            <v>0</v>
          </cell>
          <cell r="N1027" t="b">
            <v>1</v>
          </cell>
          <cell r="S1027" t="str">
            <v>Real estate activities on a fee or contract basis n.e.c.</v>
          </cell>
        </row>
        <row r="1028">
          <cell r="C1028" t="str">
            <v>6515</v>
          </cell>
          <cell r="D1028" t="str">
            <v>Operators of Residential Mobile Home Sites ---Leasing of Building Space to Federal Government by Owners</v>
          </cell>
          <cell r="E1028" t="str">
            <v>A</v>
          </cell>
          <cell r="F1028" t="str">
            <v>Y</v>
          </cell>
          <cell r="H1028" t="str">
            <v>FI</v>
          </cell>
          <cell r="I1028" t="str">
            <v>N</v>
          </cell>
          <cell r="J1028" t="str">
            <v>68209</v>
          </cell>
          <cell r="K1028" t="str">
            <v>0</v>
          </cell>
          <cell r="L1028" t="str">
            <v>A</v>
          </cell>
          <cell r="M1028" t="str">
            <v>0</v>
          </cell>
          <cell r="N1028" t="b">
            <v>1</v>
          </cell>
          <cell r="S1028" t="str">
            <v>Real estate activities on a fee or contract basis n.e.c.</v>
          </cell>
        </row>
        <row r="1029">
          <cell r="C1029" t="str">
            <v>6519</v>
          </cell>
          <cell r="D1029" t="str">
            <v>Lessors of Real Property, N.E.C.</v>
          </cell>
          <cell r="E1029" t="str">
            <v>N</v>
          </cell>
          <cell r="F1029" t="str">
            <v>Y</v>
          </cell>
          <cell r="G1029" t="str">
            <v>Y</v>
          </cell>
          <cell r="H1029" t="str">
            <v>FI</v>
          </cell>
          <cell r="I1029" t="str">
            <v>N</v>
          </cell>
          <cell r="J1029" t="str">
            <v>68209</v>
          </cell>
          <cell r="K1029" t="str">
            <v>0</v>
          </cell>
          <cell r="L1029" t="str">
            <v>N</v>
          </cell>
          <cell r="M1029" t="str">
            <v>0</v>
          </cell>
          <cell r="N1029" t="b">
            <v>1</v>
          </cell>
          <cell r="Q1029" t="str">
            <v>Y</v>
          </cell>
          <cell r="S1029" t="str">
            <v>Real Estate (IHC)</v>
          </cell>
        </row>
        <row r="1030">
          <cell r="C1030" t="str">
            <v>6552</v>
          </cell>
          <cell r="D1030" t="str">
            <v>Land Subdividers and Developers, Except Cemeteries</v>
          </cell>
          <cell r="E1030" t="str">
            <v>T</v>
          </cell>
          <cell r="F1030" t="str">
            <v>Y</v>
          </cell>
          <cell r="G1030" t="str">
            <v>Y</v>
          </cell>
          <cell r="H1030" t="str">
            <v>FI</v>
          </cell>
          <cell r="I1030" t="str">
            <v>N</v>
          </cell>
          <cell r="J1030" t="str">
            <v>68209</v>
          </cell>
          <cell r="K1030" t="str">
            <v>0</v>
          </cell>
          <cell r="L1030" t="str">
            <v>N</v>
          </cell>
          <cell r="M1030" t="str">
            <v>0</v>
          </cell>
          <cell r="N1030" t="b">
            <v>0</v>
          </cell>
          <cell r="Q1030" t="str">
            <v>Y</v>
          </cell>
          <cell r="R1030" t="str">
            <v>Different tagging between "secured" &amp; "unsecured"</v>
          </cell>
          <cell r="S1030" t="str">
            <v>Real Estate (IHC)</v>
          </cell>
        </row>
        <row r="1031">
          <cell r="C1031" t="str">
            <v>6553</v>
          </cell>
          <cell r="D1031" t="str">
            <v>Cemetery Subdividers and Developers</v>
          </cell>
          <cell r="E1031" t="str">
            <v>T</v>
          </cell>
          <cell r="F1031" t="str">
            <v>N</v>
          </cell>
          <cell r="H1031" t="str">
            <v>FI</v>
          </cell>
          <cell r="I1031" t="str">
            <v>N</v>
          </cell>
          <cell r="J1031" t="str">
            <v>68209</v>
          </cell>
          <cell r="K1031" t="str">
            <v>10</v>
          </cell>
          <cell r="L1031" t="str">
            <v>N</v>
          </cell>
          <cell r="M1031" t="str">
            <v>0</v>
          </cell>
          <cell r="N1031" t="b">
            <v>0</v>
          </cell>
          <cell r="Q1031" t="str">
            <v>Y</v>
          </cell>
          <cell r="R1031" t="str">
            <v>Different tagging between "secured" &amp; "unsecured"</v>
          </cell>
          <cell r="S1031" t="str">
            <v>Real estate activities on a fee or contract basis n.e.c.</v>
          </cell>
        </row>
        <row r="1032">
          <cell r="C1032" t="str">
            <v>6722</v>
          </cell>
          <cell r="D1032" t="str">
            <v>Management Investment Offices, Open-End</v>
          </cell>
          <cell r="E1032" t="str">
            <v>N</v>
          </cell>
          <cell r="F1032" t="str">
            <v>Y</v>
          </cell>
          <cell r="G1032" t="str">
            <v>Y</v>
          </cell>
          <cell r="H1032" t="str">
            <v>FI</v>
          </cell>
          <cell r="I1032" t="str">
            <v>N</v>
          </cell>
          <cell r="J1032" t="str">
            <v>68209</v>
          </cell>
          <cell r="K1032" t="str">
            <v>0</v>
          </cell>
          <cell r="L1032" t="str">
            <v>N</v>
          </cell>
          <cell r="M1032" t="str">
            <v>0</v>
          </cell>
          <cell r="N1032" t="b">
            <v>1</v>
          </cell>
          <cell r="S1032" t="str">
            <v>Real Estate (IHC)</v>
          </cell>
        </row>
        <row r="1033">
          <cell r="C1033" t="str">
            <v>6798</v>
          </cell>
          <cell r="D1033" t="str">
            <v>Real Estate Investment Trusts</v>
          </cell>
          <cell r="E1033" t="str">
            <v>N</v>
          </cell>
          <cell r="F1033" t="str">
            <v>Y</v>
          </cell>
          <cell r="G1033" t="str">
            <v>Y</v>
          </cell>
          <cell r="H1033" t="str">
            <v>FI</v>
          </cell>
          <cell r="I1033" t="str">
            <v>N</v>
          </cell>
          <cell r="J1033" t="str">
            <v>68209</v>
          </cell>
          <cell r="K1033" t="str">
            <v>0</v>
          </cell>
          <cell r="L1033" t="str">
            <v>N</v>
          </cell>
          <cell r="M1033" t="str">
            <v>0</v>
          </cell>
          <cell r="N1033" t="b">
            <v>1</v>
          </cell>
          <cell r="Q1033" t="str">
            <v>Y</v>
          </cell>
          <cell r="S1033" t="str">
            <v>Real Estate (IHC)</v>
          </cell>
        </row>
        <row r="1034">
          <cell r="C1034" t="str">
            <v>6799</v>
          </cell>
          <cell r="D1034" t="str">
            <v>Investors, N.E.C.</v>
          </cell>
          <cell r="E1034" t="str">
            <v>N</v>
          </cell>
          <cell r="F1034" t="str">
            <v>Y</v>
          </cell>
          <cell r="G1034" t="str">
            <v>Y</v>
          </cell>
          <cell r="H1034" t="str">
            <v>FI</v>
          </cell>
          <cell r="I1034" t="str">
            <v>N</v>
          </cell>
          <cell r="J1034" t="str">
            <v>68209</v>
          </cell>
          <cell r="K1034" t="str">
            <v>0</v>
          </cell>
          <cell r="L1034" t="str">
            <v>N</v>
          </cell>
          <cell r="M1034" t="str">
            <v>0</v>
          </cell>
          <cell r="N1034" t="b">
            <v>1</v>
          </cell>
          <cell r="Q1034" t="str">
            <v>Y</v>
          </cell>
          <cell r="S1034" t="str">
            <v>Real Estate (IHC)</v>
          </cell>
        </row>
        <row r="1035">
          <cell r="C1035" t="str">
            <v>9131</v>
          </cell>
          <cell r="D1035" t="str">
            <v>Executive and legislative combined</v>
          </cell>
          <cell r="E1035" t="str">
            <v>A</v>
          </cell>
          <cell r="F1035" t="str">
            <v>Y</v>
          </cell>
          <cell r="G1035" t="str">
            <v>N</v>
          </cell>
          <cell r="H1035" t="str">
            <v>FI</v>
          </cell>
          <cell r="I1035" t="str">
            <v>N</v>
          </cell>
          <cell r="J1035" t="str">
            <v>69XXX</v>
          </cell>
          <cell r="K1035" t="str">
            <v>0</v>
          </cell>
          <cell r="L1035" t="str">
            <v>A</v>
          </cell>
          <cell r="M1035" t="str">
            <v>0</v>
          </cell>
          <cell r="N1035" t="b">
            <v>1</v>
          </cell>
          <cell r="S1035" t="str">
            <v>Legal and accounting activities</v>
          </cell>
        </row>
        <row r="1036">
          <cell r="C1036" t="str">
            <v>7291</v>
          </cell>
          <cell r="D1036" t="str">
            <v>Tax Return Preparation Services</v>
          </cell>
          <cell r="E1036" t="str">
            <v>T</v>
          </cell>
          <cell r="F1036" t="str">
            <v>Y</v>
          </cell>
          <cell r="H1036" t="str">
            <v>FI</v>
          </cell>
          <cell r="I1036" t="str">
            <v>N</v>
          </cell>
          <cell r="J1036" t="str">
            <v>69XXX</v>
          </cell>
          <cell r="K1036" t="str">
            <v>25</v>
          </cell>
          <cell r="L1036" t="str">
            <v>T</v>
          </cell>
          <cell r="M1036" t="str">
            <v>25</v>
          </cell>
          <cell r="N1036" t="b">
            <v>1</v>
          </cell>
          <cell r="O1036" t="str">
            <v>Y</v>
          </cell>
          <cell r="S1036" t="str">
            <v>Professional Services (Legal, accounting, medical &amp; engineering)</v>
          </cell>
        </row>
        <row r="1037">
          <cell r="C1037" t="str">
            <v>8721</v>
          </cell>
          <cell r="D1037" t="str">
            <v>Accounting, Auditing, and Bookkeeping Services</v>
          </cell>
          <cell r="E1037" t="str">
            <v>T</v>
          </cell>
          <cell r="F1037" t="str">
            <v>Y</v>
          </cell>
          <cell r="H1037" t="str">
            <v>FI</v>
          </cell>
          <cell r="I1037" t="str">
            <v>N</v>
          </cell>
          <cell r="J1037" t="str">
            <v>69XXX</v>
          </cell>
          <cell r="K1037" t="str">
            <v>25</v>
          </cell>
          <cell r="L1037" t="str">
            <v>T</v>
          </cell>
          <cell r="M1037" t="str">
            <v>25</v>
          </cell>
          <cell r="N1037" t="b">
            <v>1</v>
          </cell>
          <cell r="S1037" t="str">
            <v>Professional Services (Legal, accounting, medical &amp; engineering)</v>
          </cell>
        </row>
        <row r="1038">
          <cell r="C1038" t="str">
            <v>8111</v>
          </cell>
          <cell r="D1038" t="str">
            <v>Legal Services</v>
          </cell>
          <cell r="E1038" t="str">
            <v>T</v>
          </cell>
          <cell r="F1038" t="str">
            <v>Y</v>
          </cell>
          <cell r="H1038" t="str">
            <v>FI</v>
          </cell>
          <cell r="I1038" t="str">
            <v>N</v>
          </cell>
          <cell r="J1038" t="str">
            <v>69XXX</v>
          </cell>
          <cell r="K1038" t="str">
            <v>25</v>
          </cell>
          <cell r="L1038" t="str">
            <v>T</v>
          </cell>
          <cell r="M1038" t="str">
            <v>25</v>
          </cell>
          <cell r="N1038" t="b">
            <v>1</v>
          </cell>
          <cell r="O1038" t="str">
            <v>Y</v>
          </cell>
          <cell r="S1038" t="str">
            <v>Professional Services (Legal, accounting, medical &amp; engineering)</v>
          </cell>
        </row>
        <row r="1039">
          <cell r="C1039" t="str">
            <v>70100</v>
          </cell>
          <cell r="D1039" t="str">
            <v>Activities of head offices</v>
          </cell>
          <cell r="E1039" t="str">
            <v>N</v>
          </cell>
          <cell r="F1039" t="str">
            <v>Y</v>
          </cell>
          <cell r="G1039" t="str">
            <v>Y</v>
          </cell>
          <cell r="H1039" t="str">
            <v>FI</v>
          </cell>
          <cell r="I1039" t="str">
            <v>N</v>
          </cell>
          <cell r="J1039" t="str">
            <v>70100</v>
          </cell>
          <cell r="K1039" t="str">
            <v>0</v>
          </cell>
          <cell r="L1039" t="str">
            <v>N</v>
          </cell>
          <cell r="M1039" t="str">
            <v>0</v>
          </cell>
          <cell r="N1039" t="b">
            <v>1</v>
          </cell>
          <cell r="S1039" t="str">
            <v>Real Estate (IHC)</v>
          </cell>
        </row>
        <row r="1040">
          <cell r="C1040" t="str">
            <v>8748</v>
          </cell>
          <cell r="D1040" t="str">
            <v>Business Consulting Services, N.E.C.</v>
          </cell>
          <cell r="E1040" t="str">
            <v>T</v>
          </cell>
          <cell r="F1040" t="str">
            <v>Y</v>
          </cell>
          <cell r="H1040" t="str">
            <v>FI</v>
          </cell>
          <cell r="I1040" t="str">
            <v>N</v>
          </cell>
          <cell r="J1040" t="str">
            <v>70201</v>
          </cell>
          <cell r="K1040" t="str">
            <v>16</v>
          </cell>
          <cell r="L1040" t="str">
            <v>T</v>
          </cell>
          <cell r="M1040" t="str">
            <v>16</v>
          </cell>
          <cell r="N1040" t="b">
            <v>1</v>
          </cell>
          <cell r="R1040" t="str">
            <v>??</v>
          </cell>
          <cell r="S1040" t="str">
            <v>Consultancy  &amp; research development activities</v>
          </cell>
        </row>
        <row r="1041">
          <cell r="C1041" t="str">
            <v>8741</v>
          </cell>
          <cell r="D1041" t="str">
            <v>Management Services</v>
          </cell>
          <cell r="E1041" t="str">
            <v>T</v>
          </cell>
          <cell r="F1041" t="str">
            <v>Y</v>
          </cell>
          <cell r="H1041" t="str">
            <v>FI</v>
          </cell>
          <cell r="I1041" t="str">
            <v>N</v>
          </cell>
          <cell r="J1041" t="str">
            <v>70209</v>
          </cell>
          <cell r="K1041" t="str">
            <v>16</v>
          </cell>
          <cell r="L1041" t="str">
            <v>T</v>
          </cell>
          <cell r="M1041" t="str">
            <v>16</v>
          </cell>
          <cell r="N1041" t="b">
            <v>1</v>
          </cell>
          <cell r="S1041" t="str">
            <v>Consultancy  &amp; research development activities</v>
          </cell>
        </row>
        <row r="1042">
          <cell r="C1042" t="str">
            <v>8742</v>
          </cell>
          <cell r="D1042" t="str">
            <v>Management Consulting Services</v>
          </cell>
          <cell r="E1042" t="str">
            <v>T</v>
          </cell>
          <cell r="F1042" t="str">
            <v>Y</v>
          </cell>
          <cell r="H1042" t="str">
            <v>FI</v>
          </cell>
          <cell r="I1042" t="str">
            <v>N</v>
          </cell>
          <cell r="J1042" t="str">
            <v>70209</v>
          </cell>
          <cell r="K1042" t="str">
            <v>16</v>
          </cell>
          <cell r="L1042" t="str">
            <v>T</v>
          </cell>
          <cell r="M1042" t="str">
            <v>16</v>
          </cell>
          <cell r="N1042" t="b">
            <v>1</v>
          </cell>
          <cell r="S1042" t="str">
            <v>Consultancy  &amp; research development activities</v>
          </cell>
        </row>
        <row r="1043">
          <cell r="C1043" t="str">
            <v>70202</v>
          </cell>
          <cell r="D1043" t="str">
            <v>Human resource consultancy services</v>
          </cell>
          <cell r="E1043" t="str">
            <v>T</v>
          </cell>
          <cell r="F1043" t="str">
            <v>Y</v>
          </cell>
          <cell r="H1043" t="str">
            <v>FI</v>
          </cell>
          <cell r="I1043" t="str">
            <v>N</v>
          </cell>
          <cell r="J1043" t="str">
            <v>70202</v>
          </cell>
          <cell r="K1043" t="str">
            <v>16</v>
          </cell>
          <cell r="L1043" t="str">
            <v>T</v>
          </cell>
          <cell r="M1043" t="str">
            <v>16</v>
          </cell>
          <cell r="N1043" t="b">
            <v>1</v>
          </cell>
          <cell r="S1043" t="str">
            <v>Consultancy  &amp; research development activities</v>
          </cell>
        </row>
        <row r="1044">
          <cell r="C1044" t="str">
            <v>8743</v>
          </cell>
          <cell r="D1044" t="str">
            <v>Public Relations Services</v>
          </cell>
          <cell r="E1044" t="str">
            <v>T</v>
          </cell>
          <cell r="F1044" t="str">
            <v>Y</v>
          </cell>
          <cell r="H1044" t="str">
            <v>FI</v>
          </cell>
          <cell r="I1044" t="str">
            <v>N</v>
          </cell>
          <cell r="J1044" t="str">
            <v>70203</v>
          </cell>
          <cell r="K1044" t="str">
            <v>16</v>
          </cell>
          <cell r="L1044" t="str">
            <v>T</v>
          </cell>
          <cell r="M1044" t="str">
            <v>16</v>
          </cell>
          <cell r="N1044" t="b">
            <v>1</v>
          </cell>
          <cell r="S1044" t="str">
            <v>Consultancy  &amp; research development activities</v>
          </cell>
        </row>
        <row r="1045">
          <cell r="C1045" t="str">
            <v>7381</v>
          </cell>
          <cell r="D1045" t="str">
            <v>Detective, Guard, and Armored Car Services</v>
          </cell>
          <cell r="E1045" t="str">
            <v>T</v>
          </cell>
          <cell r="F1045" t="str">
            <v>Y</v>
          </cell>
          <cell r="H1045" t="str">
            <v>FI</v>
          </cell>
          <cell r="I1045" t="str">
            <v>N</v>
          </cell>
          <cell r="J1045" t="str">
            <v>70209</v>
          </cell>
          <cell r="K1045" t="str">
            <v>12</v>
          </cell>
          <cell r="L1045" t="str">
            <v>T</v>
          </cell>
          <cell r="M1045" t="str">
            <v>12</v>
          </cell>
          <cell r="N1045" t="b">
            <v>1</v>
          </cell>
          <cell r="S1045" t="str">
            <v>Consultancy  &amp; research development activities</v>
          </cell>
        </row>
        <row r="1046">
          <cell r="C1046" t="str">
            <v>8999</v>
          </cell>
          <cell r="D1046" t="str">
            <v>Services, N.E.C.</v>
          </cell>
          <cell r="E1046" t="str">
            <v>N</v>
          </cell>
          <cell r="F1046" t="str">
            <v>Y</v>
          </cell>
          <cell r="H1046" t="str">
            <v>FI</v>
          </cell>
          <cell r="I1046" t="str">
            <v>N</v>
          </cell>
          <cell r="J1046" t="str">
            <v>70209</v>
          </cell>
          <cell r="K1046" t="str">
            <v>12</v>
          </cell>
          <cell r="L1046" t="str">
            <v>N</v>
          </cell>
          <cell r="M1046" t="str">
            <v>0</v>
          </cell>
          <cell r="N1046" t="b">
            <v>1</v>
          </cell>
          <cell r="S1046" t="str">
            <v>Consultancy  &amp; research development activities</v>
          </cell>
        </row>
        <row r="1047">
          <cell r="C1047" t="str">
            <v>7382</v>
          </cell>
          <cell r="D1047" t="str">
            <v>Security Systems Services</v>
          </cell>
          <cell r="E1047" t="str">
            <v>T</v>
          </cell>
          <cell r="F1047" t="str">
            <v>Y</v>
          </cell>
          <cell r="H1047" t="str">
            <v>FI</v>
          </cell>
          <cell r="I1047" t="str">
            <v>N</v>
          </cell>
          <cell r="J1047" t="str">
            <v>70209</v>
          </cell>
          <cell r="K1047" t="str">
            <v>12</v>
          </cell>
          <cell r="L1047" t="str">
            <v>T</v>
          </cell>
          <cell r="M1047" t="str">
            <v>12</v>
          </cell>
          <cell r="N1047" t="b">
            <v>1</v>
          </cell>
          <cell r="S1047" t="str">
            <v>Consultancy  &amp; research development activities</v>
          </cell>
        </row>
        <row r="1048">
          <cell r="C1048" t="str">
            <v>8744</v>
          </cell>
          <cell r="D1048" t="str">
            <v>Facilities Support Management Services</v>
          </cell>
          <cell r="E1048" t="str">
            <v>T</v>
          </cell>
          <cell r="F1048" t="str">
            <v>Y</v>
          </cell>
          <cell r="H1048" t="str">
            <v>FI</v>
          </cell>
          <cell r="I1048" t="str">
            <v>N</v>
          </cell>
          <cell r="J1048" t="str">
            <v>70209</v>
          </cell>
          <cell r="K1048" t="str">
            <v>16</v>
          </cell>
          <cell r="L1048" t="str">
            <v>T</v>
          </cell>
          <cell r="M1048" t="str">
            <v>16</v>
          </cell>
          <cell r="N1048" t="b">
            <v>1</v>
          </cell>
          <cell r="S1048" t="str">
            <v>Consultancy  &amp; research development activities</v>
          </cell>
        </row>
        <row r="1049">
          <cell r="C1049" t="str">
            <v>8711</v>
          </cell>
          <cell r="D1049" t="str">
            <v>Engineering Services:</v>
          </cell>
          <cell r="E1049" t="str">
            <v>T</v>
          </cell>
          <cell r="F1049" t="str">
            <v>Y</v>
          </cell>
          <cell r="H1049" t="str">
            <v>FI</v>
          </cell>
          <cell r="I1049" t="str">
            <v>N</v>
          </cell>
          <cell r="J1049" t="str">
            <v>7110X</v>
          </cell>
          <cell r="K1049" t="str">
            <v>25</v>
          </cell>
          <cell r="L1049" t="str">
            <v>T</v>
          </cell>
          <cell r="M1049" t="str">
            <v>25</v>
          </cell>
          <cell r="N1049" t="b">
            <v>1</v>
          </cell>
          <cell r="S1049" t="str">
            <v>Professional Services (Legal, accounting, medical &amp; engineering)</v>
          </cell>
        </row>
        <row r="1050">
          <cell r="C1050" t="str">
            <v>892210</v>
          </cell>
          <cell r="D1050" t="str">
            <v>Engineering technical services</v>
          </cell>
          <cell r="E1050" t="str">
            <v>T</v>
          </cell>
          <cell r="F1050" t="str">
            <v>Y</v>
          </cell>
          <cell r="H1050" t="str">
            <v>FI</v>
          </cell>
          <cell r="I1050" t="str">
            <v>N</v>
          </cell>
          <cell r="J1050" t="str">
            <v>7110X</v>
          </cell>
          <cell r="K1050" t="str">
            <v>25</v>
          </cell>
          <cell r="L1050" t="str">
            <v>T</v>
          </cell>
          <cell r="M1050" t="str">
            <v>25</v>
          </cell>
          <cell r="N1050" t="b">
            <v>1</v>
          </cell>
          <cell r="S1050" t="str">
            <v>Professional Services (Legal, accounting, medical &amp; engineering)</v>
          </cell>
        </row>
        <row r="1051">
          <cell r="C1051" t="str">
            <v>8712</v>
          </cell>
          <cell r="D1051" t="str">
            <v>Architectural Services (Other Than Naval)</v>
          </cell>
          <cell r="E1051" t="str">
            <v>T</v>
          </cell>
          <cell r="F1051" t="str">
            <v>Y</v>
          </cell>
          <cell r="H1051" t="str">
            <v>FI</v>
          </cell>
          <cell r="I1051" t="str">
            <v>N</v>
          </cell>
          <cell r="J1051" t="str">
            <v>7110X</v>
          </cell>
          <cell r="K1051" t="str">
            <v>25</v>
          </cell>
          <cell r="L1051" t="str">
            <v>T</v>
          </cell>
          <cell r="M1051" t="str">
            <v>25</v>
          </cell>
          <cell r="N1051" t="b">
            <v>1</v>
          </cell>
          <cell r="S1051" t="str">
            <v>Professional Services (Legal, accounting, medical &amp; engineering)</v>
          </cell>
        </row>
        <row r="1052">
          <cell r="C1052" t="str">
            <v>8713</v>
          </cell>
          <cell r="D1052" t="str">
            <v>Surveying Services</v>
          </cell>
          <cell r="E1052" t="str">
            <v>T</v>
          </cell>
          <cell r="F1052" t="str">
            <v>Y</v>
          </cell>
          <cell r="H1052" t="str">
            <v>FI</v>
          </cell>
          <cell r="I1052" t="str">
            <v>N</v>
          </cell>
          <cell r="J1052" t="str">
            <v>7110X</v>
          </cell>
          <cell r="K1052" t="str">
            <v>25</v>
          </cell>
          <cell r="L1052" t="str">
            <v>T</v>
          </cell>
          <cell r="M1052" t="str">
            <v>25</v>
          </cell>
          <cell r="N1052" t="b">
            <v>1</v>
          </cell>
          <cell r="S1052" t="str">
            <v>Professional Services (Legal, accounting, medical &amp; engineering)</v>
          </cell>
        </row>
        <row r="1053">
          <cell r="C1053" t="str">
            <v>71200</v>
          </cell>
          <cell r="D1053" t="str">
            <v>Technical testing and analysis</v>
          </cell>
          <cell r="E1053" t="str">
            <v>T</v>
          </cell>
          <cell r="F1053" t="str">
            <v>Y</v>
          </cell>
          <cell r="H1053" t="str">
            <v>FI</v>
          </cell>
          <cell r="I1053" t="str">
            <v>N</v>
          </cell>
          <cell r="J1053" t="str">
            <v>71200</v>
          </cell>
          <cell r="K1053" t="str">
            <v>25</v>
          </cell>
          <cell r="L1053" t="str">
            <v>T</v>
          </cell>
          <cell r="M1053" t="str">
            <v>25</v>
          </cell>
          <cell r="N1053" t="b">
            <v>1</v>
          </cell>
          <cell r="S1053" t="str">
            <v>Professional Services (Legal, accounting, medical &amp; engineering)</v>
          </cell>
        </row>
        <row r="1054">
          <cell r="C1054" t="str">
            <v>72102</v>
          </cell>
          <cell r="D1054" t="str">
            <v>Research and development on engineering and technology</v>
          </cell>
          <cell r="E1054" t="str">
            <v>T</v>
          </cell>
          <cell r="F1054" t="str">
            <v>Y</v>
          </cell>
          <cell r="H1054" t="str">
            <v>FI</v>
          </cell>
          <cell r="I1054" t="str">
            <v>N</v>
          </cell>
          <cell r="J1054" t="str">
            <v>72102</v>
          </cell>
          <cell r="K1054" t="str">
            <v>25</v>
          </cell>
          <cell r="L1054" t="str">
            <v>T</v>
          </cell>
          <cell r="M1054" t="str">
            <v>25</v>
          </cell>
          <cell r="N1054" t="b">
            <v>1</v>
          </cell>
          <cell r="S1054" t="str">
            <v>Consultancy  &amp; research development activities</v>
          </cell>
        </row>
        <row r="1055">
          <cell r="C1055" t="str">
            <v>72103</v>
          </cell>
          <cell r="D1055" t="str">
            <v>Research and development on medical sciences</v>
          </cell>
          <cell r="E1055" t="str">
            <v>T</v>
          </cell>
          <cell r="F1055" t="str">
            <v>Y</v>
          </cell>
          <cell r="H1055" t="str">
            <v>FI</v>
          </cell>
          <cell r="I1055" t="str">
            <v>N</v>
          </cell>
          <cell r="J1055" t="str">
            <v>72103</v>
          </cell>
          <cell r="K1055" t="str">
            <v>25</v>
          </cell>
          <cell r="L1055" t="str">
            <v>T</v>
          </cell>
          <cell r="M1055" t="str">
            <v>25</v>
          </cell>
          <cell r="N1055" t="b">
            <v>1</v>
          </cell>
          <cell r="S1055" t="str">
            <v>Consultancy  &amp; research development activities</v>
          </cell>
        </row>
        <row r="1056">
          <cell r="C1056" t="str">
            <v>72105</v>
          </cell>
          <cell r="D1056" t="str">
            <v>Research and development on agricultural sciences</v>
          </cell>
          <cell r="E1056" t="str">
            <v>T</v>
          </cell>
          <cell r="F1056" t="str">
            <v>Y</v>
          </cell>
          <cell r="H1056" t="str">
            <v>FI</v>
          </cell>
          <cell r="I1056" t="str">
            <v>N</v>
          </cell>
          <cell r="J1056" t="str">
            <v>72105</v>
          </cell>
          <cell r="K1056" t="str">
            <v>25</v>
          </cell>
          <cell r="L1056" t="str">
            <v>T</v>
          </cell>
          <cell r="M1056" t="str">
            <v>25</v>
          </cell>
          <cell r="N1056" t="b">
            <v>1</v>
          </cell>
          <cell r="S1056" t="str">
            <v>Consultancy  &amp; research development activities</v>
          </cell>
        </row>
        <row r="1057">
          <cell r="C1057" t="str">
            <v>72106</v>
          </cell>
          <cell r="D1057" t="str">
            <v>Research and development on Information Communication Technology (ICT)</v>
          </cell>
          <cell r="E1057" t="str">
            <v>T</v>
          </cell>
          <cell r="F1057" t="str">
            <v>Y</v>
          </cell>
          <cell r="H1057" t="str">
            <v>FI</v>
          </cell>
          <cell r="I1057" t="str">
            <v>N</v>
          </cell>
          <cell r="J1057" t="str">
            <v>72106</v>
          </cell>
          <cell r="K1057" t="str">
            <v>25</v>
          </cell>
          <cell r="L1057" t="str">
            <v>T</v>
          </cell>
          <cell r="M1057" t="str">
            <v>25</v>
          </cell>
          <cell r="N1057" t="b">
            <v>1</v>
          </cell>
          <cell r="S1057" t="str">
            <v>Consultancy  &amp; research development activities</v>
          </cell>
        </row>
        <row r="1058">
          <cell r="C1058" t="str">
            <v>72199</v>
          </cell>
          <cell r="D1058" t="str">
            <v>Other research and experimental development on natural sciences and engineering</v>
          </cell>
          <cell r="E1058" t="str">
            <v>T</v>
          </cell>
          <cell r="F1058" t="str">
            <v>Y</v>
          </cell>
          <cell r="H1058" t="str">
            <v>FI</v>
          </cell>
          <cell r="I1058" t="str">
            <v>N</v>
          </cell>
          <cell r="J1058" t="str">
            <v>72199</v>
          </cell>
          <cell r="K1058" t="str">
            <v>25</v>
          </cell>
          <cell r="L1058" t="str">
            <v>T</v>
          </cell>
          <cell r="M1058" t="str">
            <v>25</v>
          </cell>
          <cell r="N1058" t="b">
            <v>1</v>
          </cell>
          <cell r="S1058" t="str">
            <v>Consultancy  &amp; research development activities</v>
          </cell>
        </row>
        <row r="1059">
          <cell r="C1059" t="str">
            <v>8731</v>
          </cell>
          <cell r="D1059" t="str">
            <v>Commercial Physical and Biological Research:</v>
          </cell>
          <cell r="E1059" t="str">
            <v>T</v>
          </cell>
          <cell r="F1059" t="str">
            <v>Y</v>
          </cell>
          <cell r="H1059" t="str">
            <v>FI</v>
          </cell>
          <cell r="I1059" t="str">
            <v>N</v>
          </cell>
          <cell r="J1059" t="str">
            <v>72199</v>
          </cell>
          <cell r="K1059" t="str">
            <v>16</v>
          </cell>
          <cell r="L1059" t="str">
            <v>T</v>
          </cell>
          <cell r="M1059" t="str">
            <v>16</v>
          </cell>
          <cell r="N1059" t="b">
            <v>1</v>
          </cell>
          <cell r="R1059" t="str">
            <v>Propose to categorize as "Other professional, scientific and technical activities"</v>
          </cell>
          <cell r="S1059" t="str">
            <v>Other professional, scientific and technical activities</v>
          </cell>
        </row>
        <row r="1060">
          <cell r="C1060" t="str">
            <v>9661</v>
          </cell>
          <cell r="D1060" t="str">
            <v>Space research and technology</v>
          </cell>
          <cell r="E1060" t="str">
            <v>A</v>
          </cell>
          <cell r="F1060" t="str">
            <v>Y</v>
          </cell>
          <cell r="G1060" t="str">
            <v>N</v>
          </cell>
          <cell r="H1060" t="str">
            <v>FI</v>
          </cell>
          <cell r="I1060" t="str">
            <v>N</v>
          </cell>
          <cell r="J1060" t="str">
            <v>72199</v>
          </cell>
          <cell r="K1060" t="str">
            <v>0</v>
          </cell>
          <cell r="L1060" t="str">
            <v>A</v>
          </cell>
          <cell r="M1060" t="str">
            <v>0</v>
          </cell>
          <cell r="N1060" t="b">
            <v>1</v>
          </cell>
          <cell r="S1060" t="str">
            <v>Other research and experimental development on natural sciences and engineering</v>
          </cell>
        </row>
        <row r="1061">
          <cell r="C1061" t="str">
            <v>8734</v>
          </cell>
          <cell r="D1061" t="str">
            <v>Testing Laboratories</v>
          </cell>
          <cell r="E1061" t="str">
            <v>T</v>
          </cell>
          <cell r="F1061" t="str">
            <v>Y</v>
          </cell>
          <cell r="H1061" t="str">
            <v>FI</v>
          </cell>
          <cell r="I1061" t="str">
            <v>N</v>
          </cell>
          <cell r="J1061" t="str">
            <v>72199</v>
          </cell>
          <cell r="K1061" t="str">
            <v>16</v>
          </cell>
          <cell r="L1061" t="str">
            <v>T</v>
          </cell>
          <cell r="M1061" t="str">
            <v>16</v>
          </cell>
          <cell r="N1061" t="b">
            <v>1</v>
          </cell>
          <cell r="R1061" t="str">
            <v>Propose to categorize as "Other professional, scientific and technical activities"</v>
          </cell>
          <cell r="S1061" t="str">
            <v>Other professional, scientific and technical activities</v>
          </cell>
        </row>
        <row r="1062">
          <cell r="C1062" t="str">
            <v>8733</v>
          </cell>
          <cell r="D1062" t="str">
            <v>Noncommercial Research Organizations</v>
          </cell>
          <cell r="E1062" t="str">
            <v>T</v>
          </cell>
          <cell r="F1062" t="str">
            <v>Y</v>
          </cell>
          <cell r="H1062" t="str">
            <v>FI</v>
          </cell>
          <cell r="I1062" t="str">
            <v>N</v>
          </cell>
          <cell r="J1062" t="str">
            <v>72199</v>
          </cell>
          <cell r="K1062" t="str">
            <v>16</v>
          </cell>
          <cell r="L1062" t="str">
            <v>T</v>
          </cell>
          <cell r="M1062" t="str">
            <v>16</v>
          </cell>
          <cell r="N1062" t="b">
            <v>1</v>
          </cell>
          <cell r="R1062" t="str">
            <v>Propose to categorize as "Other professional, scientific and technical activities"</v>
          </cell>
          <cell r="S1062" t="str">
            <v>Other professional, scientific and technical activities</v>
          </cell>
        </row>
        <row r="1063">
          <cell r="C1063" t="str">
            <v>8732</v>
          </cell>
          <cell r="D1063" t="str">
            <v>Commercial Economic, Sociological, and Educational Research</v>
          </cell>
          <cell r="E1063" t="str">
            <v>T</v>
          </cell>
          <cell r="F1063" t="str">
            <v>Y</v>
          </cell>
          <cell r="H1063" t="str">
            <v>FI</v>
          </cell>
          <cell r="I1063" t="str">
            <v>N</v>
          </cell>
          <cell r="J1063" t="str">
            <v>7220X</v>
          </cell>
          <cell r="K1063" t="str">
            <v>16</v>
          </cell>
          <cell r="L1063" t="str">
            <v>T</v>
          </cell>
          <cell r="M1063" t="str">
            <v>16</v>
          </cell>
          <cell r="N1063" t="b">
            <v>1</v>
          </cell>
          <cell r="R1063" t="str">
            <v>Propose to categorize as "Other professional, scientific and technical activities"</v>
          </cell>
          <cell r="S1063" t="str">
            <v>Other professional, scientific and technical activities</v>
          </cell>
        </row>
        <row r="1064">
          <cell r="C1064" t="str">
            <v>7319</v>
          </cell>
          <cell r="D1064" t="str">
            <v>Advertising, N.E.C.</v>
          </cell>
          <cell r="E1064" t="str">
            <v>T</v>
          </cell>
          <cell r="F1064" t="str">
            <v>Y</v>
          </cell>
          <cell r="H1064" t="str">
            <v>FI</v>
          </cell>
          <cell r="I1064" t="str">
            <v>N</v>
          </cell>
          <cell r="J1064" t="str">
            <v>73100</v>
          </cell>
          <cell r="K1064" t="str">
            <v>12</v>
          </cell>
          <cell r="L1064" t="str">
            <v>T</v>
          </cell>
          <cell r="M1064" t="str">
            <v>12</v>
          </cell>
          <cell r="N1064" t="b">
            <v>1</v>
          </cell>
          <cell r="S1064" t="str">
            <v>Advertising and market research</v>
          </cell>
        </row>
        <row r="1065">
          <cell r="C1065" t="str">
            <v>7331</v>
          </cell>
          <cell r="D1065" t="str">
            <v>Direct Mail Advertising Services</v>
          </cell>
          <cell r="E1065" t="str">
            <v>T</v>
          </cell>
          <cell r="F1065" t="str">
            <v>Y</v>
          </cell>
          <cell r="H1065" t="str">
            <v>FI</v>
          </cell>
          <cell r="I1065" t="str">
            <v>N</v>
          </cell>
          <cell r="J1065" t="str">
            <v>73100</v>
          </cell>
          <cell r="K1065" t="str">
            <v>12</v>
          </cell>
          <cell r="L1065" t="str">
            <v>T</v>
          </cell>
          <cell r="M1065" t="str">
            <v>12</v>
          </cell>
          <cell r="N1065" t="b">
            <v>1</v>
          </cell>
          <cell r="S1065" t="str">
            <v>Advertising and market research</v>
          </cell>
        </row>
        <row r="1066">
          <cell r="C1066" t="str">
            <v>7313</v>
          </cell>
          <cell r="D1066" t="str">
            <v>Radio, Television, and Publishers' Advertising Representatives</v>
          </cell>
          <cell r="E1066" t="str">
            <v>T</v>
          </cell>
          <cell r="F1066" t="str">
            <v>Y</v>
          </cell>
          <cell r="H1066" t="str">
            <v>FI</v>
          </cell>
          <cell r="I1066" t="str">
            <v>N</v>
          </cell>
          <cell r="J1066" t="str">
            <v>73100</v>
          </cell>
          <cell r="K1066" t="str">
            <v>12</v>
          </cell>
          <cell r="L1066" t="str">
            <v>T</v>
          </cell>
          <cell r="M1066" t="str">
            <v>12</v>
          </cell>
          <cell r="N1066" t="b">
            <v>1</v>
          </cell>
          <cell r="S1066" t="str">
            <v>Advertising and market research</v>
          </cell>
        </row>
        <row r="1067">
          <cell r="C1067" t="str">
            <v>7311</v>
          </cell>
          <cell r="D1067" t="str">
            <v>Advertising Agencies</v>
          </cell>
          <cell r="E1067" t="str">
            <v>T</v>
          </cell>
          <cell r="F1067" t="str">
            <v>Y</v>
          </cell>
          <cell r="H1067" t="str">
            <v>FI</v>
          </cell>
          <cell r="I1067" t="str">
            <v>N</v>
          </cell>
          <cell r="J1067" t="str">
            <v>73100</v>
          </cell>
          <cell r="K1067" t="str">
            <v>12</v>
          </cell>
          <cell r="L1067" t="str">
            <v>T</v>
          </cell>
          <cell r="M1067" t="str">
            <v>12</v>
          </cell>
          <cell r="N1067" t="b">
            <v>1</v>
          </cell>
          <cell r="S1067" t="str">
            <v>Advertising and market research</v>
          </cell>
        </row>
        <row r="1068">
          <cell r="C1068" t="str">
            <v>7312</v>
          </cell>
          <cell r="D1068" t="str">
            <v>Outdoor Advertising Services</v>
          </cell>
          <cell r="E1068" t="str">
            <v>T</v>
          </cell>
          <cell r="F1068" t="str">
            <v>Y</v>
          </cell>
          <cell r="H1068" t="str">
            <v>FI</v>
          </cell>
          <cell r="I1068" t="str">
            <v>N</v>
          </cell>
          <cell r="J1068" t="str">
            <v>73100</v>
          </cell>
          <cell r="K1068" t="str">
            <v>12</v>
          </cell>
          <cell r="L1068" t="str">
            <v>T</v>
          </cell>
          <cell r="M1068" t="str">
            <v>12</v>
          </cell>
          <cell r="N1068" t="b">
            <v>1</v>
          </cell>
          <cell r="S1068" t="str">
            <v>Advertising and market research</v>
          </cell>
        </row>
        <row r="1069">
          <cell r="C1069" t="str">
            <v>73200</v>
          </cell>
          <cell r="D1069" t="str">
            <v>Market research and public opinion polling</v>
          </cell>
          <cell r="E1069" t="str">
            <v>T</v>
          </cell>
          <cell r="F1069" t="str">
            <v>Y</v>
          </cell>
          <cell r="H1069" t="str">
            <v>FI</v>
          </cell>
          <cell r="I1069" t="str">
            <v>N</v>
          </cell>
          <cell r="J1069" t="str">
            <v>73200</v>
          </cell>
          <cell r="K1069" t="str">
            <v>12</v>
          </cell>
          <cell r="L1069" t="str">
            <v>T</v>
          </cell>
          <cell r="M1069" t="str">
            <v>12</v>
          </cell>
          <cell r="N1069" t="b">
            <v>1</v>
          </cell>
          <cell r="S1069" t="str">
            <v>Administrative and Support Service Activities (rent/leasing/office administrative)</v>
          </cell>
        </row>
        <row r="1070">
          <cell r="C1070" t="str">
            <v>7218</v>
          </cell>
          <cell r="D1070" t="str">
            <v>Industrial Launderers</v>
          </cell>
          <cell r="E1070" t="str">
            <v>N</v>
          </cell>
          <cell r="F1070" t="str">
            <v>Y</v>
          </cell>
          <cell r="H1070" t="str">
            <v>FI</v>
          </cell>
          <cell r="I1070" t="str">
            <v>N</v>
          </cell>
          <cell r="J1070" t="str">
            <v>74XXX</v>
          </cell>
          <cell r="K1070" t="str">
            <v>12</v>
          </cell>
          <cell r="L1070" t="str">
            <v>N</v>
          </cell>
          <cell r="M1070" t="str">
            <v>0</v>
          </cell>
          <cell r="N1070" t="b">
            <v>1</v>
          </cell>
          <cell r="S1070" t="str">
            <v>Other professional, scientific and technical activities</v>
          </cell>
        </row>
        <row r="1071">
          <cell r="C1071" t="str">
            <v>7334</v>
          </cell>
          <cell r="D1071" t="str">
            <v>Photocopying and Duplicating Services</v>
          </cell>
          <cell r="E1071" t="str">
            <v>T</v>
          </cell>
          <cell r="F1071" t="str">
            <v>Y</v>
          </cell>
          <cell r="H1071" t="str">
            <v>FI</v>
          </cell>
          <cell r="I1071" t="str">
            <v>N</v>
          </cell>
          <cell r="J1071" t="str">
            <v>74XXX</v>
          </cell>
          <cell r="K1071" t="str">
            <v>16</v>
          </cell>
          <cell r="L1071" t="str">
            <v>T</v>
          </cell>
          <cell r="M1071" t="str">
            <v>16</v>
          </cell>
          <cell r="N1071" t="b">
            <v>1</v>
          </cell>
          <cell r="S1071" t="str">
            <v>Other professional, scientific and technical activities</v>
          </cell>
        </row>
        <row r="1072">
          <cell r="C1072" t="str">
            <v>7336</v>
          </cell>
          <cell r="D1072" t="str">
            <v>Commercial Art and Graphic Design</v>
          </cell>
          <cell r="E1072" t="str">
            <v>T</v>
          </cell>
          <cell r="F1072" t="str">
            <v>Y</v>
          </cell>
          <cell r="H1072" t="str">
            <v>FI</v>
          </cell>
          <cell r="I1072" t="str">
            <v>N</v>
          </cell>
          <cell r="J1072" t="str">
            <v>74XXX</v>
          </cell>
          <cell r="K1072" t="str">
            <v>16</v>
          </cell>
          <cell r="L1072" t="str">
            <v>T</v>
          </cell>
          <cell r="M1072" t="str">
            <v>16</v>
          </cell>
          <cell r="N1072" t="b">
            <v>1</v>
          </cell>
          <cell r="S1072" t="str">
            <v>Other professional, scientific and technical activities</v>
          </cell>
        </row>
        <row r="1073">
          <cell r="C1073" t="str">
            <v>7338</v>
          </cell>
          <cell r="D1073" t="str">
            <v>Secretarial and Court Reporting Services</v>
          </cell>
          <cell r="E1073" t="str">
            <v>T</v>
          </cell>
          <cell r="F1073" t="str">
            <v>Y</v>
          </cell>
          <cell r="H1073" t="str">
            <v>FI</v>
          </cell>
          <cell r="I1073" t="str">
            <v>N</v>
          </cell>
          <cell r="J1073" t="str">
            <v>74XXX</v>
          </cell>
          <cell r="K1073" t="str">
            <v>16</v>
          </cell>
          <cell r="L1073" t="str">
            <v>T</v>
          </cell>
          <cell r="M1073" t="str">
            <v>16</v>
          </cell>
          <cell r="N1073" t="b">
            <v>1</v>
          </cell>
          <cell r="S1073" t="str">
            <v>Other professional, scientific and technical activities</v>
          </cell>
        </row>
        <row r="1074">
          <cell r="C1074" t="str">
            <v>7342</v>
          </cell>
          <cell r="D1074" t="str">
            <v>Disinfecting and Pest Control Services</v>
          </cell>
          <cell r="E1074" t="str">
            <v>T</v>
          </cell>
          <cell r="F1074" t="str">
            <v>Y</v>
          </cell>
          <cell r="H1074" t="str">
            <v>FI</v>
          </cell>
          <cell r="I1074" t="str">
            <v>N</v>
          </cell>
          <cell r="J1074" t="str">
            <v>74XXX</v>
          </cell>
          <cell r="K1074" t="str">
            <v>12</v>
          </cell>
          <cell r="L1074" t="str">
            <v>T</v>
          </cell>
          <cell r="M1074" t="str">
            <v>12</v>
          </cell>
          <cell r="N1074" t="b">
            <v>1</v>
          </cell>
          <cell r="S1074" t="str">
            <v>Other professional, scientific and technical activities</v>
          </cell>
        </row>
        <row r="1075">
          <cell r="C1075" t="str">
            <v>7363</v>
          </cell>
          <cell r="D1075" t="str">
            <v>Help Supply Services</v>
          </cell>
          <cell r="E1075" t="str">
            <v>A</v>
          </cell>
          <cell r="F1075" t="str">
            <v>Y</v>
          </cell>
          <cell r="H1075" t="str">
            <v>FI</v>
          </cell>
          <cell r="I1075" t="str">
            <v>N</v>
          </cell>
          <cell r="J1075" t="str">
            <v>74XXX</v>
          </cell>
          <cell r="K1075" t="str">
            <v>0</v>
          </cell>
          <cell r="L1075" t="str">
            <v>A</v>
          </cell>
          <cell r="M1075" t="str">
            <v>0</v>
          </cell>
          <cell r="N1075" t="b">
            <v>1</v>
          </cell>
          <cell r="S1075" t="str">
            <v>Other professional, scientific and technical activities</v>
          </cell>
        </row>
        <row r="1076">
          <cell r="C1076" t="str">
            <v>7383</v>
          </cell>
          <cell r="D1076" t="str">
            <v>News Syndicates</v>
          </cell>
          <cell r="E1076" t="str">
            <v>T</v>
          </cell>
          <cell r="F1076" t="str">
            <v>Y</v>
          </cell>
          <cell r="H1076" t="str">
            <v>FI</v>
          </cell>
          <cell r="I1076" t="str">
            <v>N</v>
          </cell>
          <cell r="J1076" t="str">
            <v>74XXX</v>
          </cell>
          <cell r="K1076" t="str">
            <v>12</v>
          </cell>
          <cell r="L1076" t="str">
            <v>T</v>
          </cell>
          <cell r="M1076" t="str">
            <v>12</v>
          </cell>
          <cell r="N1076" t="b">
            <v>1</v>
          </cell>
          <cell r="S1076" t="str">
            <v>Other professional, scientific and technical activities</v>
          </cell>
        </row>
        <row r="1077">
          <cell r="C1077" t="str">
            <v>7384</v>
          </cell>
          <cell r="D1077" t="str">
            <v>Photofinishing Laboratories</v>
          </cell>
          <cell r="E1077" t="str">
            <v>T</v>
          </cell>
          <cell r="F1077" t="str">
            <v>Y</v>
          </cell>
          <cell r="H1077" t="str">
            <v>FI</v>
          </cell>
          <cell r="I1077" t="str">
            <v>N</v>
          </cell>
          <cell r="J1077" t="str">
            <v>74XXX</v>
          </cell>
          <cell r="K1077" t="str">
            <v>12</v>
          </cell>
          <cell r="L1077" t="str">
            <v>T</v>
          </cell>
          <cell r="M1077" t="str">
            <v>12</v>
          </cell>
          <cell r="N1077" t="b">
            <v>1</v>
          </cell>
          <cell r="S1077" t="str">
            <v>Other professional, scientific and technical activities</v>
          </cell>
        </row>
        <row r="1078">
          <cell r="C1078" t="str">
            <v>7389</v>
          </cell>
          <cell r="D1078" t="str">
            <v>Business Services, N.E.C.</v>
          </cell>
          <cell r="E1078" t="str">
            <v>T</v>
          </cell>
          <cell r="F1078" t="str">
            <v>Y</v>
          </cell>
          <cell r="H1078" t="str">
            <v>FI</v>
          </cell>
          <cell r="I1078" t="str">
            <v>N</v>
          </cell>
          <cell r="J1078" t="str">
            <v>74XXX</v>
          </cell>
          <cell r="K1078" t="str">
            <v>12</v>
          </cell>
          <cell r="L1078" t="str">
            <v>T</v>
          </cell>
          <cell r="M1078" t="str">
            <v>12</v>
          </cell>
          <cell r="N1078" t="b">
            <v>1</v>
          </cell>
          <cell r="S1078" t="str">
            <v>Other professional, scientific and technical activities</v>
          </cell>
        </row>
        <row r="1079">
          <cell r="C1079" t="str">
            <v>7549</v>
          </cell>
          <cell r="D1079" t="str">
            <v>Automotive Services, Except Repair and Carwashes</v>
          </cell>
          <cell r="E1079" t="str">
            <v>T</v>
          </cell>
          <cell r="F1079" t="str">
            <v>Y</v>
          </cell>
          <cell r="H1079" t="str">
            <v>FI</v>
          </cell>
          <cell r="I1079" t="str">
            <v>N</v>
          </cell>
          <cell r="J1079" t="str">
            <v>74XXX</v>
          </cell>
          <cell r="K1079" t="str">
            <v>12</v>
          </cell>
          <cell r="L1079" t="str">
            <v>T</v>
          </cell>
          <cell r="M1079" t="str">
            <v>12</v>
          </cell>
          <cell r="N1079" t="b">
            <v>1</v>
          </cell>
          <cell r="S1079" t="str">
            <v>Other professional, scientific and technical activities</v>
          </cell>
        </row>
        <row r="1080">
          <cell r="C1080" t="str">
            <v>7335</v>
          </cell>
          <cell r="D1080" t="str">
            <v>Commercial Photography</v>
          </cell>
          <cell r="E1080" t="str">
            <v>T</v>
          </cell>
          <cell r="F1080" t="str">
            <v>Y</v>
          </cell>
          <cell r="H1080" t="str">
            <v>FI</v>
          </cell>
          <cell r="I1080" t="str">
            <v>N</v>
          </cell>
          <cell r="J1080" t="str">
            <v>74XXX</v>
          </cell>
          <cell r="K1080" t="str">
            <v>12</v>
          </cell>
          <cell r="L1080" t="str">
            <v>T</v>
          </cell>
          <cell r="M1080" t="str">
            <v>12</v>
          </cell>
          <cell r="N1080" t="b">
            <v>1</v>
          </cell>
          <cell r="S1080" t="str">
            <v>Other professional, scientific and technical activities</v>
          </cell>
        </row>
        <row r="1081">
          <cell r="C1081" t="str">
            <v>7216</v>
          </cell>
          <cell r="D1081" t="str">
            <v>Drycleaning Plants, Except Rug Cleaning</v>
          </cell>
          <cell r="E1081" t="str">
            <v>N</v>
          </cell>
          <cell r="F1081" t="str">
            <v>Y</v>
          </cell>
          <cell r="H1081" t="str">
            <v>FI</v>
          </cell>
          <cell r="I1081" t="str">
            <v>N</v>
          </cell>
          <cell r="J1081" t="str">
            <v>74XXX</v>
          </cell>
          <cell r="K1081" t="str">
            <v>12</v>
          </cell>
          <cell r="L1081" t="str">
            <v>N</v>
          </cell>
          <cell r="M1081" t="str">
            <v>0</v>
          </cell>
          <cell r="N1081" t="b">
            <v>1</v>
          </cell>
          <cell r="S1081" t="str">
            <v>Other professional, scientific and technical activities</v>
          </cell>
        </row>
        <row r="1082">
          <cell r="C1082" t="str">
            <v>7349</v>
          </cell>
          <cell r="D1082" t="str">
            <v>Building Cleaning and Maintenance Services, N.E.C.</v>
          </cell>
          <cell r="E1082" t="str">
            <v>T</v>
          </cell>
          <cell r="F1082" t="str">
            <v>Y</v>
          </cell>
          <cell r="H1082" t="str">
            <v>FI</v>
          </cell>
          <cell r="I1082" t="str">
            <v>N</v>
          </cell>
          <cell r="J1082" t="str">
            <v>74XXX</v>
          </cell>
          <cell r="K1082" t="str">
            <v>12</v>
          </cell>
          <cell r="L1082" t="str">
            <v>T</v>
          </cell>
          <cell r="M1082" t="str">
            <v>12</v>
          </cell>
          <cell r="N1082" t="b">
            <v>1</v>
          </cell>
          <cell r="S1082" t="str">
            <v>Other professional, scientific and technical activities</v>
          </cell>
        </row>
        <row r="1083">
          <cell r="C1083" t="str">
            <v>0752</v>
          </cell>
          <cell r="D1083" t="str">
            <v>Animal Specialty Services, Except Veterinary</v>
          </cell>
          <cell r="E1083" t="str">
            <v>N</v>
          </cell>
          <cell r="F1083" t="str">
            <v>Y</v>
          </cell>
          <cell r="H1083" t="str">
            <v>AG</v>
          </cell>
          <cell r="J1083" t="str">
            <v>7110X</v>
          </cell>
          <cell r="K1083" t="str">
            <v>12</v>
          </cell>
          <cell r="L1083" t="str">
            <v>N</v>
          </cell>
          <cell r="M1083" t="str">
            <v>0</v>
          </cell>
          <cell r="N1083" t="b">
            <v>1</v>
          </cell>
          <cell r="R1083" t="str">
            <v>Description for 0752, should this retagged to other BNM sector?</v>
          </cell>
          <cell r="S1083" t="str">
            <v>Crops &amp; animal productions, hunting &amp; related service activities</v>
          </cell>
        </row>
        <row r="1084">
          <cell r="C1084" t="str">
            <v>0742</v>
          </cell>
          <cell r="D1084" t="str">
            <v>Veterinary Services for Animal Specialties</v>
          </cell>
          <cell r="E1084" t="str">
            <v>T</v>
          </cell>
          <cell r="F1084" t="str">
            <v>Y</v>
          </cell>
          <cell r="H1084" t="str">
            <v>AG</v>
          </cell>
          <cell r="J1084" t="str">
            <v>75000</v>
          </cell>
          <cell r="K1084" t="str">
            <v>12</v>
          </cell>
          <cell r="L1084" t="str">
            <v>T</v>
          </cell>
          <cell r="M1084" t="str">
            <v>12</v>
          </cell>
          <cell r="N1084" t="b">
            <v>1</v>
          </cell>
          <cell r="O1084" t="str">
            <v>Y</v>
          </cell>
          <cell r="R1084" t="str">
            <v>According to new BNM MSIC code, there is a code 75000 under "Professional, Scientific and Technical Activities", propose to tag this under this category</v>
          </cell>
          <cell r="S1084" t="str">
            <v>Crops &amp; animal productions, hunting &amp; related service activities</v>
          </cell>
        </row>
        <row r="1085">
          <cell r="C1085" t="str">
            <v>7710X</v>
          </cell>
          <cell r="D1085" t="str">
            <v>Renting and leasing of motor vehicles</v>
          </cell>
          <cell r="E1085" t="str">
            <v>T</v>
          </cell>
          <cell r="F1085" t="str">
            <v>Y</v>
          </cell>
          <cell r="H1085" t="str">
            <v>FI</v>
          </cell>
          <cell r="I1085" t="str">
            <v>N</v>
          </cell>
          <cell r="J1085" t="str">
            <v>7710X</v>
          </cell>
          <cell r="K1085" t="str">
            <v>12</v>
          </cell>
          <cell r="L1085" t="str">
            <v>T</v>
          </cell>
          <cell r="M1085" t="str">
            <v>12</v>
          </cell>
          <cell r="N1085" t="b">
            <v>1</v>
          </cell>
          <cell r="S1085" t="str">
            <v>Administrative and Support Service Activities (rent/leasing/office administrative)</v>
          </cell>
        </row>
        <row r="1086">
          <cell r="C1086" t="str">
            <v>832000</v>
          </cell>
          <cell r="D1086" t="str">
            <v>Renting and leasing of personal and household goods</v>
          </cell>
          <cell r="E1086" t="str">
            <v>T</v>
          </cell>
          <cell r="F1086" t="str">
            <v>Y</v>
          </cell>
          <cell r="H1086" t="str">
            <v>FI</v>
          </cell>
          <cell r="I1086" t="str">
            <v>N</v>
          </cell>
          <cell r="J1086" t="str">
            <v>772XX</v>
          </cell>
          <cell r="K1086" t="str">
            <v>12</v>
          </cell>
          <cell r="L1086" t="str">
            <v>T</v>
          </cell>
          <cell r="M1086" t="str">
            <v>12</v>
          </cell>
          <cell r="N1086" t="b">
            <v>1</v>
          </cell>
          <cell r="S1086" t="str">
            <v>Administrative and Support Service Activities (rent/leasing/office administrative)</v>
          </cell>
        </row>
        <row r="1087">
          <cell r="C1087" t="str">
            <v>832100</v>
          </cell>
          <cell r="D1087" t="str">
            <v>Renting and leasing of personal and household goods</v>
          </cell>
          <cell r="E1087" t="str">
            <v>T</v>
          </cell>
          <cell r="F1087" t="str">
            <v>Y</v>
          </cell>
          <cell r="H1087" t="str">
            <v>FI</v>
          </cell>
          <cell r="I1087" t="str">
            <v>N</v>
          </cell>
          <cell r="J1087" t="str">
            <v>772XX</v>
          </cell>
          <cell r="K1087" t="str">
            <v>12</v>
          </cell>
          <cell r="L1087" t="str">
            <v>T</v>
          </cell>
          <cell r="M1087" t="str">
            <v>12</v>
          </cell>
          <cell r="N1087" t="b">
            <v>1</v>
          </cell>
          <cell r="S1087" t="str">
            <v>Administrative and Support Service Activities (rent/leasing/office administrative)</v>
          </cell>
        </row>
        <row r="1088">
          <cell r="C1088" t="str">
            <v>7359</v>
          </cell>
          <cell r="D1088" t="str">
            <v>Equipment Rental and Leasing, N.E.C.</v>
          </cell>
          <cell r="E1088" t="str">
            <v>T</v>
          </cell>
          <cell r="F1088" t="str">
            <v>Y</v>
          </cell>
          <cell r="H1088" t="str">
            <v>FI</v>
          </cell>
          <cell r="I1088" t="str">
            <v>N</v>
          </cell>
          <cell r="J1088" t="str">
            <v>77301</v>
          </cell>
          <cell r="K1088" t="str">
            <v>12</v>
          </cell>
          <cell r="L1088" t="str">
            <v>T</v>
          </cell>
          <cell r="M1088" t="str">
            <v>12</v>
          </cell>
          <cell r="N1088" t="b">
            <v>1</v>
          </cell>
          <cell r="S1088" t="str">
            <v>Administrative and Support Service Activities (rent/leasing/office administrative)</v>
          </cell>
        </row>
        <row r="1089">
          <cell r="C1089" t="str">
            <v>7352</v>
          </cell>
          <cell r="D1089" t="str">
            <v>Medical Equipment Rental and Leasing</v>
          </cell>
          <cell r="E1089" t="str">
            <v>T</v>
          </cell>
          <cell r="F1089" t="str">
            <v>Y</v>
          </cell>
          <cell r="H1089" t="str">
            <v>FI</v>
          </cell>
          <cell r="I1089" t="str">
            <v>N</v>
          </cell>
          <cell r="J1089" t="str">
            <v>77301</v>
          </cell>
          <cell r="K1089" t="str">
            <v>12</v>
          </cell>
          <cell r="L1089" t="str">
            <v>T</v>
          </cell>
          <cell r="M1089" t="str">
            <v>12</v>
          </cell>
          <cell r="N1089" t="b">
            <v>1</v>
          </cell>
          <cell r="S1089" t="str">
            <v>Administrative and Support Service Activities (rent/leasing/office administrative)</v>
          </cell>
        </row>
        <row r="1090">
          <cell r="C1090" t="str">
            <v>7353</v>
          </cell>
          <cell r="D1090" t="str">
            <v>Heavy Construction Equipment Rental and Leasing</v>
          </cell>
          <cell r="E1090" t="str">
            <v>T</v>
          </cell>
          <cell r="F1090" t="str">
            <v>Y</v>
          </cell>
          <cell r="H1090" t="str">
            <v>FI</v>
          </cell>
          <cell r="I1090" t="str">
            <v>N</v>
          </cell>
          <cell r="J1090" t="str">
            <v>77301</v>
          </cell>
          <cell r="K1090" t="str">
            <v>12</v>
          </cell>
          <cell r="L1090" t="str">
            <v>T</v>
          </cell>
          <cell r="M1090" t="str">
            <v>12</v>
          </cell>
          <cell r="N1090" t="b">
            <v>1</v>
          </cell>
          <cell r="S1090" t="str">
            <v>Administrative and Support Service Activities (rent/leasing/office administrative)</v>
          </cell>
        </row>
        <row r="1091">
          <cell r="C1091" t="str">
            <v>77307</v>
          </cell>
          <cell r="D1091" t="str">
            <v>Rental and operational leasing of office machinery and equipment without operator</v>
          </cell>
          <cell r="E1091" t="str">
            <v>T</v>
          </cell>
          <cell r="F1091" t="str">
            <v>Y</v>
          </cell>
          <cell r="H1091" t="str">
            <v>FI</v>
          </cell>
          <cell r="I1091" t="str">
            <v>N</v>
          </cell>
          <cell r="J1091" t="str">
            <v>77307</v>
          </cell>
          <cell r="K1091" t="str">
            <v>12</v>
          </cell>
          <cell r="L1091" t="str">
            <v>T</v>
          </cell>
          <cell r="M1091" t="str">
            <v>12</v>
          </cell>
          <cell r="N1091" t="b">
            <v>1</v>
          </cell>
          <cell r="S1091" t="str">
            <v>Administrative and Support Service Activities (rent/leasing/office administrative)</v>
          </cell>
        </row>
        <row r="1092">
          <cell r="C1092" t="str">
            <v>4741</v>
          </cell>
          <cell r="D1092" t="str">
            <v>Rental of Railroad Cars</v>
          </cell>
          <cell r="E1092" t="str">
            <v>T</v>
          </cell>
          <cell r="F1092" t="str">
            <v>Y</v>
          </cell>
          <cell r="H1092" t="str">
            <v>FI</v>
          </cell>
          <cell r="I1092" t="str">
            <v>N</v>
          </cell>
          <cell r="J1092" t="str">
            <v>77399</v>
          </cell>
          <cell r="K1092" t="str">
            <v>12</v>
          </cell>
          <cell r="L1092" t="str">
            <v>T</v>
          </cell>
          <cell r="M1092" t="str">
            <v>12</v>
          </cell>
          <cell r="N1092" t="b">
            <v>1</v>
          </cell>
          <cell r="S1092" t="str">
            <v>Administrative and Support Service Activities (rent/leasing/office administrative)</v>
          </cell>
        </row>
        <row r="1093">
          <cell r="C1093" t="str">
            <v>7513</v>
          </cell>
          <cell r="D1093" t="str">
            <v>Truck Rental and Leasing, Without Drivers</v>
          </cell>
          <cell r="E1093" t="str">
            <v>T</v>
          </cell>
          <cell r="F1093" t="str">
            <v>Y</v>
          </cell>
          <cell r="H1093" t="str">
            <v>FI</v>
          </cell>
          <cell r="I1093" t="str">
            <v>N</v>
          </cell>
          <cell r="J1093" t="str">
            <v>77399</v>
          </cell>
          <cell r="K1093" t="str">
            <v>12</v>
          </cell>
          <cell r="L1093" t="str">
            <v>T</v>
          </cell>
          <cell r="M1093" t="str">
            <v>12</v>
          </cell>
          <cell r="N1093" t="b">
            <v>1</v>
          </cell>
          <cell r="S1093" t="str">
            <v>Administrative and Support Service Activities (rent/leasing/office administrative)</v>
          </cell>
        </row>
        <row r="1094">
          <cell r="C1094" t="str">
            <v>7514</v>
          </cell>
          <cell r="D1094" t="str">
            <v>Passenger Car Rental</v>
          </cell>
          <cell r="E1094" t="str">
            <v>T</v>
          </cell>
          <cell r="F1094" t="str">
            <v>Y</v>
          </cell>
          <cell r="H1094" t="str">
            <v>FI</v>
          </cell>
          <cell r="I1094" t="str">
            <v>N</v>
          </cell>
          <cell r="J1094" t="str">
            <v>77399</v>
          </cell>
          <cell r="K1094" t="str">
            <v>12</v>
          </cell>
          <cell r="L1094" t="str">
            <v>T</v>
          </cell>
          <cell r="M1094" t="str">
            <v>12</v>
          </cell>
          <cell r="N1094" t="b">
            <v>1</v>
          </cell>
          <cell r="S1094" t="str">
            <v>Administrative and Support Service Activities (rent/leasing/office administrative)</v>
          </cell>
        </row>
        <row r="1095">
          <cell r="C1095" t="str">
            <v>7515</v>
          </cell>
          <cell r="D1095" t="str">
            <v>Passenger Car Leasing</v>
          </cell>
          <cell r="E1095" t="str">
            <v>T</v>
          </cell>
          <cell r="F1095" t="str">
            <v>Y</v>
          </cell>
          <cell r="H1095" t="str">
            <v>FI</v>
          </cell>
          <cell r="I1095" t="str">
            <v>N</v>
          </cell>
          <cell r="J1095" t="str">
            <v>77399</v>
          </cell>
          <cell r="K1095" t="str">
            <v>12</v>
          </cell>
          <cell r="L1095" t="str">
            <v>T</v>
          </cell>
          <cell r="M1095" t="str">
            <v>12</v>
          </cell>
          <cell r="N1095" t="b">
            <v>1</v>
          </cell>
          <cell r="S1095" t="str">
            <v>Administrative and Support Service Activities (rent/leasing/office administrative)</v>
          </cell>
        </row>
        <row r="1096">
          <cell r="C1096" t="str">
            <v>7521</v>
          </cell>
          <cell r="D1096" t="str">
            <v>Automobile Parking</v>
          </cell>
          <cell r="E1096" t="str">
            <v>T</v>
          </cell>
          <cell r="F1096" t="str">
            <v>Y</v>
          </cell>
          <cell r="H1096" t="str">
            <v>FI</v>
          </cell>
          <cell r="I1096" t="str">
            <v>N</v>
          </cell>
          <cell r="J1096" t="str">
            <v>77399</v>
          </cell>
          <cell r="K1096" t="str">
            <v>12</v>
          </cell>
          <cell r="L1096" t="str">
            <v>T</v>
          </cell>
          <cell r="M1096" t="str">
            <v>12</v>
          </cell>
          <cell r="N1096" t="b">
            <v>1</v>
          </cell>
          <cell r="S1096" t="str">
            <v>Administrative and Support Service Activities (rent/leasing/office administrative)</v>
          </cell>
        </row>
        <row r="1097">
          <cell r="C1097" t="str">
            <v>7841</v>
          </cell>
          <cell r="D1097" t="str">
            <v>Video Tape Rental</v>
          </cell>
          <cell r="E1097" t="str">
            <v>N</v>
          </cell>
          <cell r="F1097" t="str">
            <v>N</v>
          </cell>
          <cell r="H1097" t="str">
            <v>ED</v>
          </cell>
          <cell r="I1097" t="str">
            <v>N</v>
          </cell>
          <cell r="J1097" t="str">
            <v>77307</v>
          </cell>
          <cell r="K1097" t="str">
            <v>12</v>
          </cell>
          <cell r="L1097" t="str">
            <v>N</v>
          </cell>
          <cell r="M1097" t="str">
            <v>0</v>
          </cell>
          <cell r="N1097" t="b">
            <v>1</v>
          </cell>
          <cell r="S1097" t="str">
            <v>Administrative and Support Service Activities (rent/leasing/office administrative)</v>
          </cell>
        </row>
        <row r="1098">
          <cell r="C1098" t="str">
            <v>77400</v>
          </cell>
          <cell r="D1098" t="str">
            <v>Leasing of intellectual property and similar products, except copyrighted works</v>
          </cell>
          <cell r="E1098" t="str">
            <v>T</v>
          </cell>
          <cell r="F1098" t="str">
            <v>Y</v>
          </cell>
          <cell r="H1098" t="str">
            <v>FI</v>
          </cell>
          <cell r="I1098" t="str">
            <v>N</v>
          </cell>
          <cell r="J1098" t="str">
            <v>77400</v>
          </cell>
          <cell r="K1098" t="str">
            <v>12</v>
          </cell>
          <cell r="L1098" t="str">
            <v>T</v>
          </cell>
          <cell r="M1098" t="str">
            <v>12</v>
          </cell>
          <cell r="N1098" t="b">
            <v>1</v>
          </cell>
          <cell r="S1098" t="str">
            <v>Administrative and Support Service Activities (rent/leasing/office administrative)</v>
          </cell>
        </row>
        <row r="1099">
          <cell r="C1099" t="str">
            <v>6794</v>
          </cell>
          <cell r="D1099" t="str">
            <v>Patent Owners and Lessors</v>
          </cell>
          <cell r="E1099" t="str">
            <v>T</v>
          </cell>
          <cell r="F1099" t="str">
            <v>Y</v>
          </cell>
          <cell r="H1099" t="str">
            <v>FI</v>
          </cell>
          <cell r="I1099" t="str">
            <v>N</v>
          </cell>
          <cell r="J1099" t="str">
            <v>74XXX</v>
          </cell>
          <cell r="K1099" t="str">
            <v>12</v>
          </cell>
          <cell r="L1099" t="str">
            <v>T</v>
          </cell>
          <cell r="M1099" t="str">
            <v>12</v>
          </cell>
          <cell r="N1099" t="b">
            <v>1</v>
          </cell>
          <cell r="S1099" t="str">
            <v>Other professional, scientific and technical activities</v>
          </cell>
        </row>
        <row r="1100">
          <cell r="C1100" t="str">
            <v>7361</v>
          </cell>
          <cell r="D1100" t="str">
            <v>Employment Agencies</v>
          </cell>
          <cell r="E1100" t="str">
            <v>T</v>
          </cell>
          <cell r="F1100" t="str">
            <v>Y</v>
          </cell>
          <cell r="G1100" t="str">
            <v>N</v>
          </cell>
          <cell r="H1100" t="str">
            <v>FI</v>
          </cell>
          <cell r="I1100" t="str">
            <v>N</v>
          </cell>
          <cell r="J1100" t="str">
            <v>78XXX</v>
          </cell>
          <cell r="K1100" t="str">
            <v>12</v>
          </cell>
          <cell r="L1100" t="str">
            <v>T</v>
          </cell>
          <cell r="M1100" t="str">
            <v>12</v>
          </cell>
          <cell r="N1100" t="b">
            <v>1</v>
          </cell>
          <cell r="S1100" t="str">
            <v>Other professional, scientific and technical activities</v>
          </cell>
        </row>
        <row r="1101">
          <cell r="C1101" t="str">
            <v>4724</v>
          </cell>
          <cell r="D1101" t="str">
            <v>Travel Agencies</v>
          </cell>
          <cell r="E1101" t="str">
            <v>T</v>
          </cell>
          <cell r="F1101" t="str">
            <v>Y</v>
          </cell>
          <cell r="H1101" t="str">
            <v>ED</v>
          </cell>
          <cell r="I1101" t="str">
            <v>N</v>
          </cell>
          <cell r="J1101" t="str">
            <v>79XXX</v>
          </cell>
          <cell r="K1101" t="str">
            <v>11</v>
          </cell>
          <cell r="L1101" t="str">
            <v>T</v>
          </cell>
          <cell r="M1101" t="str">
            <v>11</v>
          </cell>
          <cell r="N1101" t="b">
            <v>1</v>
          </cell>
          <cell r="S1101" t="str">
            <v>Transportation &amp; Logistics</v>
          </cell>
        </row>
        <row r="1102">
          <cell r="C1102" t="str">
            <v>4725</v>
          </cell>
          <cell r="D1102" t="str">
            <v>Tour Operators</v>
          </cell>
          <cell r="E1102" t="str">
            <v>T</v>
          </cell>
          <cell r="F1102" t="str">
            <v>Y</v>
          </cell>
          <cell r="H1102" t="str">
            <v>ED</v>
          </cell>
          <cell r="I1102" t="str">
            <v>N</v>
          </cell>
          <cell r="J1102" t="str">
            <v>79XXX</v>
          </cell>
          <cell r="K1102" t="str">
            <v>11</v>
          </cell>
          <cell r="L1102" t="str">
            <v>T</v>
          </cell>
          <cell r="M1102" t="str">
            <v>11</v>
          </cell>
          <cell r="N1102" t="b">
            <v>1</v>
          </cell>
          <cell r="S1102" t="str">
            <v>Transportation &amp; Logistics</v>
          </cell>
        </row>
        <row r="1103">
          <cell r="C1103" t="str">
            <v>80XXX</v>
          </cell>
          <cell r="D1103" t="str">
            <v>Security and investigation activities</v>
          </cell>
          <cell r="E1103" t="str">
            <v>T</v>
          </cell>
          <cell r="F1103" t="str">
            <v>Y</v>
          </cell>
          <cell r="H1103" t="str">
            <v>FI</v>
          </cell>
          <cell r="I1103" t="str">
            <v>N</v>
          </cell>
          <cell r="J1103" t="str">
            <v>80XXX</v>
          </cell>
          <cell r="K1103" t="str">
            <v>12</v>
          </cell>
          <cell r="L1103" t="str">
            <v>T</v>
          </cell>
          <cell r="M1103" t="str">
            <v>12</v>
          </cell>
          <cell r="N1103" t="b">
            <v>1</v>
          </cell>
          <cell r="S1103" t="str">
            <v>Other professional, scientific and technical activities</v>
          </cell>
        </row>
        <row r="1104">
          <cell r="C1104" t="str">
            <v>81XXX</v>
          </cell>
          <cell r="D1104" t="str">
            <v>Services to buildings and landscape activities</v>
          </cell>
          <cell r="E1104" t="str">
            <v>T</v>
          </cell>
          <cell r="F1104" t="str">
            <v>Y</v>
          </cell>
          <cell r="H1104" t="str">
            <v>FI</v>
          </cell>
          <cell r="I1104" t="str">
            <v>N</v>
          </cell>
          <cell r="J1104" t="str">
            <v>81XXX</v>
          </cell>
          <cell r="K1104" t="str">
            <v>12</v>
          </cell>
          <cell r="L1104" t="str">
            <v>T</v>
          </cell>
          <cell r="M1104" t="str">
            <v>12</v>
          </cell>
          <cell r="N1104" t="b">
            <v>1</v>
          </cell>
          <cell r="S1104" t="str">
            <v>Other professional, scientific and technical activities</v>
          </cell>
        </row>
        <row r="1105">
          <cell r="C1105" t="str">
            <v>821XX</v>
          </cell>
          <cell r="D1105" t="str">
            <v>Office administrative and support activities</v>
          </cell>
          <cell r="E1105" t="str">
            <v>T</v>
          </cell>
          <cell r="F1105" t="str">
            <v>Y</v>
          </cell>
          <cell r="H1105" t="str">
            <v>FI</v>
          </cell>
          <cell r="I1105" t="str">
            <v>N</v>
          </cell>
          <cell r="J1105" t="str">
            <v>821XX</v>
          </cell>
          <cell r="K1105" t="str">
            <v>12</v>
          </cell>
          <cell r="L1105" t="str">
            <v>T</v>
          </cell>
          <cell r="M1105" t="str">
            <v>12</v>
          </cell>
          <cell r="N1105" t="b">
            <v>1</v>
          </cell>
          <cell r="S1105" t="str">
            <v>Administrative and Support Service Activities (rent/leasing/office administrative)</v>
          </cell>
        </row>
        <row r="1106">
          <cell r="C1106" t="str">
            <v>82200</v>
          </cell>
          <cell r="D1106" t="str">
            <v>Activities of call centres</v>
          </cell>
          <cell r="E1106" t="str">
            <v>N</v>
          </cell>
          <cell r="F1106" t="str">
            <v>Y</v>
          </cell>
          <cell r="H1106" t="str">
            <v>FI</v>
          </cell>
          <cell r="I1106" t="str">
            <v>N</v>
          </cell>
          <cell r="J1106" t="str">
            <v>82200</v>
          </cell>
          <cell r="K1106" t="str">
            <v>12</v>
          </cell>
          <cell r="L1106" t="str">
            <v>N</v>
          </cell>
          <cell r="M1106" t="str">
            <v>0</v>
          </cell>
          <cell r="N1106" t="b">
            <v>1</v>
          </cell>
          <cell r="S1106" t="str">
            <v>Administrative and Support Service Activities (rent/leasing/office administrative)</v>
          </cell>
        </row>
        <row r="1107">
          <cell r="C1107" t="str">
            <v>8230X</v>
          </cell>
          <cell r="D1107" t="str">
            <v>Organization of conventions and trade shows</v>
          </cell>
          <cell r="E1107" t="str">
            <v>N</v>
          </cell>
          <cell r="F1107" t="str">
            <v>Y</v>
          </cell>
          <cell r="H1107" t="str">
            <v>FI</v>
          </cell>
          <cell r="I1107" t="str">
            <v>N</v>
          </cell>
          <cell r="J1107" t="str">
            <v>8230X</v>
          </cell>
          <cell r="K1107" t="str">
            <v>12</v>
          </cell>
          <cell r="L1107" t="str">
            <v>N</v>
          </cell>
          <cell r="M1107" t="str">
            <v>0</v>
          </cell>
          <cell r="N1107" t="b">
            <v>1</v>
          </cell>
          <cell r="S1107" t="str">
            <v>Administrative and Support Service Activities (rent/leasing/office administrative)</v>
          </cell>
        </row>
        <row r="1108">
          <cell r="C1108" t="str">
            <v>7322</v>
          </cell>
          <cell r="D1108" t="str">
            <v>Adjustment and Collection Services</v>
          </cell>
          <cell r="E1108" t="str">
            <v>T</v>
          </cell>
          <cell r="F1108" t="str">
            <v>Y</v>
          </cell>
          <cell r="H1108" t="str">
            <v>FI</v>
          </cell>
          <cell r="I1108" t="str">
            <v>N</v>
          </cell>
          <cell r="J1108" t="str">
            <v>82910</v>
          </cell>
          <cell r="K1108" t="str">
            <v>12</v>
          </cell>
          <cell r="L1108" t="str">
            <v>T</v>
          </cell>
          <cell r="M1108" t="str">
            <v>12</v>
          </cell>
          <cell r="N1108" t="b">
            <v>1</v>
          </cell>
          <cell r="S1108" t="str">
            <v>Administrative and Support Service Activities (rent/leasing/office administrative)</v>
          </cell>
        </row>
        <row r="1109">
          <cell r="C1109" t="str">
            <v>7323</v>
          </cell>
          <cell r="D1109" t="str">
            <v>Credit Reporting Services</v>
          </cell>
          <cell r="E1109" t="str">
            <v>T</v>
          </cell>
          <cell r="F1109" t="str">
            <v>Y</v>
          </cell>
          <cell r="H1109" t="str">
            <v>FI</v>
          </cell>
          <cell r="I1109" t="str">
            <v>N</v>
          </cell>
          <cell r="J1109" t="str">
            <v>82910</v>
          </cell>
          <cell r="K1109" t="str">
            <v>12</v>
          </cell>
          <cell r="L1109" t="str">
            <v>T</v>
          </cell>
          <cell r="M1109" t="str">
            <v>12</v>
          </cell>
          <cell r="N1109" t="b">
            <v>1</v>
          </cell>
          <cell r="S1109" t="str">
            <v>Administrative and Support Service Activities (rent/leasing/office administrative)</v>
          </cell>
        </row>
        <row r="1110">
          <cell r="C1110" t="str">
            <v>8292X</v>
          </cell>
          <cell r="D1110" t="str">
            <v>Packaging activities</v>
          </cell>
          <cell r="E1110" t="str">
            <v>T</v>
          </cell>
          <cell r="F1110" t="str">
            <v>Y</v>
          </cell>
          <cell r="H1110" t="str">
            <v>MA</v>
          </cell>
          <cell r="I1110" t="str">
            <v>N</v>
          </cell>
          <cell r="J1110" t="str">
            <v>8292X</v>
          </cell>
          <cell r="K1110" t="str">
            <v>10</v>
          </cell>
          <cell r="L1110" t="str">
            <v>T</v>
          </cell>
          <cell r="M1110" t="str">
            <v>10</v>
          </cell>
          <cell r="N1110" t="b">
            <v>1</v>
          </cell>
          <cell r="S1110" t="str">
            <v>Administrative and Support Service Activities (rent/leasing/office administrative)</v>
          </cell>
        </row>
        <row r="1111">
          <cell r="C1111" t="str">
            <v>82990</v>
          </cell>
          <cell r="D1111" t="str">
            <v>Other business support service activities n.e.c.</v>
          </cell>
          <cell r="E1111" t="str">
            <v>N</v>
          </cell>
          <cell r="F1111" t="str">
            <v>Y</v>
          </cell>
          <cell r="H1111" t="str">
            <v>FI</v>
          </cell>
          <cell r="I1111" t="str">
            <v>N</v>
          </cell>
          <cell r="J1111" t="str">
            <v>82990</v>
          </cell>
          <cell r="K1111" t="str">
            <v>12</v>
          </cell>
          <cell r="L1111" t="str">
            <v>N</v>
          </cell>
          <cell r="M1111" t="str">
            <v>0</v>
          </cell>
          <cell r="N1111" t="b">
            <v>1</v>
          </cell>
          <cell r="S1111" t="str">
            <v>Administrative and Support Service Activities (rent/leasing/office administrative)</v>
          </cell>
        </row>
        <row r="1112">
          <cell r="C1112" t="str">
            <v>9224</v>
          </cell>
          <cell r="D1112" t="str">
            <v>Fire protection</v>
          </cell>
          <cell r="E1112" t="str">
            <v>A</v>
          </cell>
          <cell r="F1112" t="str">
            <v>Y</v>
          </cell>
          <cell r="G1112" t="str">
            <v>N</v>
          </cell>
          <cell r="H1112" t="str">
            <v>ED</v>
          </cell>
          <cell r="I1112" t="str">
            <v>N</v>
          </cell>
          <cell r="J1112" t="str">
            <v>841XX</v>
          </cell>
          <cell r="K1112" t="str">
            <v>0</v>
          </cell>
          <cell r="L1112" t="str">
            <v>A</v>
          </cell>
          <cell r="M1112" t="str">
            <v>0</v>
          </cell>
          <cell r="N1112" t="b">
            <v>1</v>
          </cell>
          <cell r="S1112" t="str">
            <v>Administration of the State and the economic and social policy of the community</v>
          </cell>
        </row>
        <row r="1113">
          <cell r="C1113" t="str">
            <v>9611</v>
          </cell>
          <cell r="D1113" t="str">
            <v>Administration of general economic programs</v>
          </cell>
          <cell r="E1113" t="str">
            <v>A</v>
          </cell>
          <cell r="F1113" t="str">
            <v>Y</v>
          </cell>
          <cell r="G1113" t="str">
            <v>N</v>
          </cell>
          <cell r="H1113" t="str">
            <v>ED</v>
          </cell>
          <cell r="I1113" t="str">
            <v>N</v>
          </cell>
          <cell r="J1113" t="str">
            <v>841XX</v>
          </cell>
          <cell r="K1113" t="str">
            <v>0</v>
          </cell>
          <cell r="L1113" t="str">
            <v>A</v>
          </cell>
          <cell r="M1113" t="str">
            <v>0</v>
          </cell>
          <cell r="N1113" t="b">
            <v>1</v>
          </cell>
          <cell r="S1113" t="str">
            <v>Administration of the State and the economic and social policy of the community</v>
          </cell>
        </row>
        <row r="1114">
          <cell r="C1114" t="str">
            <v>9651</v>
          </cell>
          <cell r="D1114" t="str">
            <v>Regulation miscellaneous commercial sectors</v>
          </cell>
          <cell r="E1114" t="str">
            <v>A</v>
          </cell>
          <cell r="F1114" t="str">
            <v>Y</v>
          </cell>
          <cell r="G1114" t="str">
            <v>N</v>
          </cell>
          <cell r="H1114" t="str">
            <v>ED</v>
          </cell>
          <cell r="I1114" t="str">
            <v>N</v>
          </cell>
          <cell r="J1114" t="str">
            <v>841XX</v>
          </cell>
          <cell r="K1114" t="str">
            <v>0</v>
          </cell>
          <cell r="L1114" t="str">
            <v>A</v>
          </cell>
          <cell r="M1114" t="str">
            <v>0</v>
          </cell>
          <cell r="N1114" t="b">
            <v>1</v>
          </cell>
          <cell r="S1114" t="str">
            <v>Administration of the State and the economic and social policy of the community</v>
          </cell>
        </row>
        <row r="1115">
          <cell r="C1115" t="str">
            <v>9411</v>
          </cell>
          <cell r="D1115" t="str">
            <v>Admin. of educational programs</v>
          </cell>
          <cell r="E1115" t="str">
            <v>A</v>
          </cell>
          <cell r="F1115" t="str">
            <v>Y</v>
          </cell>
          <cell r="G1115" t="str">
            <v>N</v>
          </cell>
          <cell r="H1115" t="str">
            <v>ED</v>
          </cell>
          <cell r="I1115" t="str">
            <v>N</v>
          </cell>
          <cell r="J1115" t="str">
            <v>841XX</v>
          </cell>
          <cell r="K1115" t="str">
            <v>0</v>
          </cell>
          <cell r="L1115" t="str">
            <v>A</v>
          </cell>
          <cell r="M1115" t="str">
            <v>0</v>
          </cell>
          <cell r="N1115" t="b">
            <v>1</v>
          </cell>
          <cell r="S1115" t="str">
            <v>Administration of the State and the economic and social policy of the community</v>
          </cell>
        </row>
        <row r="1116">
          <cell r="C1116" t="str">
            <v>9431</v>
          </cell>
          <cell r="D1116" t="str">
            <v>Admin. of public health programs</v>
          </cell>
          <cell r="E1116" t="str">
            <v>A</v>
          </cell>
          <cell r="F1116" t="str">
            <v>Y</v>
          </cell>
          <cell r="G1116" t="str">
            <v>N</v>
          </cell>
          <cell r="H1116" t="str">
            <v>ED</v>
          </cell>
          <cell r="I1116" t="str">
            <v>N</v>
          </cell>
          <cell r="J1116" t="str">
            <v>841XX</v>
          </cell>
          <cell r="K1116" t="str">
            <v>0</v>
          </cell>
          <cell r="L1116" t="str">
            <v>A</v>
          </cell>
          <cell r="M1116" t="str">
            <v>0</v>
          </cell>
          <cell r="N1116" t="b">
            <v>1</v>
          </cell>
          <cell r="S1116" t="str">
            <v>Administration of the State and the economic and social policy of the community</v>
          </cell>
        </row>
        <row r="1117">
          <cell r="C1117" t="str">
            <v>9199</v>
          </cell>
          <cell r="D1117" t="str">
            <v>General government</v>
          </cell>
          <cell r="E1117" t="str">
            <v>A</v>
          </cell>
          <cell r="F1117" t="str">
            <v>Y</v>
          </cell>
          <cell r="G1117" t="str">
            <v>N</v>
          </cell>
          <cell r="H1117" t="str">
            <v>ED</v>
          </cell>
          <cell r="I1117" t="str">
            <v>N</v>
          </cell>
          <cell r="J1117" t="str">
            <v>841XX</v>
          </cell>
          <cell r="K1117" t="str">
            <v>0</v>
          </cell>
          <cell r="L1117" t="str">
            <v>A</v>
          </cell>
          <cell r="M1117" t="str">
            <v>0</v>
          </cell>
          <cell r="N1117" t="b">
            <v>1</v>
          </cell>
          <cell r="S1117" t="str">
            <v>Administration of the State and the economic and social policy of the community</v>
          </cell>
        </row>
        <row r="1118">
          <cell r="C1118" t="str">
            <v>953</v>
          </cell>
          <cell r="D1118" t="str">
            <v>Housing and Urban Development</v>
          </cell>
          <cell r="E1118" t="str">
            <v>A</v>
          </cell>
          <cell r="F1118" t="str">
            <v>Y</v>
          </cell>
          <cell r="G1118" t="str">
            <v>N</v>
          </cell>
          <cell r="H1118" t="str">
            <v>ED</v>
          </cell>
          <cell r="I1118" t="str">
            <v>N</v>
          </cell>
          <cell r="J1118" t="str">
            <v>841XX</v>
          </cell>
          <cell r="K1118" t="str">
            <v>0</v>
          </cell>
          <cell r="L1118" t="str">
            <v>A</v>
          </cell>
          <cell r="M1118" t="str">
            <v>0</v>
          </cell>
          <cell r="N1118" t="b">
            <v>1</v>
          </cell>
          <cell r="S1118" t="str">
            <v>Administration of the State and the economic and social policy of the community</v>
          </cell>
        </row>
        <row r="1119">
          <cell r="C1119" t="str">
            <v>9531</v>
          </cell>
          <cell r="D1119" t="str">
            <v>Housing programs</v>
          </cell>
          <cell r="E1119" t="str">
            <v>A</v>
          </cell>
          <cell r="F1119" t="str">
            <v>Y</v>
          </cell>
          <cell r="G1119" t="str">
            <v>N</v>
          </cell>
          <cell r="H1119" t="str">
            <v>ED</v>
          </cell>
          <cell r="I1119" t="str">
            <v>N</v>
          </cell>
          <cell r="J1119" t="str">
            <v>841XX</v>
          </cell>
          <cell r="K1119" t="str">
            <v>0</v>
          </cell>
          <cell r="L1119" t="str">
            <v>A</v>
          </cell>
          <cell r="M1119" t="str">
            <v>0</v>
          </cell>
          <cell r="N1119" t="b">
            <v>1</v>
          </cell>
          <cell r="S1119" t="str">
            <v>Administration of the State and the economic and social policy of the community</v>
          </cell>
        </row>
        <row r="1120">
          <cell r="C1120" t="str">
            <v>9532</v>
          </cell>
          <cell r="D1120" t="str">
            <v>Urban and community development</v>
          </cell>
          <cell r="E1120" t="str">
            <v>A</v>
          </cell>
          <cell r="F1120" t="str">
            <v>Y</v>
          </cell>
          <cell r="G1120" t="str">
            <v>N</v>
          </cell>
          <cell r="H1120" t="str">
            <v>ED</v>
          </cell>
          <cell r="I1120" t="str">
            <v>N</v>
          </cell>
          <cell r="J1120" t="str">
            <v>841XX</v>
          </cell>
          <cell r="K1120" t="str">
            <v>0</v>
          </cell>
          <cell r="L1120" t="str">
            <v>A</v>
          </cell>
          <cell r="M1120" t="str">
            <v>0</v>
          </cell>
          <cell r="N1120" t="b">
            <v>1</v>
          </cell>
          <cell r="S1120" t="str">
            <v>Administration of the State and the economic and social policy of the community</v>
          </cell>
        </row>
        <row r="1121">
          <cell r="C1121" t="str">
            <v>9441</v>
          </cell>
          <cell r="D1121" t="str">
            <v>Admin. of social &amp;  manpower programs</v>
          </cell>
          <cell r="E1121" t="str">
            <v>A</v>
          </cell>
          <cell r="F1121" t="str">
            <v>Y</v>
          </cell>
          <cell r="G1121" t="str">
            <v>N</v>
          </cell>
          <cell r="H1121" t="str">
            <v>ED</v>
          </cell>
          <cell r="I1121" t="str">
            <v>N</v>
          </cell>
          <cell r="J1121" t="str">
            <v>841XX</v>
          </cell>
          <cell r="K1121" t="str">
            <v>0</v>
          </cell>
          <cell r="L1121" t="str">
            <v>A</v>
          </cell>
          <cell r="M1121" t="str">
            <v>0</v>
          </cell>
          <cell r="N1121" t="b">
            <v>1</v>
          </cell>
          <cell r="S1121" t="str">
            <v>Administration of the State and the economic and social policy of the community</v>
          </cell>
        </row>
        <row r="1122">
          <cell r="C1122" t="str">
            <v>9641</v>
          </cell>
          <cell r="D1122" t="str">
            <v>Regulation of agricultural marketing</v>
          </cell>
          <cell r="E1122" t="str">
            <v>A</v>
          </cell>
          <cell r="F1122" t="str">
            <v>Y</v>
          </cell>
          <cell r="G1122" t="str">
            <v>N</v>
          </cell>
          <cell r="H1122" t="str">
            <v>ED</v>
          </cell>
          <cell r="I1122" t="str">
            <v>N</v>
          </cell>
          <cell r="J1122" t="str">
            <v>841XX</v>
          </cell>
          <cell r="K1122" t="str">
            <v>0</v>
          </cell>
          <cell r="L1122" t="str">
            <v>A</v>
          </cell>
          <cell r="M1122" t="str">
            <v>0</v>
          </cell>
          <cell r="N1122" t="b">
            <v>1</v>
          </cell>
          <cell r="S1122" t="str">
            <v>Administration of the State and the economic and social policy of the community</v>
          </cell>
        </row>
        <row r="1123">
          <cell r="C1123" t="str">
            <v>9221</v>
          </cell>
          <cell r="D1123" t="str">
            <v>Police protection</v>
          </cell>
          <cell r="E1123" t="str">
            <v>A</v>
          </cell>
          <cell r="F1123" t="str">
            <v>Y</v>
          </cell>
          <cell r="G1123" t="str">
            <v>N</v>
          </cell>
          <cell r="H1123" t="str">
            <v>ED</v>
          </cell>
          <cell r="I1123" t="str">
            <v>N</v>
          </cell>
          <cell r="J1123" t="str">
            <v>841XX</v>
          </cell>
          <cell r="K1123" t="str">
            <v>0</v>
          </cell>
          <cell r="L1123" t="str">
            <v>A</v>
          </cell>
          <cell r="M1123" t="str">
            <v>0</v>
          </cell>
          <cell r="N1123" t="b">
            <v>1</v>
          </cell>
          <cell r="S1123" t="str">
            <v>Administration of the State and the economic and social policy of the community</v>
          </cell>
        </row>
        <row r="1124">
          <cell r="C1124" t="str">
            <v>9222</v>
          </cell>
          <cell r="D1124" t="str">
            <v>Legal counsel and prosecution</v>
          </cell>
          <cell r="E1124" t="str">
            <v>A</v>
          </cell>
          <cell r="F1124" t="str">
            <v>Y</v>
          </cell>
          <cell r="G1124" t="str">
            <v>N</v>
          </cell>
          <cell r="H1124" t="str">
            <v>ED</v>
          </cell>
          <cell r="I1124" t="str">
            <v>N</v>
          </cell>
          <cell r="J1124" t="str">
            <v>841XX</v>
          </cell>
          <cell r="K1124" t="str">
            <v>0</v>
          </cell>
          <cell r="L1124" t="str">
            <v>A</v>
          </cell>
          <cell r="M1124" t="str">
            <v>0</v>
          </cell>
          <cell r="N1124" t="b">
            <v>1</v>
          </cell>
          <cell r="S1124" t="str">
            <v>Administration of the State and the economic and social policy of the community</v>
          </cell>
        </row>
        <row r="1125">
          <cell r="C1125" t="str">
            <v>9223</v>
          </cell>
          <cell r="D1125" t="str">
            <v>Correctional institutions</v>
          </cell>
          <cell r="E1125" t="str">
            <v>A</v>
          </cell>
          <cell r="F1125" t="str">
            <v>Y</v>
          </cell>
          <cell r="G1125" t="str">
            <v>N</v>
          </cell>
          <cell r="H1125" t="str">
            <v>ED</v>
          </cell>
          <cell r="I1125" t="str">
            <v>N</v>
          </cell>
          <cell r="J1125" t="str">
            <v>841XX</v>
          </cell>
          <cell r="K1125" t="str">
            <v>0</v>
          </cell>
          <cell r="L1125" t="str">
            <v>A</v>
          </cell>
          <cell r="M1125" t="str">
            <v>0</v>
          </cell>
          <cell r="N1125" t="b">
            <v>1</v>
          </cell>
          <cell r="S1125" t="str">
            <v>Administration of the State and the economic and social policy of the community</v>
          </cell>
        </row>
        <row r="1126">
          <cell r="C1126" t="str">
            <v>9229</v>
          </cell>
          <cell r="D1126" t="str">
            <v>Public order and safety</v>
          </cell>
          <cell r="E1126" t="str">
            <v>A</v>
          </cell>
          <cell r="F1126" t="str">
            <v>Y</v>
          </cell>
          <cell r="G1126" t="str">
            <v>N</v>
          </cell>
          <cell r="H1126" t="str">
            <v>ED</v>
          </cell>
          <cell r="I1126" t="str">
            <v>N</v>
          </cell>
          <cell r="J1126" t="str">
            <v>841XX</v>
          </cell>
          <cell r="K1126" t="str">
            <v>0</v>
          </cell>
          <cell r="L1126" t="str">
            <v>A</v>
          </cell>
          <cell r="M1126" t="str">
            <v>0</v>
          </cell>
          <cell r="N1126" t="b">
            <v>1</v>
          </cell>
          <cell r="S1126" t="str">
            <v>Administration of the State and the economic and social policy of the community</v>
          </cell>
        </row>
        <row r="1127">
          <cell r="C1127" t="str">
            <v>9311</v>
          </cell>
          <cell r="D1127" t="str">
            <v>Finance, taxation, &amp;  monetary policy</v>
          </cell>
          <cell r="E1127" t="str">
            <v>A</v>
          </cell>
          <cell r="F1127" t="str">
            <v>Y</v>
          </cell>
          <cell r="G1127" t="str">
            <v>N</v>
          </cell>
          <cell r="H1127" t="str">
            <v>ED</v>
          </cell>
          <cell r="I1127" t="str">
            <v>N</v>
          </cell>
          <cell r="J1127" t="str">
            <v>841XX</v>
          </cell>
          <cell r="K1127" t="str">
            <v>0</v>
          </cell>
          <cell r="L1127" t="str">
            <v>A</v>
          </cell>
          <cell r="M1127" t="str">
            <v>0</v>
          </cell>
          <cell r="N1127" t="b">
            <v>1</v>
          </cell>
          <cell r="S1127" t="str">
            <v>Administration of the State and the economic and social policy of the community</v>
          </cell>
        </row>
        <row r="1128">
          <cell r="C1128" t="str">
            <v>9512</v>
          </cell>
          <cell r="D1128" t="str">
            <v>Land, mineral, wildlife conservation</v>
          </cell>
          <cell r="E1128" t="str">
            <v>A</v>
          </cell>
          <cell r="F1128" t="str">
            <v>Y</v>
          </cell>
          <cell r="G1128" t="str">
            <v>N</v>
          </cell>
          <cell r="H1128" t="str">
            <v>ED</v>
          </cell>
          <cell r="I1128" t="str">
            <v>N</v>
          </cell>
          <cell r="J1128" t="str">
            <v>841XX</v>
          </cell>
          <cell r="K1128" t="str">
            <v>0</v>
          </cell>
          <cell r="L1128" t="str">
            <v>A</v>
          </cell>
          <cell r="M1128" t="str">
            <v>0</v>
          </cell>
          <cell r="N1128" t="b">
            <v>1</v>
          </cell>
          <cell r="S1128" t="str">
            <v>Administration of the State and the economic and social policy of the community</v>
          </cell>
        </row>
        <row r="1129">
          <cell r="C1129" t="str">
            <v>9621</v>
          </cell>
          <cell r="D1129" t="str">
            <v>Regulation, administration of transportation</v>
          </cell>
          <cell r="E1129" t="str">
            <v>A</v>
          </cell>
          <cell r="F1129" t="str">
            <v>Y</v>
          </cell>
          <cell r="G1129" t="str">
            <v>N</v>
          </cell>
          <cell r="H1129" t="str">
            <v>ED</v>
          </cell>
          <cell r="I1129" t="str">
            <v>N</v>
          </cell>
          <cell r="J1129" t="str">
            <v>841XX</v>
          </cell>
          <cell r="K1129" t="str">
            <v>0</v>
          </cell>
          <cell r="L1129" t="str">
            <v>A</v>
          </cell>
          <cell r="M1129" t="str">
            <v>0</v>
          </cell>
          <cell r="N1129" t="b">
            <v>1</v>
          </cell>
          <cell r="S1129" t="str">
            <v>Administration of the State and the economic and social policy of the community</v>
          </cell>
        </row>
        <row r="1130">
          <cell r="C1130" t="str">
            <v>9631</v>
          </cell>
          <cell r="D1130" t="str">
            <v>Regulation, administration of utilities</v>
          </cell>
          <cell r="E1130" t="str">
            <v>A</v>
          </cell>
          <cell r="F1130" t="str">
            <v>Y</v>
          </cell>
          <cell r="G1130" t="str">
            <v>N</v>
          </cell>
          <cell r="H1130" t="str">
            <v>ED</v>
          </cell>
          <cell r="I1130" t="str">
            <v>N</v>
          </cell>
          <cell r="J1130" t="str">
            <v>841XX</v>
          </cell>
          <cell r="K1130" t="str">
            <v>0</v>
          </cell>
          <cell r="L1130" t="str">
            <v>A</v>
          </cell>
          <cell r="M1130" t="str">
            <v>0</v>
          </cell>
          <cell r="N1130" t="b">
            <v>1</v>
          </cell>
          <cell r="S1130" t="str">
            <v>Administration of the State and the economic and social policy of the community</v>
          </cell>
        </row>
        <row r="1131">
          <cell r="C1131" t="str">
            <v>9721</v>
          </cell>
          <cell r="D1131" t="str">
            <v>International affairs</v>
          </cell>
          <cell r="E1131" t="str">
            <v>A</v>
          </cell>
          <cell r="F1131" t="str">
            <v>Y</v>
          </cell>
          <cell r="G1131" t="str">
            <v>N</v>
          </cell>
          <cell r="H1131" t="str">
            <v>ED</v>
          </cell>
          <cell r="I1131" t="str">
            <v>N</v>
          </cell>
          <cell r="J1131" t="str">
            <v>841XX</v>
          </cell>
          <cell r="K1131" t="str">
            <v>0</v>
          </cell>
          <cell r="L1131" t="str">
            <v>A</v>
          </cell>
          <cell r="M1131" t="str">
            <v>0</v>
          </cell>
          <cell r="N1131" t="b">
            <v>1</v>
          </cell>
          <cell r="S1131" t="str">
            <v>Administration of the State and the economic and social policy of the community</v>
          </cell>
        </row>
        <row r="1132">
          <cell r="C1132" t="str">
            <v>842XX</v>
          </cell>
          <cell r="D1132" t="str">
            <v>Provision of services to the community as a whole</v>
          </cell>
          <cell r="E1132" t="str">
            <v>N</v>
          </cell>
          <cell r="F1132" t="str">
            <v>Y</v>
          </cell>
          <cell r="H1132" t="str">
            <v>ED</v>
          </cell>
          <cell r="I1132" t="str">
            <v>N</v>
          </cell>
          <cell r="J1132" t="str">
            <v>842XX</v>
          </cell>
          <cell r="K1132" t="str">
            <v>0</v>
          </cell>
          <cell r="L1132" t="str">
            <v>N</v>
          </cell>
          <cell r="M1132" t="str">
            <v>0</v>
          </cell>
          <cell r="N1132" t="b">
            <v>1</v>
          </cell>
          <cell r="S1132" t="str">
            <v>Provision of services to the community as a whole</v>
          </cell>
        </row>
        <row r="1133">
          <cell r="C1133" t="str">
            <v>8430X</v>
          </cell>
          <cell r="D1133" t="str">
            <v>Compulsory social security activities</v>
          </cell>
          <cell r="E1133" t="str">
            <v>N</v>
          </cell>
          <cell r="F1133" t="str">
            <v>Y</v>
          </cell>
          <cell r="H1133" t="str">
            <v>ED</v>
          </cell>
          <cell r="I1133" t="str">
            <v>N</v>
          </cell>
          <cell r="J1133" t="str">
            <v>8430X</v>
          </cell>
          <cell r="K1133" t="str">
            <v>0</v>
          </cell>
          <cell r="L1133" t="str">
            <v>N</v>
          </cell>
          <cell r="M1133" t="str">
            <v>0</v>
          </cell>
          <cell r="N1133" t="b">
            <v>1</v>
          </cell>
          <cell r="S1133" t="str">
            <v>Compulsory social security activities</v>
          </cell>
        </row>
        <row r="1134">
          <cell r="C1134" t="str">
            <v>8510X</v>
          </cell>
          <cell r="D1134" t="str">
            <v>Pre-primary and primary education</v>
          </cell>
          <cell r="E1134" t="str">
            <v>N</v>
          </cell>
          <cell r="F1134" t="str">
            <v>Y</v>
          </cell>
          <cell r="H1134" t="str">
            <v>ED</v>
          </cell>
          <cell r="I1134" t="str">
            <v>N</v>
          </cell>
          <cell r="J1134" t="str">
            <v>8510X</v>
          </cell>
          <cell r="K1134" t="str">
            <v>16</v>
          </cell>
          <cell r="L1134" t="str">
            <v>N</v>
          </cell>
          <cell r="M1134" t="str">
            <v>0</v>
          </cell>
          <cell r="N1134" t="b">
            <v>1</v>
          </cell>
          <cell r="S1134" t="str">
            <v>Educational Services</v>
          </cell>
        </row>
        <row r="1135">
          <cell r="C1135" t="str">
            <v>8211</v>
          </cell>
          <cell r="D1135" t="str">
            <v>Elementary and Secondary Schools</v>
          </cell>
          <cell r="E1135" t="str">
            <v>N</v>
          </cell>
          <cell r="F1135" t="str">
            <v>Y</v>
          </cell>
          <cell r="H1135" t="str">
            <v>ED</v>
          </cell>
          <cell r="I1135" t="str">
            <v>N</v>
          </cell>
          <cell r="J1135" t="str">
            <v>852XX</v>
          </cell>
          <cell r="K1135" t="str">
            <v>16</v>
          </cell>
          <cell r="L1135" t="str">
            <v>N</v>
          </cell>
          <cell r="M1135" t="str">
            <v>0</v>
          </cell>
          <cell r="N1135" t="b">
            <v>1</v>
          </cell>
          <cell r="S1135" t="str">
            <v>Educational Services</v>
          </cell>
        </row>
        <row r="1136">
          <cell r="C1136" t="str">
            <v>8221</v>
          </cell>
          <cell r="D1136" t="str">
            <v>Colleges, Universities, and Professional Schools</v>
          </cell>
          <cell r="E1136" t="str">
            <v>T</v>
          </cell>
          <cell r="F1136" t="str">
            <v>Y</v>
          </cell>
          <cell r="H1136" t="str">
            <v>ED</v>
          </cell>
          <cell r="I1136" t="str">
            <v>N</v>
          </cell>
          <cell r="J1136" t="str">
            <v>8530X</v>
          </cell>
          <cell r="K1136" t="str">
            <v>16</v>
          </cell>
          <cell r="L1136" t="str">
            <v>T</v>
          </cell>
          <cell r="M1136" t="str">
            <v>16</v>
          </cell>
          <cell r="N1136" t="b">
            <v>1</v>
          </cell>
          <cell r="S1136" t="str">
            <v>Educational Services</v>
          </cell>
        </row>
        <row r="1137">
          <cell r="C1137" t="str">
            <v>8222</v>
          </cell>
          <cell r="D1137" t="str">
            <v>Junior Colleges and Technical Institutes</v>
          </cell>
          <cell r="E1137" t="str">
            <v>N</v>
          </cell>
          <cell r="F1137" t="str">
            <v>Y</v>
          </cell>
          <cell r="H1137" t="str">
            <v>ED</v>
          </cell>
          <cell r="I1137" t="str">
            <v>N</v>
          </cell>
          <cell r="J1137" t="str">
            <v>8530X</v>
          </cell>
          <cell r="K1137" t="str">
            <v>16</v>
          </cell>
          <cell r="L1137" t="str">
            <v>N</v>
          </cell>
          <cell r="M1137" t="str">
            <v>0</v>
          </cell>
          <cell r="N1137" t="b">
            <v>1</v>
          </cell>
          <cell r="S1137" t="str">
            <v>Educational Services</v>
          </cell>
        </row>
        <row r="1138">
          <cell r="C1138" t="str">
            <v>8243</v>
          </cell>
          <cell r="D1138" t="str">
            <v>Data Processing Schools</v>
          </cell>
          <cell r="E1138" t="str">
            <v>T</v>
          </cell>
          <cell r="F1138" t="str">
            <v>Y</v>
          </cell>
          <cell r="H1138" t="str">
            <v>ED</v>
          </cell>
          <cell r="I1138" t="str">
            <v>N</v>
          </cell>
          <cell r="J1138" t="str">
            <v>854XX</v>
          </cell>
          <cell r="K1138" t="str">
            <v>16</v>
          </cell>
          <cell r="L1138" t="str">
            <v>T</v>
          </cell>
          <cell r="M1138" t="str">
            <v>16</v>
          </cell>
          <cell r="N1138" t="b">
            <v>1</v>
          </cell>
          <cell r="S1138" t="str">
            <v>Educational Services</v>
          </cell>
        </row>
        <row r="1139">
          <cell r="C1139" t="str">
            <v>8244</v>
          </cell>
          <cell r="D1139" t="str">
            <v>Business and Secretarial Schools</v>
          </cell>
          <cell r="E1139" t="str">
            <v>T</v>
          </cell>
          <cell r="F1139" t="str">
            <v>Y</v>
          </cell>
          <cell r="H1139" t="str">
            <v>ED</v>
          </cell>
          <cell r="I1139" t="str">
            <v>N</v>
          </cell>
          <cell r="J1139" t="str">
            <v>854XX</v>
          </cell>
          <cell r="K1139" t="str">
            <v>16</v>
          </cell>
          <cell r="L1139" t="str">
            <v>T</v>
          </cell>
          <cell r="M1139" t="str">
            <v>16</v>
          </cell>
          <cell r="N1139" t="b">
            <v>1</v>
          </cell>
          <cell r="S1139" t="str">
            <v>Educational Services</v>
          </cell>
        </row>
        <row r="1140">
          <cell r="C1140" t="str">
            <v>8249</v>
          </cell>
          <cell r="D1140" t="str">
            <v>Vocational Schools, N.E.C.</v>
          </cell>
          <cell r="E1140" t="str">
            <v>T</v>
          </cell>
          <cell r="F1140" t="str">
            <v>Y</v>
          </cell>
          <cell r="H1140" t="str">
            <v>ED</v>
          </cell>
          <cell r="I1140" t="str">
            <v>N</v>
          </cell>
          <cell r="J1140" t="str">
            <v>854XX</v>
          </cell>
          <cell r="K1140" t="str">
            <v>16</v>
          </cell>
          <cell r="L1140" t="str">
            <v>T</v>
          </cell>
          <cell r="M1140" t="str">
            <v>16</v>
          </cell>
          <cell r="N1140" t="b">
            <v>1</v>
          </cell>
          <cell r="S1140" t="str">
            <v>Educational Services</v>
          </cell>
        </row>
        <row r="1141">
          <cell r="C1141" t="str">
            <v>8299</v>
          </cell>
          <cell r="D1141" t="str">
            <v>Flight Training Services</v>
          </cell>
          <cell r="E1141" t="str">
            <v>N</v>
          </cell>
          <cell r="F1141" t="str">
            <v>Y</v>
          </cell>
          <cell r="H1141" t="str">
            <v>ED</v>
          </cell>
          <cell r="I1141" t="str">
            <v>N</v>
          </cell>
          <cell r="J1141" t="str">
            <v>854XX</v>
          </cell>
          <cell r="K1141" t="str">
            <v>16</v>
          </cell>
          <cell r="L1141" t="str">
            <v>N</v>
          </cell>
          <cell r="M1141" t="str">
            <v>0</v>
          </cell>
          <cell r="N1141" t="b">
            <v>1</v>
          </cell>
          <cell r="S1141" t="str">
            <v>Educational Services</v>
          </cell>
        </row>
        <row r="1142">
          <cell r="C1142" t="str">
            <v>8550X</v>
          </cell>
          <cell r="D1142" t="str">
            <v>Educational support services</v>
          </cell>
          <cell r="E1142" t="str">
            <v>N</v>
          </cell>
          <cell r="F1142" t="str">
            <v>Y</v>
          </cell>
          <cell r="H1142" t="str">
            <v>ED</v>
          </cell>
          <cell r="I1142" t="str">
            <v>N</v>
          </cell>
          <cell r="J1142" t="str">
            <v>8550X</v>
          </cell>
          <cell r="K1142" t="str">
            <v>16</v>
          </cell>
          <cell r="L1142" t="str">
            <v>N</v>
          </cell>
          <cell r="M1142" t="str">
            <v>0</v>
          </cell>
          <cell r="N1142" t="b">
            <v>1</v>
          </cell>
          <cell r="S1142" t="str">
            <v>Educational Services</v>
          </cell>
        </row>
        <row r="1143">
          <cell r="C1143" t="str">
            <v>8011</v>
          </cell>
          <cell r="D1143" t="str">
            <v>Offices and Clinics of Doctors of Medicine</v>
          </cell>
          <cell r="E1143" t="str">
            <v>T</v>
          </cell>
          <cell r="F1143" t="str">
            <v>Y</v>
          </cell>
          <cell r="H1143" t="str">
            <v>ED</v>
          </cell>
          <cell r="I1143" t="str">
            <v>N</v>
          </cell>
          <cell r="J1143" t="str">
            <v>861XX</v>
          </cell>
          <cell r="K1143" t="str">
            <v>25</v>
          </cell>
          <cell r="L1143" t="str">
            <v>T</v>
          </cell>
          <cell r="M1143" t="str">
            <v>25</v>
          </cell>
          <cell r="N1143" t="b">
            <v>1</v>
          </cell>
          <cell r="S1143" t="str">
            <v>Professional Services (Legal, accounting, medical &amp; engineering)</v>
          </cell>
        </row>
        <row r="1144">
          <cell r="C1144" t="str">
            <v>8021</v>
          </cell>
          <cell r="D1144" t="str">
            <v>Offices and Clinics of Dentists</v>
          </cell>
          <cell r="E1144" t="str">
            <v>T</v>
          </cell>
          <cell r="F1144" t="str">
            <v>Y</v>
          </cell>
          <cell r="H1144" t="str">
            <v>ED</v>
          </cell>
          <cell r="I1144" t="str">
            <v>N</v>
          </cell>
          <cell r="J1144" t="str">
            <v>861XX</v>
          </cell>
          <cell r="K1144" t="str">
            <v>25</v>
          </cell>
          <cell r="L1144" t="str">
            <v>T</v>
          </cell>
          <cell r="M1144" t="str">
            <v>25</v>
          </cell>
          <cell r="N1144" t="b">
            <v>1</v>
          </cell>
          <cell r="S1144" t="str">
            <v>Professional Services (Legal, accounting, medical &amp; engineering)</v>
          </cell>
        </row>
        <row r="1145">
          <cell r="C1145" t="str">
            <v>8031</v>
          </cell>
          <cell r="D1145" t="str">
            <v>Offices and Clinics of Doctors of Osteopathy</v>
          </cell>
          <cell r="E1145" t="str">
            <v>T</v>
          </cell>
          <cell r="F1145" t="str">
            <v>Y</v>
          </cell>
          <cell r="H1145" t="str">
            <v>ED</v>
          </cell>
          <cell r="I1145" t="str">
            <v>N</v>
          </cell>
          <cell r="J1145" t="str">
            <v>861XX</v>
          </cell>
          <cell r="K1145" t="str">
            <v>25</v>
          </cell>
          <cell r="L1145" t="str">
            <v>T</v>
          </cell>
          <cell r="M1145" t="str">
            <v>25</v>
          </cell>
          <cell r="N1145" t="b">
            <v>1</v>
          </cell>
          <cell r="S1145" t="str">
            <v>Professional Services (Legal, accounting, medical &amp; engineering)</v>
          </cell>
        </row>
        <row r="1146">
          <cell r="C1146" t="str">
            <v>8041</v>
          </cell>
          <cell r="D1146" t="str">
            <v>Offices and Clinics of Chiropractors</v>
          </cell>
          <cell r="E1146" t="str">
            <v>T</v>
          </cell>
          <cell r="F1146" t="str">
            <v>Y</v>
          </cell>
          <cell r="H1146" t="str">
            <v>ED</v>
          </cell>
          <cell r="I1146" t="str">
            <v>N</v>
          </cell>
          <cell r="J1146" t="str">
            <v>861XX</v>
          </cell>
          <cell r="K1146" t="str">
            <v>25</v>
          </cell>
          <cell r="L1146" t="str">
            <v>T</v>
          </cell>
          <cell r="M1146" t="str">
            <v>25</v>
          </cell>
          <cell r="N1146" t="b">
            <v>1</v>
          </cell>
          <cell r="S1146" t="str">
            <v>Professional Services (Legal, accounting, medical &amp; engineering)</v>
          </cell>
        </row>
        <row r="1147">
          <cell r="C1147" t="str">
            <v>8042</v>
          </cell>
          <cell r="D1147" t="str">
            <v>Offices and Clinics of Optometrists</v>
          </cell>
          <cell r="E1147" t="str">
            <v>T</v>
          </cell>
          <cell r="F1147" t="str">
            <v>Y</v>
          </cell>
          <cell r="H1147" t="str">
            <v>ED</v>
          </cell>
          <cell r="I1147" t="str">
            <v>N</v>
          </cell>
          <cell r="J1147" t="str">
            <v>861XX</v>
          </cell>
          <cell r="K1147" t="str">
            <v>25</v>
          </cell>
          <cell r="L1147" t="str">
            <v>T</v>
          </cell>
          <cell r="M1147" t="str">
            <v>25</v>
          </cell>
          <cell r="N1147" t="b">
            <v>1</v>
          </cell>
          <cell r="S1147" t="str">
            <v>Professional Services (Legal, accounting, medical &amp; engineering)</v>
          </cell>
        </row>
        <row r="1148">
          <cell r="C1148" t="str">
            <v>8043</v>
          </cell>
          <cell r="D1148" t="str">
            <v>Offices and Clinics of Podiatrists</v>
          </cell>
          <cell r="E1148" t="str">
            <v>T</v>
          </cell>
          <cell r="F1148" t="str">
            <v>Y</v>
          </cell>
          <cell r="H1148" t="str">
            <v>ED</v>
          </cell>
          <cell r="I1148" t="str">
            <v>N</v>
          </cell>
          <cell r="J1148" t="str">
            <v>861XX</v>
          </cell>
          <cell r="K1148" t="str">
            <v>25</v>
          </cell>
          <cell r="L1148" t="str">
            <v>T</v>
          </cell>
          <cell r="M1148" t="str">
            <v>25</v>
          </cell>
          <cell r="N1148" t="b">
            <v>1</v>
          </cell>
          <cell r="S1148" t="str">
            <v>Professional Services (Legal, accounting, medical &amp; engineering)</v>
          </cell>
        </row>
        <row r="1149">
          <cell r="C1149" t="str">
            <v>8049</v>
          </cell>
          <cell r="D1149" t="str">
            <v>Offices and Clinics of Health Practitioners,N.E.C.</v>
          </cell>
          <cell r="E1149" t="str">
            <v>T</v>
          </cell>
          <cell r="F1149" t="str">
            <v>Y</v>
          </cell>
          <cell r="H1149" t="str">
            <v>ED</v>
          </cell>
          <cell r="I1149" t="str">
            <v>N</v>
          </cell>
          <cell r="J1149" t="str">
            <v>861XX</v>
          </cell>
          <cell r="K1149" t="str">
            <v>25</v>
          </cell>
          <cell r="L1149" t="str">
            <v>T</v>
          </cell>
          <cell r="M1149" t="str">
            <v>25</v>
          </cell>
          <cell r="N1149" t="b">
            <v>1</v>
          </cell>
          <cell r="S1149" t="str">
            <v>Professional Services (Legal, accounting, medical &amp; engineering)</v>
          </cell>
        </row>
        <row r="1150">
          <cell r="C1150" t="str">
            <v>8051</v>
          </cell>
          <cell r="D1150" t="str">
            <v>Skilled Nursing Care Facilities</v>
          </cell>
          <cell r="E1150" t="str">
            <v>T</v>
          </cell>
          <cell r="F1150" t="str">
            <v>Y</v>
          </cell>
          <cell r="H1150" t="str">
            <v>ED</v>
          </cell>
          <cell r="I1150" t="str">
            <v>N</v>
          </cell>
          <cell r="J1150" t="str">
            <v>861XX</v>
          </cell>
          <cell r="K1150" t="str">
            <v>25</v>
          </cell>
          <cell r="L1150" t="str">
            <v>T</v>
          </cell>
          <cell r="M1150" t="str">
            <v>25</v>
          </cell>
          <cell r="N1150" t="b">
            <v>1</v>
          </cell>
          <cell r="S1150" t="str">
            <v>Professional Services (Legal, accounting, medical &amp; engineering)</v>
          </cell>
        </row>
        <row r="1151">
          <cell r="C1151" t="str">
            <v>8052</v>
          </cell>
          <cell r="D1151" t="str">
            <v>Intermediate Care Facilities</v>
          </cell>
          <cell r="E1151" t="str">
            <v>T</v>
          </cell>
          <cell r="F1151" t="str">
            <v>Y</v>
          </cell>
          <cell r="H1151" t="str">
            <v>ED</v>
          </cell>
          <cell r="I1151" t="str">
            <v>N</v>
          </cell>
          <cell r="J1151" t="str">
            <v>861XX</v>
          </cell>
          <cell r="K1151" t="str">
            <v>25</v>
          </cell>
          <cell r="L1151" t="str">
            <v>T</v>
          </cell>
          <cell r="M1151" t="str">
            <v>25</v>
          </cell>
          <cell r="N1151" t="b">
            <v>1</v>
          </cell>
          <cell r="S1151" t="str">
            <v>Professional Services (Legal, accounting, medical &amp; engineering)</v>
          </cell>
        </row>
        <row r="1152">
          <cell r="C1152" t="str">
            <v>8059</v>
          </cell>
          <cell r="D1152" t="str">
            <v>Nursing and Personal Care Facilities, N.E.C.</v>
          </cell>
          <cell r="E1152" t="str">
            <v>T</v>
          </cell>
          <cell r="F1152" t="str">
            <v>Y</v>
          </cell>
          <cell r="H1152" t="str">
            <v>ED</v>
          </cell>
          <cell r="I1152" t="str">
            <v>N</v>
          </cell>
          <cell r="J1152" t="str">
            <v>861XX</v>
          </cell>
          <cell r="K1152" t="str">
            <v>25</v>
          </cell>
          <cell r="L1152" t="str">
            <v>T</v>
          </cell>
          <cell r="M1152" t="str">
            <v>25</v>
          </cell>
          <cell r="N1152" t="b">
            <v>1</v>
          </cell>
          <cell r="S1152" t="str">
            <v>Professional Services (Legal, accounting, medical &amp; engineering)</v>
          </cell>
        </row>
        <row r="1153">
          <cell r="C1153" t="str">
            <v>8062</v>
          </cell>
          <cell r="D1153" t="str">
            <v>General Medical and Surgical Hospitals</v>
          </cell>
          <cell r="E1153" t="str">
            <v>T</v>
          </cell>
          <cell r="F1153" t="str">
            <v>Y</v>
          </cell>
          <cell r="H1153" t="str">
            <v>ED</v>
          </cell>
          <cell r="I1153" t="str">
            <v>N</v>
          </cell>
          <cell r="J1153" t="str">
            <v>861XX</v>
          </cell>
          <cell r="K1153" t="str">
            <v>25</v>
          </cell>
          <cell r="L1153" t="str">
            <v>T</v>
          </cell>
          <cell r="M1153" t="str">
            <v>25</v>
          </cell>
          <cell r="N1153" t="b">
            <v>1</v>
          </cell>
          <cell r="S1153" t="str">
            <v>Professional Services (Legal, accounting, medical &amp; engineering)</v>
          </cell>
        </row>
        <row r="1154">
          <cell r="C1154" t="str">
            <v>8063</v>
          </cell>
          <cell r="D1154" t="str">
            <v>Psychiatric Hospitals</v>
          </cell>
          <cell r="E1154" t="str">
            <v>T</v>
          </cell>
          <cell r="F1154" t="str">
            <v>Y</v>
          </cell>
          <cell r="H1154" t="str">
            <v>ED</v>
          </cell>
          <cell r="I1154" t="str">
            <v>N</v>
          </cell>
          <cell r="J1154" t="str">
            <v>861XX</v>
          </cell>
          <cell r="K1154" t="str">
            <v>25</v>
          </cell>
          <cell r="L1154" t="str">
            <v>T</v>
          </cell>
          <cell r="M1154" t="str">
            <v>25</v>
          </cell>
          <cell r="N1154" t="b">
            <v>1</v>
          </cell>
          <cell r="S1154" t="str">
            <v>Professional Services (Legal, accounting, medical &amp; engineering)</v>
          </cell>
        </row>
        <row r="1155">
          <cell r="C1155" t="str">
            <v>8069</v>
          </cell>
          <cell r="D1155" t="str">
            <v>Specialty Hospitals, Except Psychiatric</v>
          </cell>
          <cell r="E1155" t="str">
            <v>T</v>
          </cell>
          <cell r="F1155" t="str">
            <v>Y</v>
          </cell>
          <cell r="H1155" t="str">
            <v>ED</v>
          </cell>
          <cell r="I1155" t="str">
            <v>N</v>
          </cell>
          <cell r="J1155" t="str">
            <v>861XX</v>
          </cell>
          <cell r="K1155" t="str">
            <v>25</v>
          </cell>
          <cell r="L1155" t="str">
            <v>T</v>
          </cell>
          <cell r="M1155" t="str">
            <v>25</v>
          </cell>
          <cell r="N1155" t="b">
            <v>1</v>
          </cell>
          <cell r="S1155" t="str">
            <v>Professional Services (Legal, accounting, medical &amp; engineering)</v>
          </cell>
        </row>
        <row r="1156">
          <cell r="C1156" t="str">
            <v>8071</v>
          </cell>
          <cell r="D1156" t="str">
            <v>Medical Laboratories</v>
          </cell>
          <cell r="E1156" t="str">
            <v>T</v>
          </cell>
          <cell r="F1156" t="str">
            <v>Y</v>
          </cell>
          <cell r="H1156" t="str">
            <v>ED</v>
          </cell>
          <cell r="I1156" t="str">
            <v>N</v>
          </cell>
          <cell r="J1156" t="str">
            <v>861XX</v>
          </cell>
          <cell r="K1156" t="str">
            <v>25</v>
          </cell>
          <cell r="L1156" t="str">
            <v>T</v>
          </cell>
          <cell r="M1156" t="str">
            <v>25</v>
          </cell>
          <cell r="N1156" t="b">
            <v>1</v>
          </cell>
          <cell r="S1156" t="str">
            <v>Professional Services (Legal, accounting, medical &amp; engineering)</v>
          </cell>
        </row>
        <row r="1157">
          <cell r="C1157" t="str">
            <v>8072</v>
          </cell>
          <cell r="D1157" t="str">
            <v>Dental Laboratories</v>
          </cell>
          <cell r="E1157" t="str">
            <v>T</v>
          </cell>
          <cell r="F1157" t="str">
            <v>Y</v>
          </cell>
          <cell r="H1157" t="str">
            <v>ED</v>
          </cell>
          <cell r="I1157" t="str">
            <v>N</v>
          </cell>
          <cell r="J1157" t="str">
            <v>861XX</v>
          </cell>
          <cell r="K1157" t="str">
            <v>25</v>
          </cell>
          <cell r="L1157" t="str">
            <v>T</v>
          </cell>
          <cell r="M1157" t="str">
            <v>25</v>
          </cell>
          <cell r="N1157" t="b">
            <v>1</v>
          </cell>
          <cell r="S1157" t="str">
            <v>Professional Services (Legal, accounting, medical &amp; engineering)</v>
          </cell>
        </row>
        <row r="1158">
          <cell r="C1158" t="str">
            <v>8082</v>
          </cell>
          <cell r="D1158" t="str">
            <v>Home Health Care Services</v>
          </cell>
          <cell r="E1158" t="str">
            <v>T</v>
          </cell>
          <cell r="F1158" t="str">
            <v>Y</v>
          </cell>
          <cell r="H1158" t="str">
            <v>ED</v>
          </cell>
          <cell r="I1158" t="str">
            <v>N</v>
          </cell>
          <cell r="J1158" t="str">
            <v>861XX</v>
          </cell>
          <cell r="K1158" t="str">
            <v>25</v>
          </cell>
          <cell r="L1158" t="str">
            <v>T</v>
          </cell>
          <cell r="M1158" t="str">
            <v>25</v>
          </cell>
          <cell r="N1158" t="b">
            <v>1</v>
          </cell>
          <cell r="S1158" t="str">
            <v>Professional Services (Legal, accounting, medical &amp; engineering)</v>
          </cell>
        </row>
        <row r="1159">
          <cell r="C1159" t="str">
            <v>8092</v>
          </cell>
          <cell r="D1159" t="str">
            <v>Kidney Dialysis Centers</v>
          </cell>
          <cell r="E1159" t="str">
            <v>T</v>
          </cell>
          <cell r="F1159" t="str">
            <v>Y</v>
          </cell>
          <cell r="H1159" t="str">
            <v>ED</v>
          </cell>
          <cell r="I1159" t="str">
            <v>N</v>
          </cell>
          <cell r="J1159" t="str">
            <v>861XX</v>
          </cell>
          <cell r="K1159" t="str">
            <v>25</v>
          </cell>
          <cell r="L1159" t="str">
            <v>T</v>
          </cell>
          <cell r="M1159" t="str">
            <v>25</v>
          </cell>
          <cell r="N1159" t="b">
            <v>1</v>
          </cell>
          <cell r="S1159" t="str">
            <v>Professional Services (Legal, accounting, medical &amp; engineering)</v>
          </cell>
        </row>
        <row r="1160">
          <cell r="C1160" t="str">
            <v>8093</v>
          </cell>
          <cell r="D1160" t="str">
            <v>Specialty Outpatient Facilities, N.E.C.</v>
          </cell>
          <cell r="E1160" t="str">
            <v>T</v>
          </cell>
          <cell r="F1160" t="str">
            <v>Y</v>
          </cell>
          <cell r="H1160" t="str">
            <v>ED</v>
          </cell>
          <cell r="I1160" t="str">
            <v>N</v>
          </cell>
          <cell r="J1160" t="str">
            <v>861XX</v>
          </cell>
          <cell r="K1160" t="str">
            <v>25</v>
          </cell>
          <cell r="L1160" t="str">
            <v>T</v>
          </cell>
          <cell r="M1160" t="str">
            <v>25</v>
          </cell>
          <cell r="N1160" t="b">
            <v>1</v>
          </cell>
          <cell r="S1160" t="str">
            <v>Professional Services (Legal, accounting, medical &amp; engineering)</v>
          </cell>
        </row>
        <row r="1161">
          <cell r="C1161" t="str">
            <v>8620X</v>
          </cell>
          <cell r="D1161" t="str">
            <v>Medical and dental practice activities</v>
          </cell>
          <cell r="E1161" t="str">
            <v>T</v>
          </cell>
          <cell r="F1161" t="str">
            <v>Y</v>
          </cell>
          <cell r="H1161" t="str">
            <v>ED</v>
          </cell>
          <cell r="I1161" t="str">
            <v>N</v>
          </cell>
          <cell r="J1161" t="str">
            <v>8620X</v>
          </cell>
          <cell r="K1161" t="str">
            <v>25</v>
          </cell>
          <cell r="L1161" t="str">
            <v>T</v>
          </cell>
          <cell r="M1161" t="str">
            <v>25</v>
          </cell>
          <cell r="N1161" t="b">
            <v>1</v>
          </cell>
          <cell r="S1161" t="str">
            <v>Professional Services (Legal, accounting, medical &amp; engineering)</v>
          </cell>
        </row>
        <row r="1162">
          <cell r="C1162" t="str">
            <v>8099</v>
          </cell>
          <cell r="D1162" t="str">
            <v>Health and Allied Services, N.E.C.</v>
          </cell>
          <cell r="E1162" t="str">
            <v>T</v>
          </cell>
          <cell r="F1162" t="str">
            <v>Y</v>
          </cell>
          <cell r="H1162" t="str">
            <v>ED</v>
          </cell>
          <cell r="I1162" t="str">
            <v>N</v>
          </cell>
          <cell r="J1162" t="str">
            <v>8690X</v>
          </cell>
          <cell r="K1162" t="str">
            <v>25</v>
          </cell>
          <cell r="L1162" t="str">
            <v>T</v>
          </cell>
          <cell r="M1162" t="str">
            <v>25</v>
          </cell>
          <cell r="N1162" t="b">
            <v>1</v>
          </cell>
          <cell r="S1162" t="str">
            <v>Professional Services (Legal, accounting, medical &amp; engineering)</v>
          </cell>
        </row>
        <row r="1163">
          <cell r="C1163" t="str">
            <v>8399</v>
          </cell>
          <cell r="D1163" t="str">
            <v>Resident Care</v>
          </cell>
          <cell r="E1163" t="str">
            <v>A</v>
          </cell>
          <cell r="F1163" t="str">
            <v>Y</v>
          </cell>
          <cell r="H1163" t="str">
            <v>ED</v>
          </cell>
          <cell r="I1163" t="str">
            <v>N</v>
          </cell>
          <cell r="J1163" t="str">
            <v>87XXX</v>
          </cell>
          <cell r="K1163" t="str">
            <v>0</v>
          </cell>
          <cell r="L1163" t="str">
            <v>A</v>
          </cell>
          <cell r="M1163" t="str">
            <v>0</v>
          </cell>
          <cell r="N1163" t="b">
            <v>1</v>
          </cell>
          <cell r="S1163" t="str">
            <v>Residential care activities</v>
          </cell>
        </row>
        <row r="1164">
          <cell r="C1164" t="str">
            <v>8361</v>
          </cell>
          <cell r="D1164" t="str">
            <v>Social Services, N.E.C.</v>
          </cell>
          <cell r="E1164" t="str">
            <v>A</v>
          </cell>
          <cell r="F1164" t="str">
            <v>Y</v>
          </cell>
          <cell r="H1164" t="str">
            <v>ED</v>
          </cell>
          <cell r="I1164" t="str">
            <v>N</v>
          </cell>
          <cell r="J1164" t="str">
            <v>88XXX</v>
          </cell>
          <cell r="K1164" t="str">
            <v>0</v>
          </cell>
          <cell r="L1164" t="str">
            <v>A</v>
          </cell>
          <cell r="M1164" t="str">
            <v>0</v>
          </cell>
          <cell r="N1164" t="b">
            <v>1</v>
          </cell>
          <cell r="S1164" t="str">
            <v>Social work activities without accommodation</v>
          </cell>
        </row>
        <row r="1165">
          <cell r="C1165" t="str">
            <v>88XXX</v>
          </cell>
          <cell r="D1165" t="str">
            <v>Other social work without accomodation</v>
          </cell>
          <cell r="E1165" t="str">
            <v>A</v>
          </cell>
          <cell r="F1165" t="str">
            <v>Y</v>
          </cell>
          <cell r="H1165" t="str">
            <v>ED</v>
          </cell>
          <cell r="I1165" t="str">
            <v>N</v>
          </cell>
          <cell r="J1165" t="str">
            <v>88XXX</v>
          </cell>
          <cell r="K1165" t="str">
            <v>0</v>
          </cell>
          <cell r="L1165" t="str">
            <v>A</v>
          </cell>
          <cell r="M1165" t="str">
            <v>0</v>
          </cell>
          <cell r="N1165" t="b">
            <v>1</v>
          </cell>
          <cell r="S1165" t="str">
            <v>Social work activities without accommodation</v>
          </cell>
        </row>
        <row r="1166">
          <cell r="C1166" t="str">
            <v>8351</v>
          </cell>
          <cell r="D1166" t="str">
            <v>Child Day Care Services</v>
          </cell>
          <cell r="E1166" t="str">
            <v>T</v>
          </cell>
          <cell r="F1166" t="str">
            <v>Y</v>
          </cell>
          <cell r="H1166" t="str">
            <v>ED</v>
          </cell>
          <cell r="I1166" t="str">
            <v>N</v>
          </cell>
          <cell r="J1166" t="str">
            <v>88XXX</v>
          </cell>
          <cell r="K1166" t="str">
            <v>12</v>
          </cell>
          <cell r="L1166" t="str">
            <v>T</v>
          </cell>
          <cell r="M1166" t="str">
            <v>12</v>
          </cell>
          <cell r="N1166" t="b">
            <v>1</v>
          </cell>
          <cell r="S1166" t="str">
            <v>Social work activities without accommodation</v>
          </cell>
        </row>
        <row r="1167">
          <cell r="C1167" t="str">
            <v>8322</v>
          </cell>
          <cell r="D1167" t="str">
            <v>Individual and Family Social Services</v>
          </cell>
          <cell r="E1167" t="str">
            <v>N</v>
          </cell>
          <cell r="F1167" t="str">
            <v>Y</v>
          </cell>
          <cell r="H1167" t="str">
            <v>ED</v>
          </cell>
          <cell r="I1167" t="str">
            <v>N</v>
          </cell>
          <cell r="J1167" t="str">
            <v>88XXX</v>
          </cell>
          <cell r="K1167" t="str">
            <v>12</v>
          </cell>
          <cell r="L1167" t="str">
            <v>N</v>
          </cell>
          <cell r="M1167" t="str">
            <v>0</v>
          </cell>
          <cell r="N1167" t="b">
            <v>1</v>
          </cell>
          <cell r="S1167" t="str">
            <v>Social work activities without accommodation</v>
          </cell>
        </row>
        <row r="1168">
          <cell r="C1168" t="str">
            <v>8331</v>
          </cell>
          <cell r="D1168" t="str">
            <v>Job Training and Vocational Rehabilitation Services</v>
          </cell>
          <cell r="E1168" t="str">
            <v>T</v>
          </cell>
          <cell r="F1168" t="str">
            <v>Y</v>
          </cell>
          <cell r="H1168" t="str">
            <v>ED</v>
          </cell>
          <cell r="I1168" t="str">
            <v>N</v>
          </cell>
          <cell r="J1168" t="str">
            <v>88XXX</v>
          </cell>
          <cell r="K1168" t="str">
            <v>12</v>
          </cell>
          <cell r="L1168" t="str">
            <v>T</v>
          </cell>
          <cell r="M1168" t="str">
            <v>12</v>
          </cell>
          <cell r="N1168" t="b">
            <v>1</v>
          </cell>
          <cell r="S1168" t="str">
            <v>Social work activities without accommodation</v>
          </cell>
        </row>
        <row r="1169">
          <cell r="C1169" t="str">
            <v>7832</v>
          </cell>
          <cell r="D1169" t="str">
            <v>Motion Picture Theaters, Except Drive-In</v>
          </cell>
          <cell r="E1169" t="str">
            <v>N</v>
          </cell>
          <cell r="F1169" t="str">
            <v>N</v>
          </cell>
          <cell r="H1169" t="str">
            <v>ED</v>
          </cell>
          <cell r="I1169" t="str">
            <v>N</v>
          </cell>
          <cell r="J1169" t="str">
            <v>9000X</v>
          </cell>
          <cell r="K1169" t="str">
            <v>12</v>
          </cell>
          <cell r="L1169" t="str">
            <v>N</v>
          </cell>
          <cell r="M1169" t="str">
            <v>0</v>
          </cell>
          <cell r="N1169" t="b">
            <v>1</v>
          </cell>
          <cell r="S1169" t="str">
            <v>Entertainment Services / Recreation Services</v>
          </cell>
        </row>
        <row r="1170">
          <cell r="C1170" t="str">
            <v>7833</v>
          </cell>
          <cell r="D1170" t="str">
            <v>Drive-In Motion Picture Theaters</v>
          </cell>
          <cell r="E1170" t="str">
            <v>N</v>
          </cell>
          <cell r="F1170" t="str">
            <v>N</v>
          </cell>
          <cell r="H1170" t="str">
            <v>ED</v>
          </cell>
          <cell r="I1170" t="str">
            <v>N</v>
          </cell>
          <cell r="J1170" t="str">
            <v>9000X</v>
          </cell>
          <cell r="K1170" t="str">
            <v>12</v>
          </cell>
          <cell r="L1170" t="str">
            <v>N</v>
          </cell>
          <cell r="M1170" t="str">
            <v>0</v>
          </cell>
          <cell r="N1170" t="b">
            <v>1</v>
          </cell>
          <cell r="S1170" t="str">
            <v>Entertainment Services / Recreation Services</v>
          </cell>
        </row>
        <row r="1171">
          <cell r="C1171" t="str">
            <v>7922</v>
          </cell>
          <cell r="D1171" t="str">
            <v>Theatrical Producers (Except Motion Picture) and Miscellaneous Theatrical Services</v>
          </cell>
          <cell r="E1171" t="str">
            <v>N</v>
          </cell>
          <cell r="F1171" t="str">
            <v>N</v>
          </cell>
          <cell r="H1171" t="str">
            <v>ED</v>
          </cell>
          <cell r="I1171" t="str">
            <v>N</v>
          </cell>
          <cell r="J1171" t="str">
            <v>9000X</v>
          </cell>
          <cell r="K1171" t="str">
            <v>12</v>
          </cell>
          <cell r="L1171" t="str">
            <v>N</v>
          </cell>
          <cell r="M1171" t="str">
            <v>0</v>
          </cell>
          <cell r="N1171" t="b">
            <v>1</v>
          </cell>
          <cell r="S1171" t="str">
            <v>Entertainment Services / Recreation Services</v>
          </cell>
        </row>
        <row r="1172">
          <cell r="C1172" t="str">
            <v>8231</v>
          </cell>
          <cell r="D1172" t="str">
            <v>Libraries</v>
          </cell>
          <cell r="E1172" t="str">
            <v>N</v>
          </cell>
          <cell r="F1172" t="str">
            <v>Y</v>
          </cell>
          <cell r="H1172" t="str">
            <v>ED</v>
          </cell>
          <cell r="I1172" t="str">
            <v>N</v>
          </cell>
          <cell r="J1172" t="str">
            <v>910XX</v>
          </cell>
          <cell r="K1172" t="str">
            <v>12</v>
          </cell>
          <cell r="L1172" t="str">
            <v>N</v>
          </cell>
          <cell r="M1172" t="str">
            <v>0</v>
          </cell>
          <cell r="N1172" t="b">
            <v>1</v>
          </cell>
          <cell r="R1172" t="str">
            <v>Should the IIF% to revise as "0" for Liabries"</v>
          </cell>
          <cell r="S1172" t="str">
            <v>Libraries, archives, museums and other cultural activities</v>
          </cell>
        </row>
        <row r="1173">
          <cell r="C1173" t="str">
            <v>8412</v>
          </cell>
          <cell r="D1173" t="str">
            <v>Museums and Art Galleries</v>
          </cell>
          <cell r="E1173" t="str">
            <v>A</v>
          </cell>
          <cell r="F1173" t="str">
            <v>Y</v>
          </cell>
          <cell r="H1173" t="str">
            <v>ED</v>
          </cell>
          <cell r="I1173" t="str">
            <v>N</v>
          </cell>
          <cell r="J1173" t="str">
            <v>910XX</v>
          </cell>
          <cell r="K1173" t="str">
            <v>12</v>
          </cell>
          <cell r="L1173" t="str">
            <v>A</v>
          </cell>
          <cell r="M1173" t="str">
            <v>0</v>
          </cell>
          <cell r="N1173" t="b">
            <v>1</v>
          </cell>
          <cell r="R1173" t="str">
            <v>To revise IIF% as "0" since it is Avoid Sector</v>
          </cell>
          <cell r="S1173" t="str">
            <v>Libraries, archives, museums and other cultural activities</v>
          </cell>
        </row>
        <row r="1174">
          <cell r="C1174" t="str">
            <v>910XX</v>
          </cell>
          <cell r="D1174" t="str">
            <v>Other cultural activities nec</v>
          </cell>
          <cell r="E1174" t="str">
            <v>A</v>
          </cell>
          <cell r="F1174" t="str">
            <v>Y</v>
          </cell>
          <cell r="H1174" t="str">
            <v>ED</v>
          </cell>
          <cell r="I1174" t="str">
            <v>N</v>
          </cell>
          <cell r="J1174" t="str">
            <v>910XX</v>
          </cell>
          <cell r="K1174" t="str">
            <v>12</v>
          </cell>
          <cell r="L1174" t="str">
            <v>A</v>
          </cell>
          <cell r="M1174" t="str">
            <v>0</v>
          </cell>
          <cell r="N1174" t="b">
            <v>1</v>
          </cell>
          <cell r="R1174" t="str">
            <v>To revise IIF% as "0" since it is Avoid Sector</v>
          </cell>
          <cell r="S1174" t="str">
            <v>Libraries, archives, museums and other cultural activities</v>
          </cell>
        </row>
        <row r="1175">
          <cell r="C1175" t="str">
            <v>8422</v>
          </cell>
          <cell r="D1175" t="str">
            <v>Arboreta and Botanical or Zoological Gardens</v>
          </cell>
          <cell r="E1175" t="str">
            <v>A</v>
          </cell>
          <cell r="F1175" t="str">
            <v>Y</v>
          </cell>
          <cell r="H1175" t="str">
            <v>ED</v>
          </cell>
          <cell r="I1175" t="str">
            <v>N</v>
          </cell>
          <cell r="J1175" t="str">
            <v>910XX</v>
          </cell>
          <cell r="K1175" t="str">
            <v>0</v>
          </cell>
          <cell r="L1175" t="str">
            <v>A</v>
          </cell>
          <cell r="M1175" t="str">
            <v>0</v>
          </cell>
          <cell r="N1175" t="b">
            <v>1</v>
          </cell>
          <cell r="S1175" t="str">
            <v>Libraries, archives, museums and other cultural activities</v>
          </cell>
        </row>
        <row r="1176">
          <cell r="C1176" t="str">
            <v>92000</v>
          </cell>
          <cell r="D1176" t="str">
            <v>Gambling and betting activities</v>
          </cell>
          <cell r="E1176" t="str">
            <v>A</v>
          </cell>
          <cell r="F1176" t="str">
            <v>Y</v>
          </cell>
          <cell r="H1176" t="str">
            <v>ED</v>
          </cell>
          <cell r="I1176" t="str">
            <v>N</v>
          </cell>
          <cell r="J1176" t="str">
            <v>92000</v>
          </cell>
          <cell r="K1176" t="str">
            <v>0</v>
          </cell>
          <cell r="L1176" t="str">
            <v>A</v>
          </cell>
          <cell r="M1176" t="str">
            <v>0</v>
          </cell>
          <cell r="N1176" t="b">
            <v>1</v>
          </cell>
          <cell r="S1176" t="str">
            <v>Gambling and betting activities</v>
          </cell>
        </row>
        <row r="1177">
          <cell r="C1177" t="str">
            <v>7519</v>
          </cell>
          <cell r="D1177" t="str">
            <v>Utility Trailer and Recreational Vehicle Rental</v>
          </cell>
          <cell r="E1177" t="str">
            <v>T</v>
          </cell>
          <cell r="F1177" t="str">
            <v>Y</v>
          </cell>
          <cell r="H1177" t="str">
            <v>ED</v>
          </cell>
          <cell r="I1177" t="str">
            <v>N</v>
          </cell>
          <cell r="J1177" t="str">
            <v>93XXX</v>
          </cell>
          <cell r="K1177" t="str">
            <v>12</v>
          </cell>
          <cell r="L1177" t="str">
            <v>T</v>
          </cell>
          <cell r="M1177" t="str">
            <v>12</v>
          </cell>
          <cell r="N1177" t="b">
            <v>1</v>
          </cell>
          <cell r="R1177" t="str">
            <v>BNM code of 93XXX, all the other SIC codes are tagged as non target, possible to reclassify this 7519 - Utility Trailer and Recreational Vehicle Rental after checking any statistic available</v>
          </cell>
          <cell r="S1177" t="str">
            <v>Entertainment Services / Recreation Services</v>
          </cell>
        </row>
        <row r="1178">
          <cell r="C1178" t="str">
            <v>7929</v>
          </cell>
          <cell r="D1178" t="str">
            <v>Bands, Orchestras, Actors, and Other Entertainers and Entertainment Groups</v>
          </cell>
          <cell r="E1178" t="str">
            <v>N</v>
          </cell>
          <cell r="F1178" t="str">
            <v>N</v>
          </cell>
          <cell r="H1178" t="str">
            <v>ED</v>
          </cell>
          <cell r="I1178" t="str">
            <v>N</v>
          </cell>
          <cell r="J1178" t="str">
            <v>93XXX</v>
          </cell>
          <cell r="K1178" t="str">
            <v>12</v>
          </cell>
          <cell r="L1178" t="str">
            <v>N</v>
          </cell>
          <cell r="M1178" t="str">
            <v>0</v>
          </cell>
          <cell r="N1178" t="b">
            <v>1</v>
          </cell>
          <cell r="S1178" t="str">
            <v>Entertainment Services / Recreation Services</v>
          </cell>
        </row>
        <row r="1179">
          <cell r="C1179" t="str">
            <v>7933</v>
          </cell>
          <cell r="D1179" t="str">
            <v>Bowling Centers</v>
          </cell>
          <cell r="E1179" t="str">
            <v>N</v>
          </cell>
          <cell r="F1179" t="str">
            <v>Y</v>
          </cell>
          <cell r="H1179" t="str">
            <v>ED</v>
          </cell>
          <cell r="I1179" t="str">
            <v>N</v>
          </cell>
          <cell r="J1179" t="str">
            <v>93XXX</v>
          </cell>
          <cell r="K1179" t="str">
            <v>12</v>
          </cell>
          <cell r="L1179" t="str">
            <v>N</v>
          </cell>
          <cell r="M1179" t="str">
            <v>0</v>
          </cell>
          <cell r="N1179" t="b">
            <v>1</v>
          </cell>
          <cell r="S1179" t="str">
            <v>Entertainment Services / Recreation Services</v>
          </cell>
        </row>
        <row r="1180">
          <cell r="C1180" t="str">
            <v>7941</v>
          </cell>
          <cell r="D1180" t="str">
            <v>Professional Sports Clubs and Promoters</v>
          </cell>
          <cell r="E1180" t="str">
            <v>N</v>
          </cell>
          <cell r="F1180" t="str">
            <v>Y</v>
          </cell>
          <cell r="H1180" t="str">
            <v>ED</v>
          </cell>
          <cell r="I1180" t="str">
            <v>N</v>
          </cell>
          <cell r="J1180" t="str">
            <v>93XXX</v>
          </cell>
          <cell r="K1180" t="str">
            <v>12</v>
          </cell>
          <cell r="L1180" t="str">
            <v>N</v>
          </cell>
          <cell r="M1180" t="str">
            <v>0</v>
          </cell>
          <cell r="N1180" t="b">
            <v>1</v>
          </cell>
          <cell r="S1180" t="str">
            <v>Entertainment Services / Recreation Services</v>
          </cell>
        </row>
        <row r="1181">
          <cell r="C1181" t="str">
            <v>7991</v>
          </cell>
          <cell r="D1181" t="str">
            <v>Physical Fitness Facilities</v>
          </cell>
          <cell r="E1181" t="str">
            <v>N</v>
          </cell>
          <cell r="F1181" t="str">
            <v>Y</v>
          </cell>
          <cell r="H1181" t="str">
            <v>ED</v>
          </cell>
          <cell r="I1181" t="str">
            <v>N</v>
          </cell>
          <cell r="J1181" t="str">
            <v>93XXX</v>
          </cell>
          <cell r="K1181" t="str">
            <v>12</v>
          </cell>
          <cell r="L1181" t="str">
            <v>N</v>
          </cell>
          <cell r="M1181" t="str">
            <v>0</v>
          </cell>
          <cell r="N1181" t="b">
            <v>1</v>
          </cell>
          <cell r="S1181" t="str">
            <v>Entertainment Services / Recreation Services</v>
          </cell>
        </row>
        <row r="1182">
          <cell r="C1182" t="str">
            <v>7993</v>
          </cell>
          <cell r="D1182" t="str">
            <v>Coin-Operated Amusement Devices</v>
          </cell>
          <cell r="E1182" t="str">
            <v>N</v>
          </cell>
          <cell r="F1182" t="str">
            <v>Y</v>
          </cell>
          <cell r="H1182" t="str">
            <v>ED</v>
          </cell>
          <cell r="I1182" t="str">
            <v>N</v>
          </cell>
          <cell r="J1182" t="str">
            <v>93XXX</v>
          </cell>
          <cell r="K1182" t="str">
            <v>12</v>
          </cell>
          <cell r="L1182" t="str">
            <v>N</v>
          </cell>
          <cell r="M1182" t="str">
            <v>0</v>
          </cell>
          <cell r="N1182" t="b">
            <v>1</v>
          </cell>
          <cell r="S1182" t="str">
            <v>Entertainment Services / Recreation Services</v>
          </cell>
        </row>
        <row r="1183">
          <cell r="C1183" t="str">
            <v>7996</v>
          </cell>
          <cell r="D1183" t="str">
            <v>Amusement Parks</v>
          </cell>
          <cell r="E1183" t="str">
            <v>N</v>
          </cell>
          <cell r="F1183" t="str">
            <v>Y</v>
          </cell>
          <cell r="H1183" t="str">
            <v>ED</v>
          </cell>
          <cell r="I1183" t="str">
            <v>N</v>
          </cell>
          <cell r="J1183" t="str">
            <v>93XXX</v>
          </cell>
          <cell r="K1183" t="str">
            <v>12</v>
          </cell>
          <cell r="L1183" t="str">
            <v>N</v>
          </cell>
          <cell r="M1183" t="str">
            <v>0</v>
          </cell>
          <cell r="N1183" t="b">
            <v>1</v>
          </cell>
          <cell r="S1183" t="str">
            <v>Entertainment Services / Recreation Services</v>
          </cell>
        </row>
        <row r="1184">
          <cell r="C1184" t="str">
            <v>7997</v>
          </cell>
          <cell r="D1184" t="str">
            <v>Membership Sports and Recreation Clubs</v>
          </cell>
          <cell r="E1184" t="str">
            <v>N</v>
          </cell>
          <cell r="F1184" t="str">
            <v>Y</v>
          </cell>
          <cell r="H1184" t="str">
            <v>ED</v>
          </cell>
          <cell r="I1184" t="str">
            <v>N</v>
          </cell>
          <cell r="J1184" t="str">
            <v>93XXX</v>
          </cell>
          <cell r="K1184" t="str">
            <v>12</v>
          </cell>
          <cell r="L1184" t="str">
            <v>N</v>
          </cell>
          <cell r="M1184" t="str">
            <v>0</v>
          </cell>
          <cell r="N1184" t="b">
            <v>1</v>
          </cell>
          <cell r="S1184" t="str">
            <v>Entertainment Services / Recreation Services</v>
          </cell>
        </row>
        <row r="1185">
          <cell r="C1185" t="str">
            <v>7999</v>
          </cell>
          <cell r="D1185" t="str">
            <v>Amusement and Recreation Services, N.E.C.</v>
          </cell>
          <cell r="E1185" t="str">
            <v>N</v>
          </cell>
          <cell r="F1185" t="str">
            <v>Y</v>
          </cell>
          <cell r="H1185" t="str">
            <v>ED</v>
          </cell>
          <cell r="I1185" t="str">
            <v>N</v>
          </cell>
          <cell r="J1185" t="str">
            <v>93XXX</v>
          </cell>
          <cell r="K1185" t="str">
            <v>12</v>
          </cell>
          <cell r="L1185" t="str">
            <v>N</v>
          </cell>
          <cell r="M1185" t="str">
            <v>0</v>
          </cell>
          <cell r="N1185" t="b">
            <v>1</v>
          </cell>
          <cell r="S1185" t="str">
            <v>Entertainment Services / Recreation Services</v>
          </cell>
        </row>
        <row r="1186">
          <cell r="C1186" t="str">
            <v>7911</v>
          </cell>
          <cell r="D1186" t="str">
            <v>Dance Studios, Schools, and Halls</v>
          </cell>
          <cell r="E1186" t="str">
            <v>N</v>
          </cell>
          <cell r="F1186" t="str">
            <v>N</v>
          </cell>
          <cell r="H1186" t="str">
            <v>ED</v>
          </cell>
          <cell r="I1186" t="str">
            <v>N</v>
          </cell>
          <cell r="J1186" t="str">
            <v>93XXX</v>
          </cell>
          <cell r="K1186" t="str">
            <v>12</v>
          </cell>
          <cell r="L1186" t="str">
            <v>N</v>
          </cell>
          <cell r="M1186" t="str">
            <v>0</v>
          </cell>
          <cell r="N1186" t="b">
            <v>1</v>
          </cell>
          <cell r="S1186" t="str">
            <v>Entertainment Services / Recreation Services</v>
          </cell>
        </row>
        <row r="1187">
          <cell r="C1187" t="str">
            <v>8661</v>
          </cell>
          <cell r="D1187" t="str">
            <v>Religious Organizations</v>
          </cell>
          <cell r="E1187" t="str">
            <v>A</v>
          </cell>
          <cell r="F1187" t="str">
            <v>N</v>
          </cell>
          <cell r="H1187" t="str">
            <v>ED</v>
          </cell>
          <cell r="I1187" t="str">
            <v>N</v>
          </cell>
          <cell r="J1187" t="str">
            <v>94XXX</v>
          </cell>
          <cell r="K1187" t="str">
            <v>0</v>
          </cell>
          <cell r="L1187" t="str">
            <v>A</v>
          </cell>
          <cell r="M1187" t="str">
            <v>0</v>
          </cell>
          <cell r="N1187" t="b">
            <v>1</v>
          </cell>
          <cell r="S1187" t="str">
            <v>Activities of membership organizations</v>
          </cell>
        </row>
        <row r="1188">
          <cell r="C1188" t="str">
            <v>8611</v>
          </cell>
          <cell r="D1188" t="str">
            <v>Business Associations</v>
          </cell>
          <cell r="E1188" t="str">
            <v>A</v>
          </cell>
          <cell r="F1188" t="str">
            <v>Y</v>
          </cell>
          <cell r="H1188" t="str">
            <v>ED</v>
          </cell>
          <cell r="I1188" t="str">
            <v>N</v>
          </cell>
          <cell r="J1188" t="str">
            <v>94XXX</v>
          </cell>
          <cell r="K1188" t="str">
            <v>0</v>
          </cell>
          <cell r="L1188" t="str">
            <v>A</v>
          </cell>
          <cell r="M1188" t="str">
            <v>0</v>
          </cell>
          <cell r="N1188" t="b">
            <v>1</v>
          </cell>
          <cell r="S1188" t="str">
            <v>Activities of membership organizations</v>
          </cell>
        </row>
        <row r="1189">
          <cell r="C1189" t="str">
            <v>8621</v>
          </cell>
          <cell r="D1189" t="str">
            <v>Professional Membership Organizations</v>
          </cell>
          <cell r="E1189" t="str">
            <v>A</v>
          </cell>
          <cell r="F1189" t="str">
            <v>Y</v>
          </cell>
          <cell r="H1189" t="str">
            <v>ED</v>
          </cell>
          <cell r="I1189" t="str">
            <v>N</v>
          </cell>
          <cell r="J1189" t="str">
            <v>94XXX</v>
          </cell>
          <cell r="K1189" t="str">
            <v>0</v>
          </cell>
          <cell r="L1189" t="str">
            <v>A</v>
          </cell>
          <cell r="M1189" t="str">
            <v>0</v>
          </cell>
          <cell r="N1189" t="b">
            <v>1</v>
          </cell>
          <cell r="S1189" t="str">
            <v>Activities of membership organizations</v>
          </cell>
        </row>
        <row r="1190">
          <cell r="C1190" t="str">
            <v>8631</v>
          </cell>
          <cell r="D1190" t="str">
            <v>Labor Unions and Similar Labor Organizations</v>
          </cell>
          <cell r="E1190" t="str">
            <v>A</v>
          </cell>
          <cell r="F1190" t="str">
            <v>Y</v>
          </cell>
          <cell r="H1190" t="str">
            <v>ED</v>
          </cell>
          <cell r="I1190" t="str">
            <v>N</v>
          </cell>
          <cell r="J1190" t="str">
            <v>94XXX</v>
          </cell>
          <cell r="K1190" t="str">
            <v>0</v>
          </cell>
          <cell r="L1190" t="str">
            <v>A</v>
          </cell>
          <cell r="M1190" t="str">
            <v>0</v>
          </cell>
          <cell r="N1190" t="b">
            <v>1</v>
          </cell>
          <cell r="S1190" t="str">
            <v>Activities of membership organizations</v>
          </cell>
        </row>
        <row r="1191">
          <cell r="C1191" t="str">
            <v>8641</v>
          </cell>
          <cell r="D1191" t="str">
            <v>Civic, Social, and Fraternal Associations</v>
          </cell>
          <cell r="E1191" t="str">
            <v>A</v>
          </cell>
          <cell r="F1191" t="str">
            <v>Y</v>
          </cell>
          <cell r="H1191" t="str">
            <v>ED</v>
          </cell>
          <cell r="I1191" t="str">
            <v>N</v>
          </cell>
          <cell r="J1191" t="str">
            <v>94XXX</v>
          </cell>
          <cell r="K1191" t="str">
            <v>0</v>
          </cell>
          <cell r="L1191" t="str">
            <v>A</v>
          </cell>
          <cell r="M1191" t="str">
            <v>0</v>
          </cell>
          <cell r="N1191" t="b">
            <v>1</v>
          </cell>
          <cell r="S1191" t="str">
            <v>Activities of membership organizations</v>
          </cell>
        </row>
        <row r="1192">
          <cell r="C1192" t="str">
            <v>94XXX</v>
          </cell>
          <cell r="D1192" t="str">
            <v>Trade unions</v>
          </cell>
          <cell r="E1192" t="str">
            <v>A</v>
          </cell>
          <cell r="F1192" t="str">
            <v>Y</v>
          </cell>
          <cell r="H1192" t="str">
            <v>ED</v>
          </cell>
          <cell r="I1192" t="str">
            <v>N</v>
          </cell>
          <cell r="J1192" t="str">
            <v>94XXX</v>
          </cell>
          <cell r="K1192" t="str">
            <v>0</v>
          </cell>
          <cell r="L1192" t="str">
            <v>A</v>
          </cell>
          <cell r="M1192" t="str">
            <v>0</v>
          </cell>
          <cell r="N1192" t="b">
            <v>1</v>
          </cell>
          <cell r="S1192" t="str">
            <v>Activities of membership organizations</v>
          </cell>
        </row>
        <row r="1193">
          <cell r="C1193" t="str">
            <v>8651</v>
          </cell>
          <cell r="D1193" t="str">
            <v>Political Organizations</v>
          </cell>
          <cell r="E1193" t="str">
            <v>A</v>
          </cell>
          <cell r="F1193" t="str">
            <v>Y</v>
          </cell>
          <cell r="H1193" t="str">
            <v>ED</v>
          </cell>
          <cell r="I1193" t="str">
            <v>N</v>
          </cell>
          <cell r="J1193" t="str">
            <v>94XXX</v>
          </cell>
          <cell r="K1193" t="str">
            <v>0</v>
          </cell>
          <cell r="L1193" t="str">
            <v>A</v>
          </cell>
          <cell r="M1193" t="str">
            <v>0</v>
          </cell>
          <cell r="N1193" t="b">
            <v>1</v>
          </cell>
          <cell r="S1193" t="str">
            <v>Activities of membership organizations</v>
          </cell>
        </row>
        <row r="1194">
          <cell r="C1194" t="str">
            <v>613041</v>
          </cell>
          <cell r="D1194" t="str">
            <v>Repair of footwear and other leather goods</v>
          </cell>
          <cell r="E1194" t="str">
            <v>T</v>
          </cell>
          <cell r="F1194" t="str">
            <v>Y</v>
          </cell>
          <cell r="H1194" t="str">
            <v>WH</v>
          </cell>
          <cell r="I1194" t="str">
            <v>N</v>
          </cell>
          <cell r="J1194" t="str">
            <v>95XXX</v>
          </cell>
          <cell r="K1194" t="str">
            <v>12</v>
          </cell>
          <cell r="L1194" t="str">
            <v>T</v>
          </cell>
          <cell r="M1194" t="str">
            <v>12</v>
          </cell>
          <cell r="N1194" t="b">
            <v>1</v>
          </cell>
          <cell r="S1194" t="str">
            <v>Repair of computers and personal and household goods</v>
          </cell>
        </row>
        <row r="1195">
          <cell r="C1195" t="str">
            <v>7629</v>
          </cell>
          <cell r="D1195" t="str">
            <v>Electrical and Electronic Repair Shops, N.E.C.</v>
          </cell>
          <cell r="E1195" t="str">
            <v>T</v>
          </cell>
          <cell r="F1195" t="str">
            <v>Y</v>
          </cell>
          <cell r="H1195" t="str">
            <v>WH</v>
          </cell>
          <cell r="I1195" t="str">
            <v>N</v>
          </cell>
          <cell r="J1195" t="str">
            <v>95XXX</v>
          </cell>
          <cell r="K1195" t="str">
            <v>12</v>
          </cell>
          <cell r="L1195" t="str">
            <v>T</v>
          </cell>
          <cell r="M1195" t="str">
            <v>12</v>
          </cell>
          <cell r="N1195" t="b">
            <v>1</v>
          </cell>
          <cell r="S1195" t="str">
            <v>Repair of computers and personal and household goods</v>
          </cell>
        </row>
        <row r="1196">
          <cell r="C1196" t="str">
            <v>7622</v>
          </cell>
          <cell r="D1196" t="str">
            <v>Radio and Television Repair Shops</v>
          </cell>
          <cell r="E1196" t="str">
            <v>T</v>
          </cell>
          <cell r="F1196" t="str">
            <v>Y</v>
          </cell>
          <cell r="H1196" t="str">
            <v>WH</v>
          </cell>
          <cell r="I1196" t="str">
            <v>N</v>
          </cell>
          <cell r="J1196" t="str">
            <v>95XXX</v>
          </cell>
          <cell r="K1196" t="str">
            <v>12</v>
          </cell>
          <cell r="L1196" t="str">
            <v>T</v>
          </cell>
          <cell r="M1196" t="str">
            <v>12</v>
          </cell>
          <cell r="N1196" t="b">
            <v>1</v>
          </cell>
          <cell r="S1196" t="str">
            <v>Repair of computers and personal and household goods</v>
          </cell>
        </row>
        <row r="1197">
          <cell r="C1197" t="str">
            <v>7623</v>
          </cell>
          <cell r="D1197" t="str">
            <v>Refrigeration and Air-Conditioning Service and Repair Shops</v>
          </cell>
          <cell r="E1197" t="str">
            <v>T</v>
          </cell>
          <cell r="F1197" t="str">
            <v>Y</v>
          </cell>
          <cell r="H1197" t="str">
            <v>WH</v>
          </cell>
          <cell r="I1197" t="str">
            <v>N</v>
          </cell>
          <cell r="J1197" t="str">
            <v>95XXX</v>
          </cell>
          <cell r="K1197" t="str">
            <v>12</v>
          </cell>
          <cell r="L1197" t="str">
            <v>T</v>
          </cell>
          <cell r="M1197" t="str">
            <v>12</v>
          </cell>
          <cell r="N1197" t="b">
            <v>1</v>
          </cell>
          <cell r="S1197" t="str">
            <v>Repair of computers and personal and household goods</v>
          </cell>
        </row>
        <row r="1198">
          <cell r="C1198" t="str">
            <v>7631</v>
          </cell>
          <cell r="D1198" t="str">
            <v>Watch, Clock, and Jewelry Repair</v>
          </cell>
          <cell r="E1198" t="str">
            <v>T</v>
          </cell>
          <cell r="F1198" t="str">
            <v>Y</v>
          </cell>
          <cell r="H1198" t="str">
            <v>WH</v>
          </cell>
          <cell r="I1198" t="str">
            <v>N</v>
          </cell>
          <cell r="J1198" t="str">
            <v>95XXX</v>
          </cell>
          <cell r="K1198" t="str">
            <v>9</v>
          </cell>
          <cell r="L1198" t="str">
            <v>T</v>
          </cell>
          <cell r="M1198" t="str">
            <v>9</v>
          </cell>
          <cell r="N1198" t="b">
            <v>1</v>
          </cell>
          <cell r="S1198" t="str">
            <v>Repair of computers and personal and household goods</v>
          </cell>
        </row>
        <row r="1199">
          <cell r="C1199" t="str">
            <v>613044</v>
          </cell>
          <cell r="D1199" t="str">
            <v>Repair of bicycles</v>
          </cell>
          <cell r="E1199" t="str">
            <v>T</v>
          </cell>
          <cell r="F1199" t="str">
            <v>Y</v>
          </cell>
          <cell r="H1199" t="str">
            <v>WH</v>
          </cell>
          <cell r="I1199" t="str">
            <v>N</v>
          </cell>
          <cell r="J1199" t="str">
            <v>95XXX</v>
          </cell>
          <cell r="K1199" t="str">
            <v>12</v>
          </cell>
          <cell r="L1199" t="str">
            <v>T</v>
          </cell>
          <cell r="M1199" t="str">
            <v>12</v>
          </cell>
          <cell r="N1199" t="b">
            <v>1</v>
          </cell>
          <cell r="S1199" t="str">
            <v>Repair of computers and personal and household goods</v>
          </cell>
        </row>
        <row r="1200">
          <cell r="C1200" t="str">
            <v>7641</v>
          </cell>
          <cell r="D1200" t="str">
            <v>Reupholstery and Furniture Repair</v>
          </cell>
          <cell r="E1200" t="str">
            <v>T</v>
          </cell>
          <cell r="F1200" t="str">
            <v>Y</v>
          </cell>
          <cell r="H1200" t="str">
            <v>WH</v>
          </cell>
          <cell r="I1200" t="str">
            <v>N</v>
          </cell>
          <cell r="J1200" t="str">
            <v>95XXX</v>
          </cell>
          <cell r="K1200" t="str">
            <v>9</v>
          </cell>
          <cell r="L1200" t="str">
            <v>T</v>
          </cell>
          <cell r="M1200" t="str">
            <v>9</v>
          </cell>
          <cell r="N1200" t="b">
            <v>1</v>
          </cell>
          <cell r="S1200" t="str">
            <v>Repair of computers and personal and household goods</v>
          </cell>
        </row>
        <row r="1201">
          <cell r="C1201" t="str">
            <v>7692</v>
          </cell>
          <cell r="D1201" t="str">
            <v>Welding Repair</v>
          </cell>
          <cell r="E1201" t="str">
            <v>T</v>
          </cell>
          <cell r="F1201" t="str">
            <v>Y</v>
          </cell>
          <cell r="H1201" t="str">
            <v>WH</v>
          </cell>
          <cell r="I1201" t="str">
            <v>N</v>
          </cell>
          <cell r="J1201" t="str">
            <v>95XXX</v>
          </cell>
          <cell r="K1201" t="str">
            <v>9</v>
          </cell>
          <cell r="L1201" t="str">
            <v>T</v>
          </cell>
          <cell r="M1201" t="str">
            <v>9</v>
          </cell>
          <cell r="N1201" t="b">
            <v>1</v>
          </cell>
          <cell r="S1201" t="str">
            <v>Repair of computers and personal and household goods</v>
          </cell>
        </row>
        <row r="1202">
          <cell r="C1202" t="str">
            <v>7699</v>
          </cell>
          <cell r="D1202" t="str">
            <v>Repair Shops and Related Services, N.E.C.</v>
          </cell>
          <cell r="E1202" t="str">
            <v>T</v>
          </cell>
          <cell r="F1202" t="str">
            <v>Y</v>
          </cell>
          <cell r="H1202" t="str">
            <v>WH</v>
          </cell>
          <cell r="I1202" t="str">
            <v>N</v>
          </cell>
          <cell r="J1202" t="str">
            <v>95XXX</v>
          </cell>
          <cell r="K1202" t="str">
            <v>9</v>
          </cell>
          <cell r="L1202" t="str">
            <v>T</v>
          </cell>
          <cell r="M1202" t="str">
            <v>9</v>
          </cell>
          <cell r="N1202" t="b">
            <v>1</v>
          </cell>
          <cell r="S1202" t="str">
            <v>Repair of computers and personal and household goods</v>
          </cell>
        </row>
        <row r="1203">
          <cell r="C1203" t="str">
            <v>7694</v>
          </cell>
          <cell r="D1203" t="str">
            <v>Armature Rewinding Shops</v>
          </cell>
          <cell r="E1203" t="str">
            <v>T</v>
          </cell>
          <cell r="F1203" t="str">
            <v>Y</v>
          </cell>
          <cell r="H1203" t="str">
            <v>WH</v>
          </cell>
          <cell r="I1203" t="str">
            <v>N</v>
          </cell>
          <cell r="J1203" t="str">
            <v>95XXX</v>
          </cell>
          <cell r="K1203" t="str">
            <v>9</v>
          </cell>
          <cell r="L1203" t="str">
            <v>T</v>
          </cell>
          <cell r="M1203" t="str">
            <v>9</v>
          </cell>
          <cell r="N1203" t="b">
            <v>1</v>
          </cell>
          <cell r="S1203" t="str">
            <v>Repair of computers and personal and household goods</v>
          </cell>
        </row>
        <row r="1204">
          <cell r="C1204" t="str">
            <v>7231</v>
          </cell>
          <cell r="D1204" t="str">
            <v>Beauty Shops</v>
          </cell>
          <cell r="E1204" t="str">
            <v>T</v>
          </cell>
          <cell r="F1204" t="str">
            <v>Y</v>
          </cell>
          <cell r="H1204" t="str">
            <v>ED</v>
          </cell>
          <cell r="I1204" t="str">
            <v>N</v>
          </cell>
          <cell r="J1204" t="str">
            <v>960XX</v>
          </cell>
          <cell r="K1204" t="str">
            <v>12</v>
          </cell>
          <cell r="L1204" t="str">
            <v>T</v>
          </cell>
          <cell r="M1204" t="str">
            <v>12</v>
          </cell>
          <cell r="N1204" t="b">
            <v>1</v>
          </cell>
          <cell r="O1204" t="str">
            <v>Y</v>
          </cell>
          <cell r="S1204" t="str">
            <v>Other personal service activities</v>
          </cell>
        </row>
        <row r="1205">
          <cell r="C1205" t="str">
            <v>7241</v>
          </cell>
          <cell r="D1205" t="str">
            <v>Barber Shops</v>
          </cell>
          <cell r="E1205" t="str">
            <v>T</v>
          </cell>
          <cell r="F1205" t="str">
            <v>Y</v>
          </cell>
          <cell r="H1205" t="str">
            <v>ED</v>
          </cell>
          <cell r="I1205" t="str">
            <v>N</v>
          </cell>
          <cell r="J1205" t="str">
            <v>960XX</v>
          </cell>
          <cell r="K1205" t="str">
            <v>12</v>
          </cell>
          <cell r="L1205" t="str">
            <v>T</v>
          </cell>
          <cell r="M1205" t="str">
            <v>12</v>
          </cell>
          <cell r="N1205" t="b">
            <v>1</v>
          </cell>
          <cell r="O1205" t="str">
            <v>Y</v>
          </cell>
          <cell r="S1205" t="str">
            <v>Other personal service activities</v>
          </cell>
        </row>
        <row r="1206">
          <cell r="C1206" t="str">
            <v>7221</v>
          </cell>
          <cell r="D1206" t="str">
            <v>Photographic Studios, Portrait</v>
          </cell>
          <cell r="E1206" t="str">
            <v>N</v>
          </cell>
          <cell r="F1206" t="str">
            <v>Y</v>
          </cell>
          <cell r="H1206" t="str">
            <v>ED</v>
          </cell>
          <cell r="I1206" t="str">
            <v>N</v>
          </cell>
          <cell r="J1206" t="str">
            <v>960XX</v>
          </cell>
          <cell r="K1206" t="str">
            <v>12</v>
          </cell>
          <cell r="L1206" t="str">
            <v>N</v>
          </cell>
          <cell r="M1206" t="str">
            <v>0</v>
          </cell>
          <cell r="N1206" t="b">
            <v>1</v>
          </cell>
          <cell r="S1206" t="str">
            <v>Other personal service activities</v>
          </cell>
        </row>
        <row r="1207">
          <cell r="C1207" t="str">
            <v>7251</v>
          </cell>
          <cell r="D1207" t="str">
            <v>Shoe Repair Shops and Shoeshine Parlors</v>
          </cell>
          <cell r="E1207" t="str">
            <v>N</v>
          </cell>
          <cell r="F1207" t="str">
            <v>Y</v>
          </cell>
          <cell r="H1207" t="str">
            <v>ED</v>
          </cell>
          <cell r="I1207" t="str">
            <v>N</v>
          </cell>
          <cell r="J1207" t="str">
            <v>960XX</v>
          </cell>
          <cell r="K1207" t="str">
            <v>12</v>
          </cell>
          <cell r="L1207" t="str">
            <v>N</v>
          </cell>
          <cell r="M1207" t="str">
            <v>0</v>
          </cell>
          <cell r="N1207" t="b">
            <v>1</v>
          </cell>
          <cell r="S1207" t="str">
            <v>Other personal service activities</v>
          </cell>
        </row>
        <row r="1208">
          <cell r="C1208" t="str">
            <v>7261</v>
          </cell>
          <cell r="D1208" t="str">
            <v>Funeral Service and Crematories</v>
          </cell>
          <cell r="E1208" t="str">
            <v>N</v>
          </cell>
          <cell r="F1208" t="str">
            <v>N</v>
          </cell>
          <cell r="H1208" t="str">
            <v>ED</v>
          </cell>
          <cell r="I1208" t="str">
            <v>N</v>
          </cell>
          <cell r="J1208" t="str">
            <v>960XX</v>
          </cell>
          <cell r="K1208" t="str">
            <v>12</v>
          </cell>
          <cell r="L1208" t="str">
            <v>N</v>
          </cell>
          <cell r="M1208" t="str">
            <v>0</v>
          </cell>
          <cell r="N1208" t="b">
            <v>1</v>
          </cell>
          <cell r="S1208" t="str">
            <v>Other personal service activities</v>
          </cell>
        </row>
        <row r="1209">
          <cell r="C1209" t="str">
            <v>7215</v>
          </cell>
          <cell r="D1209" t="str">
            <v>Coin-Operated Laundries and Drycleaning</v>
          </cell>
          <cell r="E1209" t="str">
            <v>T</v>
          </cell>
          <cell r="F1209" t="str">
            <v>Y</v>
          </cell>
          <cell r="H1209" t="str">
            <v>FI</v>
          </cell>
          <cell r="I1209" t="str">
            <v>N</v>
          </cell>
          <cell r="J1209" t="str">
            <v>74XXX</v>
          </cell>
          <cell r="K1209" t="str">
            <v>12</v>
          </cell>
          <cell r="L1209" t="str">
            <v>T</v>
          </cell>
          <cell r="M1209" t="str">
            <v>12</v>
          </cell>
          <cell r="N1209" t="b">
            <v>1</v>
          </cell>
          <cell r="O1209" t="str">
            <v>Y</v>
          </cell>
          <cell r="S1209" t="str">
            <v>Other professional, scientific and technical activities</v>
          </cell>
        </row>
        <row r="1210">
          <cell r="C1210" t="str">
            <v>7542</v>
          </cell>
          <cell r="D1210" t="str">
            <v>Carwashes</v>
          </cell>
          <cell r="E1210" t="str">
            <v>T</v>
          </cell>
          <cell r="F1210" t="str">
            <v>Y</v>
          </cell>
          <cell r="H1210" t="str">
            <v>FI</v>
          </cell>
          <cell r="I1210" t="str">
            <v>N</v>
          </cell>
          <cell r="J1210" t="str">
            <v>960XX</v>
          </cell>
          <cell r="K1210" t="str">
            <v>12</v>
          </cell>
          <cell r="L1210" t="str">
            <v>T</v>
          </cell>
          <cell r="M1210" t="str">
            <v>12</v>
          </cell>
          <cell r="N1210" t="b">
            <v>1</v>
          </cell>
          <cell r="R1210" t="str">
            <v>Should it categorized under "Other personal service (i.e. Barber &amp; Beauty Shops, Cleaning &amp; Laundry Services)"??</v>
          </cell>
          <cell r="S1210" t="str">
            <v>Other personal service activities</v>
          </cell>
        </row>
        <row r="1211">
          <cell r="C1211" t="str">
            <v>7211</v>
          </cell>
          <cell r="D1211" t="str">
            <v>Power Laundries, Family and Commercial</v>
          </cell>
          <cell r="E1211" t="str">
            <v>N</v>
          </cell>
          <cell r="F1211" t="str">
            <v>Y</v>
          </cell>
          <cell r="H1211" t="str">
            <v>ED</v>
          </cell>
          <cell r="I1211" t="str">
            <v>N</v>
          </cell>
          <cell r="J1211" t="str">
            <v>960XX</v>
          </cell>
          <cell r="K1211" t="str">
            <v>12</v>
          </cell>
          <cell r="L1211" t="str">
            <v>N</v>
          </cell>
          <cell r="M1211" t="str">
            <v>0</v>
          </cell>
          <cell r="N1211" t="b">
            <v>1</v>
          </cell>
          <cell r="R1211" t="str">
            <v>??</v>
          </cell>
          <cell r="S1211" t="str">
            <v>Other personal service activities</v>
          </cell>
        </row>
        <row r="1212">
          <cell r="C1212" t="str">
            <v>7219</v>
          </cell>
          <cell r="D1212" t="str">
            <v>Laundry and Garment Services, N.E.C.</v>
          </cell>
          <cell r="E1212" t="str">
            <v>T</v>
          </cell>
          <cell r="F1212" t="str">
            <v>Y</v>
          </cell>
          <cell r="H1212" t="str">
            <v>FI</v>
          </cell>
          <cell r="I1212" t="str">
            <v>N</v>
          </cell>
          <cell r="J1212" t="str">
            <v>74XXX</v>
          </cell>
          <cell r="K1212" t="str">
            <v>12</v>
          </cell>
          <cell r="L1212" t="str">
            <v>T</v>
          </cell>
          <cell r="M1212" t="str">
            <v>12</v>
          </cell>
          <cell r="N1212" t="b">
            <v>1</v>
          </cell>
          <cell r="O1212" t="str">
            <v>Y</v>
          </cell>
          <cell r="S1212" t="str">
            <v>Other professional, scientific and technical activities</v>
          </cell>
        </row>
        <row r="1213">
          <cell r="C1213" t="str">
            <v>7299</v>
          </cell>
          <cell r="D1213" t="str">
            <v>Miscellaneous Personal Services, N.E.C.</v>
          </cell>
          <cell r="E1213" t="str">
            <v>N</v>
          </cell>
          <cell r="F1213" t="str">
            <v>Y</v>
          </cell>
          <cell r="H1213" t="str">
            <v>ED</v>
          </cell>
          <cell r="I1213" t="str">
            <v>N</v>
          </cell>
          <cell r="J1213" t="str">
            <v>960XX</v>
          </cell>
          <cell r="K1213" t="str">
            <v>0</v>
          </cell>
          <cell r="L1213" t="str">
            <v>N</v>
          </cell>
          <cell r="M1213" t="str">
            <v>0</v>
          </cell>
          <cell r="N1213" t="b">
            <v>1</v>
          </cell>
          <cell r="S1213" t="str">
            <v>Other personal service activities</v>
          </cell>
        </row>
        <row r="1214">
          <cell r="C1214" t="str">
            <v>TXXXX</v>
          </cell>
          <cell r="D1214" t="str">
            <v>Activities of Households as Employers; Undifferentiated Goods and Services Producing Activities of Households for Own Use</v>
          </cell>
          <cell r="E1214" t="str">
            <v>A</v>
          </cell>
          <cell r="F1214" t="str">
            <v>Y</v>
          </cell>
          <cell r="H1214" t="str">
            <v>FI</v>
          </cell>
          <cell r="J1214" t="str">
            <v>TXXXX</v>
          </cell>
          <cell r="K1214" t="str">
            <v>0</v>
          </cell>
          <cell r="L1214" t="str">
            <v>A</v>
          </cell>
          <cell r="M1214" t="str">
            <v>0</v>
          </cell>
          <cell r="N1214" t="b">
            <v>1</v>
          </cell>
          <cell r="S1214" t="str">
            <v>Activities of Households as Employers; Undifferentiated Goods and Services Producing Activities of Households for Own Use</v>
          </cell>
        </row>
        <row r="1215">
          <cell r="C1215" t="str">
            <v>99000</v>
          </cell>
          <cell r="D1215" t="str">
            <v>Activities of Extraterritorial Organisations and Bodies</v>
          </cell>
          <cell r="E1215" t="str">
            <v>A</v>
          </cell>
          <cell r="F1215" t="str">
            <v>Y</v>
          </cell>
          <cell r="H1215" t="str">
            <v>FI</v>
          </cell>
          <cell r="J1215" t="str">
            <v>99000</v>
          </cell>
          <cell r="K1215" t="str">
            <v>0</v>
          </cell>
          <cell r="L1215" t="str">
            <v>A</v>
          </cell>
          <cell r="M1215" t="str">
            <v>0</v>
          </cell>
          <cell r="N1215" t="b">
            <v>1</v>
          </cell>
          <cell r="S1215" t="str">
            <v>Activities of Extraterritorial Organisations and Bodies</v>
          </cell>
        </row>
        <row r="1216">
          <cell r="C1216" t="str">
            <v>8699</v>
          </cell>
          <cell r="D1216" t="str">
            <v>Membership Organizations, N.E.C.</v>
          </cell>
          <cell r="E1216" t="str">
            <v>A</v>
          </cell>
          <cell r="F1216" t="str">
            <v>Y</v>
          </cell>
          <cell r="H1216" t="str">
            <v>ED</v>
          </cell>
          <cell r="I1216" t="str">
            <v>N</v>
          </cell>
          <cell r="J1216" t="str">
            <v>99000</v>
          </cell>
          <cell r="K1216" t="str">
            <v>0</v>
          </cell>
          <cell r="L1216" t="str">
            <v>A</v>
          </cell>
          <cell r="M1216" t="str">
            <v>0</v>
          </cell>
          <cell r="N1216" t="b">
            <v>1</v>
          </cell>
          <cell r="S1216" t="str">
            <v>Activities of Extraterritorial Organisations and Bodies</v>
          </cell>
        </row>
        <row r="1217">
          <cell r="C1217" t="str">
            <v>11042</v>
          </cell>
          <cell r="D1217" t="str">
            <v>Production of natural mineral water and other bottled water</v>
          </cell>
          <cell r="E1217" t="str">
            <v>T</v>
          </cell>
          <cell r="F1217" t="str">
            <v>Y</v>
          </cell>
          <cell r="H1217" t="str">
            <v>MA</v>
          </cell>
          <cell r="I1217" t="str">
            <v>N</v>
          </cell>
          <cell r="J1217" t="str">
            <v>110XX</v>
          </cell>
          <cell r="K1217" t="str">
            <v>12</v>
          </cell>
          <cell r="L1217" t="str">
            <v>T</v>
          </cell>
          <cell r="M1217" t="str">
            <v>12</v>
          </cell>
          <cell r="N1217" t="b">
            <v>1</v>
          </cell>
          <cell r="S1217" t="str">
            <v>Manufacture of F&amp;B products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4"/>
  <sheetViews>
    <sheetView tabSelected="1" topLeftCell="E1" zoomScaleNormal="100" workbookViewId="0">
      <selection activeCell="O5" sqref="O5"/>
    </sheetView>
  </sheetViews>
  <sheetFormatPr defaultRowHeight="15" x14ac:dyDescent="0.25"/>
  <cols>
    <col min="2" max="2" width="19.5703125" bestFit="1" customWidth="1"/>
    <col min="3" max="3" width="14.28515625" bestFit="1" customWidth="1"/>
    <col min="4" max="4" width="19" bestFit="1" customWidth="1"/>
    <col min="5" max="5" width="18.140625" customWidth="1"/>
    <col min="6" max="9" width="15.7109375" customWidth="1"/>
    <col min="10" max="10" width="16.5703125" customWidth="1"/>
    <col min="11" max="11" width="5.140625" bestFit="1" customWidth="1"/>
    <col min="12" max="16" width="14.5703125" bestFit="1" customWidth="1"/>
  </cols>
  <sheetData>
    <row r="1" spans="2:16" ht="15.75" thickBot="1" x14ac:dyDescent="0.3"/>
    <row r="2" spans="2:16" ht="15.75" thickBot="1" x14ac:dyDescent="0.3">
      <c r="B2" s="48" t="s">
        <v>2</v>
      </c>
      <c r="C2" s="50">
        <v>0.09</v>
      </c>
      <c r="E2" s="142" t="s">
        <v>0</v>
      </c>
      <c r="F2" s="140" t="s">
        <v>101</v>
      </c>
      <c r="G2" s="141"/>
      <c r="H2" s="142" t="s">
        <v>102</v>
      </c>
      <c r="I2" s="144" t="s">
        <v>103</v>
      </c>
      <c r="J2" s="142" t="s">
        <v>104</v>
      </c>
      <c r="K2" s="90"/>
    </row>
    <row r="3" spans="2:16" ht="15.75" thickBot="1" x14ac:dyDescent="0.3">
      <c r="B3" s="9" t="s">
        <v>3</v>
      </c>
      <c r="C3" s="3">
        <f>H10*2</f>
        <v>4972123.62</v>
      </c>
      <c r="E3" s="143"/>
      <c r="F3" s="91" t="str">
        <f>M3</f>
        <v>CIMB</v>
      </c>
      <c r="G3" s="92">
        <f>N3</f>
        <v>0</v>
      </c>
      <c r="H3" s="143"/>
      <c r="I3" s="145"/>
      <c r="J3" s="143"/>
      <c r="K3" s="90"/>
      <c r="M3" s="121" t="s">
        <v>3046</v>
      </c>
      <c r="N3" s="92"/>
      <c r="O3" s="89" t="s">
        <v>109</v>
      </c>
      <c r="P3" s="89" t="s">
        <v>110</v>
      </c>
    </row>
    <row r="4" spans="2:16" x14ac:dyDescent="0.25">
      <c r="B4" s="9" t="s">
        <v>4</v>
      </c>
      <c r="C4" s="4">
        <f>C3*C2</f>
        <v>447491.12579999998</v>
      </c>
      <c r="E4" s="93">
        <v>43757</v>
      </c>
      <c r="F4" s="106">
        <f t="shared" ref="F4:G9" si="0">M4-O4</f>
        <v>99779.959999999992</v>
      </c>
      <c r="G4" s="109">
        <f t="shared" si="0"/>
        <v>0</v>
      </c>
      <c r="H4" s="112">
        <f t="shared" ref="H4:H9" si="1">F4+G4</f>
        <v>99779.959999999992</v>
      </c>
      <c r="I4" s="94" t="str">
        <f t="shared" ref="I4:I9" si="2">IF(H4&gt;=$H$12,"PASS","FAIL")</f>
        <v>FAIL</v>
      </c>
      <c r="J4" s="137" t="str">
        <f>IF(K10&gt;=4,"PASS Income Consistency Requirement","FAIL Income Consistency Requirement")</f>
        <v>FAIL Income Consistency Requirement</v>
      </c>
      <c r="K4" s="95">
        <f t="shared" ref="K4:K9" si="3">IF(I4="PASS",1,0)</f>
        <v>0</v>
      </c>
      <c r="M4" s="106">
        <v>249109.16</v>
      </c>
      <c r="N4" s="109"/>
      <c r="O4" s="118">
        <f>128+1200+116600+15000+15000+200+1121.2+80</f>
        <v>149329.20000000001</v>
      </c>
      <c r="P4" s="118"/>
    </row>
    <row r="5" spans="2:16" x14ac:dyDescent="0.25">
      <c r="B5" s="105" t="s">
        <v>112</v>
      </c>
      <c r="E5" s="96">
        <v>43788</v>
      </c>
      <c r="F5" s="107">
        <f t="shared" si="0"/>
        <v>233032.85</v>
      </c>
      <c r="G5" s="110">
        <f t="shared" si="0"/>
        <v>0</v>
      </c>
      <c r="H5" s="113">
        <f t="shared" si="1"/>
        <v>233032.85</v>
      </c>
      <c r="I5" s="97" t="str">
        <f t="shared" si="2"/>
        <v>FAIL</v>
      </c>
      <c r="J5" s="138"/>
      <c r="K5" s="98">
        <f t="shared" si="3"/>
        <v>0</v>
      </c>
      <c r="M5" s="107">
        <v>244144.30000000002</v>
      </c>
      <c r="N5" s="110"/>
      <c r="O5" s="119">
        <f>3797.5+130+200+1983.95+5000</f>
        <v>11111.45</v>
      </c>
      <c r="P5" s="119"/>
    </row>
    <row r="6" spans="2:16" x14ac:dyDescent="0.25">
      <c r="B6" s="105" t="s">
        <v>111</v>
      </c>
      <c r="E6" s="96">
        <v>43818</v>
      </c>
      <c r="F6" s="107">
        <f t="shared" si="0"/>
        <v>232640.8</v>
      </c>
      <c r="G6" s="110">
        <f t="shared" si="0"/>
        <v>0</v>
      </c>
      <c r="H6" s="113">
        <f t="shared" si="1"/>
        <v>232640.8</v>
      </c>
      <c r="I6" s="97" t="str">
        <f t="shared" si="2"/>
        <v>FAIL</v>
      </c>
      <c r="J6" s="138"/>
      <c r="K6" s="98">
        <f t="shared" si="3"/>
        <v>0</v>
      </c>
      <c r="M6" s="107">
        <v>250640.8</v>
      </c>
      <c r="N6" s="110"/>
      <c r="O6" s="119">
        <f>8000+9000+1000</f>
        <v>18000</v>
      </c>
      <c r="P6" s="119"/>
    </row>
    <row r="7" spans="2:16" x14ac:dyDescent="0.25">
      <c r="B7" s="105" t="s">
        <v>25</v>
      </c>
      <c r="E7" s="96">
        <v>43849</v>
      </c>
      <c r="F7" s="107">
        <f t="shared" si="0"/>
        <v>342914.98</v>
      </c>
      <c r="G7" s="110">
        <f t="shared" si="0"/>
        <v>0</v>
      </c>
      <c r="H7" s="113">
        <f t="shared" si="1"/>
        <v>342914.98</v>
      </c>
      <c r="I7" s="97" t="str">
        <f t="shared" si="2"/>
        <v>PASS</v>
      </c>
      <c r="J7" s="138"/>
      <c r="K7" s="98">
        <f t="shared" si="3"/>
        <v>1</v>
      </c>
      <c r="M7" s="107">
        <v>342914.98</v>
      </c>
      <c r="N7" s="110"/>
      <c r="O7" s="119"/>
      <c r="P7" s="119"/>
    </row>
    <row r="8" spans="2:16" x14ac:dyDescent="0.25">
      <c r="B8" s="48" t="s">
        <v>11</v>
      </c>
      <c r="C8" s="49">
        <f>(C4+C5+C6+C7)/(E34+(Repayment!E5*12))</f>
        <v>11.897152746136433</v>
      </c>
      <c r="E8" s="96">
        <v>43880</v>
      </c>
      <c r="F8" s="107">
        <f t="shared" si="0"/>
        <v>362229.89999999997</v>
      </c>
      <c r="G8" s="110">
        <f t="shared" si="0"/>
        <v>0</v>
      </c>
      <c r="H8" s="113">
        <f t="shared" si="1"/>
        <v>362229.89999999997</v>
      </c>
      <c r="I8" s="97" t="str">
        <f t="shared" si="2"/>
        <v>PASS</v>
      </c>
      <c r="J8" s="138"/>
      <c r="K8" s="98">
        <f t="shared" si="3"/>
        <v>1</v>
      </c>
      <c r="M8" s="107">
        <v>371779.89999999997</v>
      </c>
      <c r="N8" s="110"/>
      <c r="O8" s="119">
        <f>9550</f>
        <v>9550</v>
      </c>
      <c r="P8" s="119"/>
    </row>
    <row r="9" spans="2:16" ht="15.75" thickBot="1" x14ac:dyDescent="0.3">
      <c r="B9" s="124">
        <v>0.3</v>
      </c>
      <c r="C9" s="125">
        <f>C3*30%</f>
        <v>1491637.0859999999</v>
      </c>
      <c r="E9" s="99">
        <v>43909</v>
      </c>
      <c r="F9" s="108">
        <f t="shared" si="0"/>
        <v>1215463.32</v>
      </c>
      <c r="G9" s="111">
        <f t="shared" si="0"/>
        <v>0</v>
      </c>
      <c r="H9" s="114">
        <f t="shared" si="1"/>
        <v>1215463.32</v>
      </c>
      <c r="I9" s="100" t="str">
        <f t="shared" si="2"/>
        <v>PASS</v>
      </c>
      <c r="J9" s="139"/>
      <c r="K9" s="101">
        <f t="shared" si="3"/>
        <v>1</v>
      </c>
      <c r="M9" s="108">
        <v>1215463.32</v>
      </c>
      <c r="N9" s="111"/>
      <c r="O9" s="120"/>
      <c r="P9" s="120"/>
    </row>
    <row r="10" spans="2:16" ht="15.75" thickBot="1" x14ac:dyDescent="0.3">
      <c r="G10" s="9" t="s">
        <v>105</v>
      </c>
      <c r="H10" s="115">
        <f>SUM(H4:H9)</f>
        <v>2486061.81</v>
      </c>
      <c r="J10" s="102" t="s">
        <v>106</v>
      </c>
      <c r="K10" s="103">
        <f>SUM(K4:K9)</f>
        <v>3</v>
      </c>
    </row>
    <row r="11" spans="2:16" x14ac:dyDescent="0.25">
      <c r="G11" s="9" t="s">
        <v>107</v>
      </c>
      <c r="H11" s="116">
        <f>H10/6</f>
        <v>414343.63500000001</v>
      </c>
      <c r="K11" s="90"/>
    </row>
    <row r="12" spans="2:16" ht="15.75" thickBot="1" x14ac:dyDescent="0.3">
      <c r="G12" s="9" t="s">
        <v>108</v>
      </c>
      <c r="H12" s="117">
        <f>H11*0.7</f>
        <v>290040.54449999996</v>
      </c>
      <c r="K12" s="90"/>
    </row>
    <row r="13" spans="2:16" x14ac:dyDescent="0.25">
      <c r="G13" s="9"/>
      <c r="H13" s="104"/>
      <c r="K13" s="90"/>
    </row>
    <row r="14" spans="2:16" ht="15.75" customHeight="1" x14ac:dyDescent="0.25">
      <c r="B14" s="40" t="s">
        <v>5</v>
      </c>
      <c r="C14" s="40" t="s">
        <v>7</v>
      </c>
      <c r="D14" s="40" t="s">
        <v>8</v>
      </c>
      <c r="E14" s="40" t="s">
        <v>9</v>
      </c>
    </row>
    <row r="15" spans="2:16" x14ac:dyDescent="0.25">
      <c r="B15" s="37" t="s">
        <v>6</v>
      </c>
      <c r="C15" s="38"/>
      <c r="D15" s="39"/>
      <c r="E15" s="52"/>
    </row>
    <row r="16" spans="2:16" ht="15" customHeight="1" x14ac:dyDescent="0.25">
      <c r="B16" s="123" t="s">
        <v>3052</v>
      </c>
      <c r="C16" s="6">
        <v>190000</v>
      </c>
      <c r="D16" s="5">
        <v>2178</v>
      </c>
      <c r="E16" s="51">
        <f t="shared" ref="E16:E20" si="4">D16*12</f>
        <v>26136</v>
      </c>
      <c r="I16" s="122"/>
    </row>
    <row r="17" spans="2:9" ht="15" customHeight="1" x14ac:dyDescent="0.25">
      <c r="B17" s="123"/>
      <c r="C17" s="6"/>
      <c r="D17" s="5"/>
      <c r="E17" s="51">
        <f t="shared" si="4"/>
        <v>0</v>
      </c>
      <c r="I17" s="122"/>
    </row>
    <row r="18" spans="2:9" ht="15" customHeight="1" x14ac:dyDescent="0.25">
      <c r="B18" s="123"/>
      <c r="C18" s="6"/>
      <c r="D18" s="5"/>
      <c r="E18" s="51">
        <f t="shared" si="4"/>
        <v>0</v>
      </c>
      <c r="I18" s="122"/>
    </row>
    <row r="19" spans="2:9" ht="15" customHeight="1" x14ac:dyDescent="0.25">
      <c r="B19" s="123"/>
      <c r="C19" s="6"/>
      <c r="D19" s="5"/>
      <c r="E19" s="51">
        <f t="shared" si="4"/>
        <v>0</v>
      </c>
      <c r="I19" s="122"/>
    </row>
    <row r="20" spans="2:9" ht="15" customHeight="1" x14ac:dyDescent="0.25">
      <c r="B20" s="123"/>
      <c r="C20" s="6"/>
      <c r="D20" s="5"/>
      <c r="E20" s="51">
        <f t="shared" si="4"/>
        <v>0</v>
      </c>
      <c r="I20" s="122"/>
    </row>
    <row r="21" spans="2:9" x14ac:dyDescent="0.25">
      <c r="B21" s="41" t="s">
        <v>1</v>
      </c>
      <c r="C21" s="42">
        <f>SUM(C16:C20)</f>
        <v>190000</v>
      </c>
      <c r="D21" s="43">
        <f>SUM(D16:D20)</f>
        <v>2178</v>
      </c>
      <c r="E21" s="44">
        <f>SUM(E16:E20)</f>
        <v>26136</v>
      </c>
    </row>
    <row r="22" spans="2:9" x14ac:dyDescent="0.25">
      <c r="B22" s="37"/>
      <c r="C22" s="38"/>
      <c r="D22" s="39"/>
      <c r="E22" s="39"/>
    </row>
    <row r="23" spans="2:9" x14ac:dyDescent="0.25">
      <c r="B23" s="2"/>
      <c r="C23" s="6"/>
      <c r="D23" s="5"/>
      <c r="E23" s="5">
        <f t="shared" ref="E23:E26" si="5">D23*12</f>
        <v>0</v>
      </c>
    </row>
    <row r="24" spans="2:9" x14ac:dyDescent="0.25">
      <c r="B24" s="2"/>
      <c r="C24" s="6"/>
      <c r="D24" s="5"/>
      <c r="E24" s="5">
        <f t="shared" si="5"/>
        <v>0</v>
      </c>
    </row>
    <row r="25" spans="2:9" x14ac:dyDescent="0.25">
      <c r="B25" s="2"/>
      <c r="C25" s="6"/>
      <c r="D25" s="5"/>
      <c r="E25" s="5">
        <f t="shared" si="5"/>
        <v>0</v>
      </c>
    </row>
    <row r="26" spans="2:9" x14ac:dyDescent="0.25">
      <c r="B26" s="2"/>
      <c r="C26" s="6"/>
      <c r="D26" s="5"/>
      <c r="E26" s="5">
        <f t="shared" si="5"/>
        <v>0</v>
      </c>
    </row>
    <row r="27" spans="2:9" x14ac:dyDescent="0.25">
      <c r="B27" s="41" t="s">
        <v>1</v>
      </c>
      <c r="C27" s="42">
        <f>SUM(C23:C26)</f>
        <v>0</v>
      </c>
      <c r="D27" s="43">
        <f>SUM(D23:D26)</f>
        <v>0</v>
      </c>
      <c r="E27" s="43">
        <f>SUM(E23:E26)</f>
        <v>0</v>
      </c>
    </row>
    <row r="28" spans="2:9" x14ac:dyDescent="0.25">
      <c r="B28" s="37"/>
      <c r="C28" s="38"/>
      <c r="D28" s="45"/>
      <c r="E28" s="39"/>
    </row>
    <row r="29" spans="2:9" x14ac:dyDescent="0.25">
      <c r="B29" s="2"/>
      <c r="C29" s="6"/>
      <c r="D29" s="8">
        <f>C29*5%</f>
        <v>0</v>
      </c>
      <c r="E29" s="5">
        <f>D29*12</f>
        <v>0</v>
      </c>
    </row>
    <row r="30" spans="2:9" x14ac:dyDescent="0.25">
      <c r="B30" s="2"/>
      <c r="C30" s="6"/>
      <c r="D30" s="8">
        <f t="shared" ref="D30:D32" si="6">C30*5%</f>
        <v>0</v>
      </c>
      <c r="E30" s="5">
        <f t="shared" ref="E30:E32" si="7">D30*12</f>
        <v>0</v>
      </c>
    </row>
    <row r="31" spans="2:9" x14ac:dyDescent="0.25">
      <c r="B31" s="2"/>
      <c r="C31" s="6"/>
      <c r="D31" s="8">
        <f t="shared" si="6"/>
        <v>0</v>
      </c>
      <c r="E31" s="5">
        <f t="shared" si="7"/>
        <v>0</v>
      </c>
    </row>
    <row r="32" spans="2:9" x14ac:dyDescent="0.25">
      <c r="B32" s="7"/>
      <c r="C32" s="6"/>
      <c r="D32" s="8">
        <f t="shared" si="6"/>
        <v>0</v>
      </c>
      <c r="E32" s="5">
        <f t="shared" si="7"/>
        <v>0</v>
      </c>
    </row>
    <row r="33" spans="2:5" x14ac:dyDescent="0.25">
      <c r="B33" s="41" t="s">
        <v>1</v>
      </c>
      <c r="C33" s="42">
        <f>SUM(C29:C32)</f>
        <v>0</v>
      </c>
      <c r="D33" s="43">
        <f>SUM(D29:D32)</f>
        <v>0</v>
      </c>
      <c r="E33" s="44">
        <f>SUM(E29:E32)</f>
        <v>0</v>
      </c>
    </row>
    <row r="34" spans="2:5" x14ac:dyDescent="0.25">
      <c r="B34" s="1" t="s">
        <v>10</v>
      </c>
      <c r="C34" s="10">
        <f>SUM(C21,C27,C33)</f>
        <v>190000</v>
      </c>
      <c r="D34" s="10">
        <f>SUM(D21,D27,D33)</f>
        <v>2178</v>
      </c>
      <c r="E34" s="10">
        <f>SUM(E21,E27,E33)</f>
        <v>26136</v>
      </c>
    </row>
  </sheetData>
  <mergeCells count="6">
    <mergeCell ref="J4:J9"/>
    <mergeCell ref="F2:G2"/>
    <mergeCell ref="E2:E3"/>
    <mergeCell ref="H2:H3"/>
    <mergeCell ref="I2:I3"/>
    <mergeCell ref="J2:J3"/>
  </mergeCells>
  <conditionalFormatting sqref="J4:J9">
    <cfRule type="containsText" dxfId="1" priority="1" operator="containsText" text="PASS">
      <formula>NOT(ISERROR(SEARCH("PASS",J4)))</formula>
    </cfRule>
    <cfRule type="containsText" dxfId="0" priority="2" operator="containsText" text="FAIL">
      <formula>NOT(ISERROR(SEARCH("FAIL",J4)))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workbookViewId="0">
      <selection activeCell="M9" sqref="M9:N9"/>
    </sheetView>
  </sheetViews>
  <sheetFormatPr defaultRowHeight="15" x14ac:dyDescent="0.25"/>
  <cols>
    <col min="2" max="2" width="14.7109375" style="3" bestFit="1" customWidth="1"/>
    <col min="4" max="4" width="14.7109375" style="3" bestFit="1" customWidth="1"/>
    <col min="6" max="6" width="14.7109375" style="3" bestFit="1" customWidth="1"/>
    <col min="8" max="8" width="14.7109375" style="3" bestFit="1" customWidth="1"/>
    <col min="10" max="10" width="14.7109375" style="3" bestFit="1" customWidth="1"/>
    <col min="12" max="12" width="14.7109375" style="3" bestFit="1" customWidth="1"/>
  </cols>
  <sheetData>
    <row r="1" spans="2:12" x14ac:dyDescent="0.25">
      <c r="B1" s="135" t="s">
        <v>3044</v>
      </c>
      <c r="D1" s="135" t="s">
        <v>3047</v>
      </c>
      <c r="F1" s="135" t="s">
        <v>3048</v>
      </c>
      <c r="H1" s="135" t="s">
        <v>3049</v>
      </c>
      <c r="J1" s="135" t="s">
        <v>3050</v>
      </c>
      <c r="L1" s="135" t="s">
        <v>3051</v>
      </c>
    </row>
    <row r="2" spans="2:12" x14ac:dyDescent="0.25">
      <c r="B2" s="135"/>
      <c r="D2" s="135"/>
      <c r="F2" s="135"/>
      <c r="H2" s="135"/>
      <c r="J2" s="135"/>
      <c r="L2" s="135"/>
    </row>
    <row r="3" spans="2:12" x14ac:dyDescent="0.25">
      <c r="B3" s="136" t="s">
        <v>3045</v>
      </c>
      <c r="D3" s="136" t="s">
        <v>3045</v>
      </c>
      <c r="F3" s="136" t="s">
        <v>3045</v>
      </c>
      <c r="H3" s="136" t="s">
        <v>3045</v>
      </c>
      <c r="J3" s="136" t="s">
        <v>3045</v>
      </c>
      <c r="L3" s="136" t="s">
        <v>3045</v>
      </c>
    </row>
    <row r="4" spans="2:12" x14ac:dyDescent="0.25">
      <c r="B4" s="134">
        <f>SUM(B$6:B$1048576)</f>
        <v>249109.16</v>
      </c>
      <c r="D4" s="134">
        <f>SUM(D$6:D$1048576)</f>
        <v>244144.30000000002</v>
      </c>
      <c r="F4" s="134">
        <f>SUM(F$6:F$1048576)</f>
        <v>250640.8</v>
      </c>
      <c r="H4" s="134">
        <f>SUM(H$6:H$1048576)</f>
        <v>342914.98</v>
      </c>
      <c r="J4" s="134">
        <f>SUM(J$6:J$1048576)</f>
        <v>371779.89999999997</v>
      </c>
      <c r="L4" s="134">
        <f>SUM(L$6:L$1048576)</f>
        <v>1215463.32</v>
      </c>
    </row>
    <row r="6" spans="2:12" x14ac:dyDescent="0.25">
      <c r="B6" s="3">
        <v>128</v>
      </c>
      <c r="D6" s="3">
        <v>3797.5</v>
      </c>
      <c r="F6" s="3">
        <v>30000</v>
      </c>
      <c r="H6" s="3">
        <v>153737.1</v>
      </c>
      <c r="J6" s="3">
        <v>9550</v>
      </c>
      <c r="L6" s="3">
        <v>333390</v>
      </c>
    </row>
    <row r="7" spans="2:12" x14ac:dyDescent="0.25">
      <c r="B7" s="3">
        <v>1200</v>
      </c>
      <c r="D7" s="3">
        <v>130</v>
      </c>
      <c r="F7" s="3">
        <v>1060</v>
      </c>
      <c r="H7" s="3">
        <v>18380.400000000001</v>
      </c>
      <c r="J7" s="3">
        <v>1378</v>
      </c>
      <c r="L7" s="3">
        <v>9165.6</v>
      </c>
    </row>
    <row r="8" spans="2:12" x14ac:dyDescent="0.25">
      <c r="B8" s="3">
        <v>5300</v>
      </c>
      <c r="D8" s="3">
        <v>200</v>
      </c>
      <c r="F8" s="3">
        <v>25848</v>
      </c>
      <c r="H8" s="3">
        <v>37736</v>
      </c>
      <c r="J8" s="3">
        <v>275</v>
      </c>
      <c r="L8" s="3">
        <v>295610.68</v>
      </c>
    </row>
    <row r="9" spans="2:12" x14ac:dyDescent="0.25">
      <c r="B9" s="3">
        <v>10202.56</v>
      </c>
      <c r="D9" s="3">
        <v>1983.95</v>
      </c>
      <c r="F9" s="3">
        <v>1060</v>
      </c>
      <c r="H9" s="3">
        <v>5000</v>
      </c>
      <c r="J9" s="3">
        <v>190020.3</v>
      </c>
      <c r="L9" s="3">
        <v>51993</v>
      </c>
    </row>
    <row r="10" spans="2:12" x14ac:dyDescent="0.25">
      <c r="B10" s="3">
        <v>14500.8</v>
      </c>
      <c r="D10" s="3">
        <v>99775.679999999993</v>
      </c>
      <c r="F10" s="3">
        <v>30000</v>
      </c>
      <c r="H10" s="3">
        <v>2522.8000000000002</v>
      </c>
      <c r="J10" s="3">
        <v>3000</v>
      </c>
      <c r="L10" s="3">
        <v>499591.04</v>
      </c>
    </row>
    <row r="11" spans="2:12" x14ac:dyDescent="0.25">
      <c r="B11" s="3">
        <v>116600</v>
      </c>
      <c r="D11" s="3">
        <v>636</v>
      </c>
      <c r="F11" s="3">
        <v>24358.799999999999</v>
      </c>
      <c r="H11" s="3">
        <v>93916</v>
      </c>
      <c r="J11" s="3">
        <v>100000</v>
      </c>
      <c r="L11" s="3">
        <v>2014</v>
      </c>
    </row>
    <row r="12" spans="2:12" x14ac:dyDescent="0.25">
      <c r="B12" s="3">
        <v>15000</v>
      </c>
      <c r="D12" s="3">
        <v>1643</v>
      </c>
      <c r="F12" s="3">
        <v>200</v>
      </c>
      <c r="H12" s="3">
        <v>4240</v>
      </c>
      <c r="J12" s="3">
        <v>8596.6</v>
      </c>
      <c r="L12" s="3">
        <v>1727.8</v>
      </c>
    </row>
    <row r="13" spans="2:12" x14ac:dyDescent="0.25">
      <c r="B13" s="3">
        <v>15000</v>
      </c>
      <c r="D13" s="3">
        <v>8215</v>
      </c>
      <c r="F13" s="3">
        <v>8000</v>
      </c>
      <c r="H13" s="3">
        <v>22914.28</v>
      </c>
      <c r="J13" s="3">
        <v>840</v>
      </c>
      <c r="L13" s="3">
        <v>2641.6</v>
      </c>
    </row>
    <row r="14" spans="2:12" x14ac:dyDescent="0.25">
      <c r="B14" s="3">
        <v>954</v>
      </c>
      <c r="D14" s="3">
        <v>5000</v>
      </c>
      <c r="F14" s="3">
        <v>2900</v>
      </c>
      <c r="H14" s="3">
        <v>4388.3999999999996</v>
      </c>
      <c r="J14" s="3">
        <v>5000</v>
      </c>
      <c r="L14" s="3">
        <v>551.20000000000005</v>
      </c>
    </row>
    <row r="15" spans="2:12" x14ac:dyDescent="0.25">
      <c r="B15" s="3">
        <v>8702.6</v>
      </c>
      <c r="D15" s="3">
        <v>40970</v>
      </c>
      <c r="F15" s="3">
        <v>500</v>
      </c>
      <c r="H15" s="3">
        <v>80</v>
      </c>
      <c r="J15" s="3">
        <v>50000</v>
      </c>
      <c r="L15" s="3">
        <v>18698.400000000001</v>
      </c>
    </row>
    <row r="16" spans="2:12" x14ac:dyDescent="0.25">
      <c r="B16" s="3">
        <v>200</v>
      </c>
      <c r="D16" s="3">
        <v>28111.200000000001</v>
      </c>
      <c r="F16" s="3">
        <v>4500</v>
      </c>
      <c r="J16" s="3">
        <v>3040</v>
      </c>
      <c r="L16" s="3">
        <v>80</v>
      </c>
    </row>
    <row r="17" spans="2:10" x14ac:dyDescent="0.25">
      <c r="B17" s="3">
        <v>120</v>
      </c>
      <c r="D17" s="3">
        <v>44944</v>
      </c>
      <c r="F17" s="3">
        <v>9000</v>
      </c>
      <c r="J17" s="3">
        <v>80</v>
      </c>
    </row>
    <row r="18" spans="2:10" x14ac:dyDescent="0.25">
      <c r="B18" s="3">
        <v>60000</v>
      </c>
      <c r="D18" s="3">
        <v>5000</v>
      </c>
      <c r="F18" s="3">
        <v>1000</v>
      </c>
    </row>
    <row r="19" spans="2:10" x14ac:dyDescent="0.25">
      <c r="B19" s="3">
        <v>1121.2</v>
      </c>
      <c r="D19" s="3">
        <v>53.97</v>
      </c>
      <c r="F19" s="3">
        <v>1484</v>
      </c>
    </row>
    <row r="20" spans="2:10" x14ac:dyDescent="0.25">
      <c r="B20" s="3">
        <v>80</v>
      </c>
      <c r="D20" s="3">
        <v>3604</v>
      </c>
      <c r="F20" s="3">
        <v>742</v>
      </c>
    </row>
    <row r="21" spans="2:10" x14ac:dyDescent="0.25">
      <c r="D21" s="3">
        <v>80</v>
      </c>
      <c r="F21" s="3">
        <v>109908</v>
      </c>
    </row>
    <row r="22" spans="2:10" x14ac:dyDescent="0.25">
      <c r="F22" s="3">
        <v>80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1"/>
  <sheetViews>
    <sheetView topLeftCell="B1" workbookViewId="0">
      <selection activeCell="D14" sqref="D14"/>
    </sheetView>
  </sheetViews>
  <sheetFormatPr defaultRowHeight="15" x14ac:dyDescent="0.25"/>
  <cols>
    <col min="1" max="1" width="9.140625" style="11"/>
    <col min="2" max="2" width="21.28515625" style="11" customWidth="1"/>
    <col min="3" max="3" width="9.140625" style="11"/>
    <col min="4" max="4" width="13" style="11" customWidth="1"/>
    <col min="5" max="5" width="13.140625" style="11" customWidth="1"/>
    <col min="6" max="6" width="16.140625" style="11" hidden="1" customWidth="1"/>
    <col min="7" max="7" width="13.42578125" style="11" customWidth="1"/>
    <col min="8" max="10" width="9.140625" style="11"/>
    <col min="11" max="11" width="18.5703125" style="11" customWidth="1"/>
    <col min="12" max="12" width="14" style="11" customWidth="1"/>
    <col min="13" max="13" width="13.42578125" style="11" customWidth="1"/>
    <col min="14" max="14" width="14.28515625" style="11" customWidth="1"/>
    <col min="15" max="15" width="12" style="11" customWidth="1"/>
    <col min="16" max="16" width="11.85546875" style="11" customWidth="1"/>
    <col min="17" max="16384" width="9.140625" style="11"/>
  </cols>
  <sheetData>
    <row r="2" spans="2:16" x14ac:dyDescent="0.25">
      <c r="B2" s="12" t="s">
        <v>12</v>
      </c>
      <c r="C2" s="13"/>
      <c r="D2" s="13"/>
      <c r="E2" s="13"/>
      <c r="F2" s="13"/>
      <c r="G2" s="13"/>
      <c r="H2" s="14"/>
      <c r="I2" s="14"/>
      <c r="J2" s="14"/>
      <c r="K2" s="15" t="s">
        <v>13</v>
      </c>
      <c r="L2" s="16"/>
      <c r="M2" s="17"/>
      <c r="N2" s="18"/>
      <c r="O2" s="18"/>
      <c r="P2" s="18"/>
    </row>
    <row r="3" spans="2:16" x14ac:dyDescent="0.25">
      <c r="B3" s="13"/>
      <c r="C3" s="13"/>
      <c r="D3" s="13"/>
      <c r="E3" s="13"/>
      <c r="F3" s="13"/>
      <c r="G3" s="13"/>
      <c r="H3" s="14"/>
      <c r="I3" s="14"/>
      <c r="J3" s="14"/>
      <c r="K3" s="19"/>
      <c r="L3" s="20">
        <v>0.16850000000000001</v>
      </c>
      <c r="M3" s="20">
        <v>0.16850000000000001</v>
      </c>
      <c r="N3" s="20">
        <v>0.16850000000000001</v>
      </c>
      <c r="O3" s="20">
        <v>0.16850000000000001</v>
      </c>
      <c r="P3" s="20">
        <v>0.16850000000000001</v>
      </c>
    </row>
    <row r="4" spans="2:16" ht="75" x14ac:dyDescent="0.25">
      <c r="B4" s="21" t="s">
        <v>14</v>
      </c>
      <c r="C4" s="21" t="s">
        <v>15</v>
      </c>
      <c r="D4" s="21" t="s">
        <v>16</v>
      </c>
      <c r="E4" s="21" t="s">
        <v>17</v>
      </c>
      <c r="F4" s="21" t="s">
        <v>18</v>
      </c>
      <c r="G4" s="21" t="s">
        <v>19</v>
      </c>
      <c r="H4" s="18"/>
      <c r="I4" s="18"/>
      <c r="J4" s="18"/>
      <c r="K4" s="22" t="s">
        <v>20</v>
      </c>
      <c r="L4" s="23">
        <v>12</v>
      </c>
      <c r="M4" s="23">
        <v>24</v>
      </c>
      <c r="N4" s="23">
        <v>36</v>
      </c>
      <c r="O4" s="23">
        <v>48</v>
      </c>
      <c r="P4" s="23">
        <v>60</v>
      </c>
    </row>
    <row r="5" spans="2:16" x14ac:dyDescent="0.25">
      <c r="B5" s="24">
        <v>50000</v>
      </c>
      <c r="C5" s="25">
        <v>0.14699999999999999</v>
      </c>
      <c r="D5" s="26">
        <v>84</v>
      </c>
      <c r="E5" s="27">
        <f>-PMT(C5/12,D5,B5)</f>
        <v>956.44131934089239</v>
      </c>
      <c r="F5" s="28">
        <v>11141.666666666666</v>
      </c>
      <c r="G5" s="29">
        <f>((((E5*D5)-B5)/B5)/(D5/12))</f>
        <v>8.6688773784671339E-2</v>
      </c>
      <c r="H5" s="14"/>
      <c r="I5" s="14"/>
      <c r="J5" s="14"/>
      <c r="K5" s="30">
        <v>100000</v>
      </c>
      <c r="L5" s="31">
        <f>-PMT($C$5/12,$L$4,K5)</f>
        <v>9011.6811999239271</v>
      </c>
      <c r="M5" s="31">
        <f>-PMT($C$5/12,$M$4,K5)</f>
        <v>4834.4235060554411</v>
      </c>
      <c r="N5" s="31">
        <f>-PMT($C$5/12,$N$4,K5)</f>
        <v>3451.8597568840541</v>
      </c>
      <c r="O5" s="31">
        <f>-PMT($C$5/12,$O$4,K5)</f>
        <v>2767.8912943803671</v>
      </c>
      <c r="P5" s="31">
        <f>-PMT($C$5/12,$P$4,K5)</f>
        <v>2363.2746806619757</v>
      </c>
    </row>
    <row r="6" spans="2:16" x14ac:dyDescent="0.25">
      <c r="B6" s="32" t="s">
        <v>21</v>
      </c>
      <c r="C6" s="13"/>
      <c r="D6" s="13"/>
      <c r="E6" s="13"/>
      <c r="F6" s="13"/>
      <c r="G6" s="13"/>
      <c r="H6" s="14"/>
      <c r="I6" s="14"/>
      <c r="J6" s="14"/>
      <c r="K6" s="30">
        <v>150000</v>
      </c>
      <c r="L6" s="31">
        <f t="shared" ref="L6:L13" si="0">-PMT($C$5/12,$L$4,K6)</f>
        <v>13517.521799885892</v>
      </c>
      <c r="M6" s="31">
        <f t="shared" ref="M6:M13" si="1">-PMT($C$5/12,$M$4,K6)</f>
        <v>7251.6352590831621</v>
      </c>
      <c r="N6" s="31">
        <f t="shared" ref="N6:N13" si="2">-PMT($C$5/12,$N$4,K6)</f>
        <v>5177.7896353260812</v>
      </c>
      <c r="O6" s="31">
        <f t="shared" ref="O6:O13" si="3">-PMT($C$5/12,$O$4,K6)</f>
        <v>4151.8369415705502</v>
      </c>
      <c r="P6" s="31">
        <f t="shared" ref="P6:P13" si="4">-PMT($C$5/12,$P$4,K6)</f>
        <v>3544.9120209929638</v>
      </c>
    </row>
    <row r="7" spans="2:16" x14ac:dyDescent="0.25">
      <c r="B7" s="13"/>
      <c r="C7" s="13"/>
      <c r="D7" s="13"/>
      <c r="E7" s="13"/>
      <c r="F7" s="13"/>
      <c r="G7" s="13"/>
      <c r="H7" s="14"/>
      <c r="I7" s="14"/>
      <c r="J7" s="14"/>
      <c r="K7" s="30">
        <v>200000</v>
      </c>
      <c r="L7" s="31">
        <f t="shared" si="0"/>
        <v>18023.362399847854</v>
      </c>
      <c r="M7" s="31">
        <f t="shared" si="1"/>
        <v>9668.8470121108821</v>
      </c>
      <c r="N7" s="31">
        <f t="shared" si="2"/>
        <v>6903.7195137681083</v>
      </c>
      <c r="O7" s="31">
        <f t="shared" si="3"/>
        <v>5535.7825887607341</v>
      </c>
      <c r="P7" s="31">
        <f t="shared" si="4"/>
        <v>4726.5493613239514</v>
      </c>
    </row>
    <row r="8" spans="2:16" x14ac:dyDescent="0.25">
      <c r="B8" s="33" t="s">
        <v>22</v>
      </c>
      <c r="C8" s="13"/>
      <c r="D8" s="13"/>
      <c r="E8" s="13"/>
      <c r="F8" s="13"/>
      <c r="G8" s="13"/>
      <c r="H8" s="14"/>
      <c r="I8" s="14"/>
      <c r="J8" s="14"/>
      <c r="K8" s="30">
        <v>250000</v>
      </c>
      <c r="L8" s="31">
        <f t="shared" si="0"/>
        <v>22529.202999809815</v>
      </c>
      <c r="M8" s="31">
        <f t="shared" si="1"/>
        <v>12086.058765138603</v>
      </c>
      <c r="N8" s="31">
        <f t="shared" si="2"/>
        <v>8629.6493922101363</v>
      </c>
      <c r="O8" s="31">
        <f t="shared" si="3"/>
        <v>6919.7282359509172</v>
      </c>
      <c r="P8" s="31">
        <f t="shared" si="4"/>
        <v>5908.1867016549395</v>
      </c>
    </row>
    <row r="9" spans="2:16" x14ac:dyDescent="0.25">
      <c r="B9" s="33" t="s">
        <v>23</v>
      </c>
      <c r="C9" s="13"/>
      <c r="D9" s="13"/>
      <c r="E9" s="13"/>
      <c r="F9" s="13"/>
      <c r="G9" s="13"/>
      <c r="H9" s="14"/>
      <c r="I9" s="14"/>
      <c r="J9" s="14"/>
      <c r="K9" s="30">
        <v>300000</v>
      </c>
      <c r="L9" s="31">
        <f t="shared" si="0"/>
        <v>27035.043599771783</v>
      </c>
      <c r="M9" s="31">
        <f t="shared" si="1"/>
        <v>14503.270518166324</v>
      </c>
      <c r="N9" s="31">
        <f t="shared" si="2"/>
        <v>10355.579270652162</v>
      </c>
      <c r="O9" s="31">
        <f t="shared" si="3"/>
        <v>8303.6738831411003</v>
      </c>
      <c r="P9" s="31">
        <f t="shared" si="4"/>
        <v>7089.8240419859276</v>
      </c>
    </row>
    <row r="10" spans="2:16" x14ac:dyDescent="0.25">
      <c r="B10" s="34" t="s">
        <v>24</v>
      </c>
      <c r="C10" s="35"/>
      <c r="D10" s="35"/>
      <c r="E10" s="35"/>
      <c r="F10" s="35"/>
      <c r="G10" s="35"/>
      <c r="H10" s="46"/>
      <c r="I10" s="14"/>
      <c r="J10" s="14"/>
      <c r="K10" s="30">
        <v>350000</v>
      </c>
      <c r="L10" s="31">
        <f t="shared" si="0"/>
        <v>31540.884199733744</v>
      </c>
      <c r="M10" s="31">
        <f t="shared" si="1"/>
        <v>16920.482271194043</v>
      </c>
      <c r="N10" s="31">
        <f t="shared" si="2"/>
        <v>12081.509149094189</v>
      </c>
      <c r="O10" s="31">
        <f t="shared" si="3"/>
        <v>9687.6195303312852</v>
      </c>
      <c r="P10" s="31">
        <f t="shared" si="4"/>
        <v>8271.4613823169148</v>
      </c>
    </row>
    <row r="11" spans="2:16" x14ac:dyDescent="0.25">
      <c r="B11" s="35"/>
      <c r="C11" s="35"/>
      <c r="D11" s="35"/>
      <c r="E11" s="35"/>
      <c r="F11" s="35"/>
      <c r="G11" s="36"/>
      <c r="H11" s="46"/>
      <c r="I11" s="14"/>
      <c r="J11" s="14"/>
      <c r="K11" s="30">
        <v>400000</v>
      </c>
      <c r="L11" s="31">
        <f t="shared" si="0"/>
        <v>36046.724799695708</v>
      </c>
      <c r="M11" s="31">
        <f t="shared" si="1"/>
        <v>19337.694024221764</v>
      </c>
      <c r="N11" s="31">
        <f t="shared" si="2"/>
        <v>13807.439027536217</v>
      </c>
      <c r="O11" s="31">
        <f t="shared" si="3"/>
        <v>11071.565177521468</v>
      </c>
      <c r="P11" s="31">
        <f t="shared" si="4"/>
        <v>9453.0987226479028</v>
      </c>
    </row>
    <row r="12" spans="2:16" x14ac:dyDescent="0.25">
      <c r="B12" s="35"/>
      <c r="C12" s="35"/>
      <c r="D12" s="35"/>
      <c r="E12" s="35"/>
      <c r="F12" s="35"/>
      <c r="G12" s="35"/>
      <c r="H12" s="46"/>
      <c r="I12" s="14"/>
      <c r="J12" s="14"/>
      <c r="K12" s="30">
        <v>450000</v>
      </c>
      <c r="L12" s="31">
        <f t="shared" si="0"/>
        <v>40552.565399657666</v>
      </c>
      <c r="M12" s="31">
        <f t="shared" si="1"/>
        <v>21754.905777249485</v>
      </c>
      <c r="N12" s="31">
        <f t="shared" si="2"/>
        <v>15533.368905978243</v>
      </c>
      <c r="O12" s="31">
        <f t="shared" si="3"/>
        <v>12455.510824711651</v>
      </c>
      <c r="P12" s="31">
        <f t="shared" si="4"/>
        <v>10634.736062978891</v>
      </c>
    </row>
    <row r="13" spans="2:16" x14ac:dyDescent="0.25">
      <c r="B13" s="35"/>
      <c r="C13" s="35"/>
      <c r="D13" s="35"/>
      <c r="E13" s="35"/>
      <c r="F13" s="35"/>
      <c r="G13" s="35"/>
      <c r="H13" s="46"/>
      <c r="I13" s="14"/>
      <c r="J13" s="14"/>
      <c r="K13" s="30">
        <v>500000</v>
      </c>
      <c r="L13" s="31">
        <f t="shared" si="0"/>
        <v>45058.40599961963</v>
      </c>
      <c r="M13" s="31">
        <f t="shared" si="1"/>
        <v>24172.117530277206</v>
      </c>
      <c r="N13" s="31">
        <f t="shared" si="2"/>
        <v>17259.298784420273</v>
      </c>
      <c r="O13" s="31">
        <f t="shared" si="3"/>
        <v>13839.456471901834</v>
      </c>
      <c r="P13" s="31">
        <f t="shared" si="4"/>
        <v>11816.373403309879</v>
      </c>
    </row>
    <row r="15" spans="2:16" hidden="1" x14ac:dyDescent="0.25">
      <c r="D15" s="11">
        <v>9874.0400000000009</v>
      </c>
    </row>
    <row r="16" spans="2:16" hidden="1" x14ac:dyDescent="0.25">
      <c r="D16" s="11">
        <v>24</v>
      </c>
    </row>
    <row r="17" spans="4:4" hidden="1" x14ac:dyDescent="0.25">
      <c r="D17" s="11">
        <f>D15*D16</f>
        <v>236976.96000000002</v>
      </c>
    </row>
    <row r="18" spans="4:4" hidden="1" x14ac:dyDescent="0.25">
      <c r="D18" s="11">
        <v>200000</v>
      </c>
    </row>
    <row r="19" spans="4:4" hidden="1" x14ac:dyDescent="0.25">
      <c r="D19" s="11">
        <f>D17-D18</f>
        <v>36976.960000000021</v>
      </c>
    </row>
    <row r="20" spans="4:4" hidden="1" x14ac:dyDescent="0.25">
      <c r="D20" s="47">
        <f>D19/D18</f>
        <v>0.1848848000000001</v>
      </c>
    </row>
    <row r="21" spans="4:4" hidden="1" x14ac:dyDescent="0.25">
      <c r="D21" s="47">
        <f>D20/(24/12)</f>
        <v>9.244240000000005E-2</v>
      </c>
    </row>
  </sheetData>
  <sheetProtection algorithmName="SHA-512" hashValue="fVBs8yLbF1e3a37cotl/l6NfX3S5Px2f6BeFojYkHs8XToLDpgcZ6YKVWgLOURvqI07q/t/25iGBck8i5z8KEQ==" saltValue="b1B5Z+CE5iuQNhKCXYJcYg==" spinCount="100000" sheet="1" objects="1" scenarios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opLeftCell="A10" zoomScaleNormal="100" workbookViewId="0">
      <selection activeCell="D27" sqref="D27"/>
    </sheetView>
  </sheetViews>
  <sheetFormatPr defaultRowHeight="12.75" x14ac:dyDescent="0.2"/>
  <cols>
    <col min="1" max="1" width="8.7109375" style="59" customWidth="1"/>
    <col min="2" max="2" width="23" style="59" customWidth="1"/>
    <col min="3" max="4" width="15.7109375" style="59" customWidth="1"/>
    <col min="5" max="6" width="9.28515625" style="59" bestFit="1" customWidth="1"/>
    <col min="7" max="9" width="20.7109375" style="59" customWidth="1"/>
    <col min="10" max="10" width="8.7109375" style="59" customWidth="1"/>
    <col min="11" max="11" width="11.5703125" style="57" customWidth="1"/>
    <col min="12" max="12" width="12.28515625" style="58" customWidth="1"/>
    <col min="13" max="256" width="9.140625" style="59"/>
    <col min="257" max="257" width="8.7109375" style="59" customWidth="1"/>
    <col min="258" max="258" width="23" style="59" customWidth="1"/>
    <col min="259" max="260" width="15.7109375" style="59" customWidth="1"/>
    <col min="261" max="262" width="9.28515625" style="59" bestFit="1" customWidth="1"/>
    <col min="263" max="265" width="20.7109375" style="59" customWidth="1"/>
    <col min="266" max="266" width="8.7109375" style="59" customWidth="1"/>
    <col min="267" max="267" width="11.5703125" style="59" customWidth="1"/>
    <col min="268" max="268" width="12.28515625" style="59" customWidth="1"/>
    <col min="269" max="512" width="9.140625" style="59"/>
    <col min="513" max="513" width="8.7109375" style="59" customWidth="1"/>
    <col min="514" max="514" width="23" style="59" customWidth="1"/>
    <col min="515" max="516" width="15.7109375" style="59" customWidth="1"/>
    <col min="517" max="518" width="9.28515625" style="59" bestFit="1" customWidth="1"/>
    <col min="519" max="521" width="20.7109375" style="59" customWidth="1"/>
    <col min="522" max="522" width="8.7109375" style="59" customWidth="1"/>
    <col min="523" max="523" width="11.5703125" style="59" customWidth="1"/>
    <col min="524" max="524" width="12.28515625" style="59" customWidth="1"/>
    <col min="525" max="768" width="9.140625" style="59"/>
    <col min="769" max="769" width="8.7109375" style="59" customWidth="1"/>
    <col min="770" max="770" width="23" style="59" customWidth="1"/>
    <col min="771" max="772" width="15.7109375" style="59" customWidth="1"/>
    <col min="773" max="774" width="9.28515625" style="59" bestFit="1" customWidth="1"/>
    <col min="775" max="777" width="20.7109375" style="59" customWidth="1"/>
    <col min="778" max="778" width="8.7109375" style="59" customWidth="1"/>
    <col min="779" max="779" width="11.5703125" style="59" customWidth="1"/>
    <col min="780" max="780" width="12.28515625" style="59" customWidth="1"/>
    <col min="781" max="1024" width="9.140625" style="59"/>
    <col min="1025" max="1025" width="8.7109375" style="59" customWidth="1"/>
    <col min="1026" max="1026" width="23" style="59" customWidth="1"/>
    <col min="1027" max="1028" width="15.7109375" style="59" customWidth="1"/>
    <col min="1029" max="1030" width="9.28515625" style="59" bestFit="1" customWidth="1"/>
    <col min="1031" max="1033" width="20.7109375" style="59" customWidth="1"/>
    <col min="1034" max="1034" width="8.7109375" style="59" customWidth="1"/>
    <col min="1035" max="1035" width="11.5703125" style="59" customWidth="1"/>
    <col min="1036" max="1036" width="12.28515625" style="59" customWidth="1"/>
    <col min="1037" max="1280" width="9.140625" style="59"/>
    <col min="1281" max="1281" width="8.7109375" style="59" customWidth="1"/>
    <col min="1282" max="1282" width="23" style="59" customWidth="1"/>
    <col min="1283" max="1284" width="15.7109375" style="59" customWidth="1"/>
    <col min="1285" max="1286" width="9.28515625" style="59" bestFit="1" customWidth="1"/>
    <col min="1287" max="1289" width="20.7109375" style="59" customWidth="1"/>
    <col min="1290" max="1290" width="8.7109375" style="59" customWidth="1"/>
    <col min="1291" max="1291" width="11.5703125" style="59" customWidth="1"/>
    <col min="1292" max="1292" width="12.28515625" style="59" customWidth="1"/>
    <col min="1293" max="1536" width="9.140625" style="59"/>
    <col min="1537" max="1537" width="8.7109375" style="59" customWidth="1"/>
    <col min="1538" max="1538" width="23" style="59" customWidth="1"/>
    <col min="1539" max="1540" width="15.7109375" style="59" customWidth="1"/>
    <col min="1541" max="1542" width="9.28515625" style="59" bestFit="1" customWidth="1"/>
    <col min="1543" max="1545" width="20.7109375" style="59" customWidth="1"/>
    <col min="1546" max="1546" width="8.7109375" style="59" customWidth="1"/>
    <col min="1547" max="1547" width="11.5703125" style="59" customWidth="1"/>
    <col min="1548" max="1548" width="12.28515625" style="59" customWidth="1"/>
    <col min="1549" max="1792" width="9.140625" style="59"/>
    <col min="1793" max="1793" width="8.7109375" style="59" customWidth="1"/>
    <col min="1794" max="1794" width="23" style="59" customWidth="1"/>
    <col min="1795" max="1796" width="15.7109375" style="59" customWidth="1"/>
    <col min="1797" max="1798" width="9.28515625" style="59" bestFit="1" customWidth="1"/>
    <col min="1799" max="1801" width="20.7109375" style="59" customWidth="1"/>
    <col min="1802" max="1802" width="8.7109375" style="59" customWidth="1"/>
    <col min="1803" max="1803" width="11.5703125" style="59" customWidth="1"/>
    <col min="1804" max="1804" width="12.28515625" style="59" customWidth="1"/>
    <col min="1805" max="2048" width="9.140625" style="59"/>
    <col min="2049" max="2049" width="8.7109375" style="59" customWidth="1"/>
    <col min="2050" max="2050" width="23" style="59" customWidth="1"/>
    <col min="2051" max="2052" width="15.7109375" style="59" customWidth="1"/>
    <col min="2053" max="2054" width="9.28515625" style="59" bestFit="1" customWidth="1"/>
    <col min="2055" max="2057" width="20.7109375" style="59" customWidth="1"/>
    <col min="2058" max="2058" width="8.7109375" style="59" customWidth="1"/>
    <col min="2059" max="2059" width="11.5703125" style="59" customWidth="1"/>
    <col min="2060" max="2060" width="12.28515625" style="59" customWidth="1"/>
    <col min="2061" max="2304" width="9.140625" style="59"/>
    <col min="2305" max="2305" width="8.7109375" style="59" customWidth="1"/>
    <col min="2306" max="2306" width="23" style="59" customWidth="1"/>
    <col min="2307" max="2308" width="15.7109375" style="59" customWidth="1"/>
    <col min="2309" max="2310" width="9.28515625" style="59" bestFit="1" customWidth="1"/>
    <col min="2311" max="2313" width="20.7109375" style="59" customWidth="1"/>
    <col min="2314" max="2314" width="8.7109375" style="59" customWidth="1"/>
    <col min="2315" max="2315" width="11.5703125" style="59" customWidth="1"/>
    <col min="2316" max="2316" width="12.28515625" style="59" customWidth="1"/>
    <col min="2317" max="2560" width="9.140625" style="59"/>
    <col min="2561" max="2561" width="8.7109375" style="59" customWidth="1"/>
    <col min="2562" max="2562" width="23" style="59" customWidth="1"/>
    <col min="2563" max="2564" width="15.7109375" style="59" customWidth="1"/>
    <col min="2565" max="2566" width="9.28515625" style="59" bestFit="1" customWidth="1"/>
    <col min="2567" max="2569" width="20.7109375" style="59" customWidth="1"/>
    <col min="2570" max="2570" width="8.7109375" style="59" customWidth="1"/>
    <col min="2571" max="2571" width="11.5703125" style="59" customWidth="1"/>
    <col min="2572" max="2572" width="12.28515625" style="59" customWidth="1"/>
    <col min="2573" max="2816" width="9.140625" style="59"/>
    <col min="2817" max="2817" width="8.7109375" style="59" customWidth="1"/>
    <col min="2818" max="2818" width="23" style="59" customWidth="1"/>
    <col min="2819" max="2820" width="15.7109375" style="59" customWidth="1"/>
    <col min="2821" max="2822" width="9.28515625" style="59" bestFit="1" customWidth="1"/>
    <col min="2823" max="2825" width="20.7109375" style="59" customWidth="1"/>
    <col min="2826" max="2826" width="8.7109375" style="59" customWidth="1"/>
    <col min="2827" max="2827" width="11.5703125" style="59" customWidth="1"/>
    <col min="2828" max="2828" width="12.28515625" style="59" customWidth="1"/>
    <col min="2829" max="3072" width="9.140625" style="59"/>
    <col min="3073" max="3073" width="8.7109375" style="59" customWidth="1"/>
    <col min="3074" max="3074" width="23" style="59" customWidth="1"/>
    <col min="3075" max="3076" width="15.7109375" style="59" customWidth="1"/>
    <col min="3077" max="3078" width="9.28515625" style="59" bestFit="1" customWidth="1"/>
    <col min="3079" max="3081" width="20.7109375" style="59" customWidth="1"/>
    <col min="3082" max="3082" width="8.7109375" style="59" customWidth="1"/>
    <col min="3083" max="3083" width="11.5703125" style="59" customWidth="1"/>
    <col min="3084" max="3084" width="12.28515625" style="59" customWidth="1"/>
    <col min="3085" max="3328" width="9.140625" style="59"/>
    <col min="3329" max="3329" width="8.7109375" style="59" customWidth="1"/>
    <col min="3330" max="3330" width="23" style="59" customWidth="1"/>
    <col min="3331" max="3332" width="15.7109375" style="59" customWidth="1"/>
    <col min="3333" max="3334" width="9.28515625" style="59" bestFit="1" customWidth="1"/>
    <col min="3335" max="3337" width="20.7109375" style="59" customWidth="1"/>
    <col min="3338" max="3338" width="8.7109375" style="59" customWidth="1"/>
    <col min="3339" max="3339" width="11.5703125" style="59" customWidth="1"/>
    <col min="3340" max="3340" width="12.28515625" style="59" customWidth="1"/>
    <col min="3341" max="3584" width="9.140625" style="59"/>
    <col min="3585" max="3585" width="8.7109375" style="59" customWidth="1"/>
    <col min="3586" max="3586" width="23" style="59" customWidth="1"/>
    <col min="3587" max="3588" width="15.7109375" style="59" customWidth="1"/>
    <col min="3589" max="3590" width="9.28515625" style="59" bestFit="1" customWidth="1"/>
    <col min="3591" max="3593" width="20.7109375" style="59" customWidth="1"/>
    <col min="3594" max="3594" width="8.7109375" style="59" customWidth="1"/>
    <col min="3595" max="3595" width="11.5703125" style="59" customWidth="1"/>
    <col min="3596" max="3596" width="12.28515625" style="59" customWidth="1"/>
    <col min="3597" max="3840" width="9.140625" style="59"/>
    <col min="3841" max="3841" width="8.7109375" style="59" customWidth="1"/>
    <col min="3842" max="3842" width="23" style="59" customWidth="1"/>
    <col min="3843" max="3844" width="15.7109375" style="59" customWidth="1"/>
    <col min="3845" max="3846" width="9.28515625" style="59" bestFit="1" customWidth="1"/>
    <col min="3847" max="3849" width="20.7109375" style="59" customWidth="1"/>
    <col min="3850" max="3850" width="8.7109375" style="59" customWidth="1"/>
    <col min="3851" max="3851" width="11.5703125" style="59" customWidth="1"/>
    <col min="3852" max="3852" width="12.28515625" style="59" customWidth="1"/>
    <col min="3853" max="4096" width="9.140625" style="59"/>
    <col min="4097" max="4097" width="8.7109375" style="59" customWidth="1"/>
    <col min="4098" max="4098" width="23" style="59" customWidth="1"/>
    <col min="4099" max="4100" width="15.7109375" style="59" customWidth="1"/>
    <col min="4101" max="4102" width="9.28515625" style="59" bestFit="1" customWidth="1"/>
    <col min="4103" max="4105" width="20.7109375" style="59" customWidth="1"/>
    <col min="4106" max="4106" width="8.7109375" style="59" customWidth="1"/>
    <col min="4107" max="4107" width="11.5703125" style="59" customWidth="1"/>
    <col min="4108" max="4108" width="12.28515625" style="59" customWidth="1"/>
    <col min="4109" max="4352" width="9.140625" style="59"/>
    <col min="4353" max="4353" width="8.7109375" style="59" customWidth="1"/>
    <col min="4354" max="4354" width="23" style="59" customWidth="1"/>
    <col min="4355" max="4356" width="15.7109375" style="59" customWidth="1"/>
    <col min="4357" max="4358" width="9.28515625" style="59" bestFit="1" customWidth="1"/>
    <col min="4359" max="4361" width="20.7109375" style="59" customWidth="1"/>
    <col min="4362" max="4362" width="8.7109375" style="59" customWidth="1"/>
    <col min="4363" max="4363" width="11.5703125" style="59" customWidth="1"/>
    <col min="4364" max="4364" width="12.28515625" style="59" customWidth="1"/>
    <col min="4365" max="4608" width="9.140625" style="59"/>
    <col min="4609" max="4609" width="8.7109375" style="59" customWidth="1"/>
    <col min="4610" max="4610" width="23" style="59" customWidth="1"/>
    <col min="4611" max="4612" width="15.7109375" style="59" customWidth="1"/>
    <col min="4613" max="4614" width="9.28515625" style="59" bestFit="1" customWidth="1"/>
    <col min="4615" max="4617" width="20.7109375" style="59" customWidth="1"/>
    <col min="4618" max="4618" width="8.7109375" style="59" customWidth="1"/>
    <col min="4619" max="4619" width="11.5703125" style="59" customWidth="1"/>
    <col min="4620" max="4620" width="12.28515625" style="59" customWidth="1"/>
    <col min="4621" max="4864" width="9.140625" style="59"/>
    <col min="4865" max="4865" width="8.7109375" style="59" customWidth="1"/>
    <col min="4866" max="4866" width="23" style="59" customWidth="1"/>
    <col min="4867" max="4868" width="15.7109375" style="59" customWidth="1"/>
    <col min="4869" max="4870" width="9.28515625" style="59" bestFit="1" customWidth="1"/>
    <col min="4871" max="4873" width="20.7109375" style="59" customWidth="1"/>
    <col min="4874" max="4874" width="8.7109375" style="59" customWidth="1"/>
    <col min="4875" max="4875" width="11.5703125" style="59" customWidth="1"/>
    <col min="4876" max="4876" width="12.28515625" style="59" customWidth="1"/>
    <col min="4877" max="5120" width="9.140625" style="59"/>
    <col min="5121" max="5121" width="8.7109375" style="59" customWidth="1"/>
    <col min="5122" max="5122" width="23" style="59" customWidth="1"/>
    <col min="5123" max="5124" width="15.7109375" style="59" customWidth="1"/>
    <col min="5125" max="5126" width="9.28515625" style="59" bestFit="1" customWidth="1"/>
    <col min="5127" max="5129" width="20.7109375" style="59" customWidth="1"/>
    <col min="5130" max="5130" width="8.7109375" style="59" customWidth="1"/>
    <col min="5131" max="5131" width="11.5703125" style="59" customWidth="1"/>
    <col min="5132" max="5132" width="12.28515625" style="59" customWidth="1"/>
    <col min="5133" max="5376" width="9.140625" style="59"/>
    <col min="5377" max="5377" width="8.7109375" style="59" customWidth="1"/>
    <col min="5378" max="5378" width="23" style="59" customWidth="1"/>
    <col min="5379" max="5380" width="15.7109375" style="59" customWidth="1"/>
    <col min="5381" max="5382" width="9.28515625" style="59" bestFit="1" customWidth="1"/>
    <col min="5383" max="5385" width="20.7109375" style="59" customWidth="1"/>
    <col min="5386" max="5386" width="8.7109375" style="59" customWidth="1"/>
    <col min="5387" max="5387" width="11.5703125" style="59" customWidth="1"/>
    <col min="5388" max="5388" width="12.28515625" style="59" customWidth="1"/>
    <col min="5389" max="5632" width="9.140625" style="59"/>
    <col min="5633" max="5633" width="8.7109375" style="59" customWidth="1"/>
    <col min="5634" max="5634" width="23" style="59" customWidth="1"/>
    <col min="5635" max="5636" width="15.7109375" style="59" customWidth="1"/>
    <col min="5637" max="5638" width="9.28515625" style="59" bestFit="1" customWidth="1"/>
    <col min="5639" max="5641" width="20.7109375" style="59" customWidth="1"/>
    <col min="5642" max="5642" width="8.7109375" style="59" customWidth="1"/>
    <col min="5643" max="5643" width="11.5703125" style="59" customWidth="1"/>
    <col min="5644" max="5644" width="12.28515625" style="59" customWidth="1"/>
    <col min="5645" max="5888" width="9.140625" style="59"/>
    <col min="5889" max="5889" width="8.7109375" style="59" customWidth="1"/>
    <col min="5890" max="5890" width="23" style="59" customWidth="1"/>
    <col min="5891" max="5892" width="15.7109375" style="59" customWidth="1"/>
    <col min="5893" max="5894" width="9.28515625" style="59" bestFit="1" customWidth="1"/>
    <col min="5895" max="5897" width="20.7109375" style="59" customWidth="1"/>
    <col min="5898" max="5898" width="8.7109375" style="59" customWidth="1"/>
    <col min="5899" max="5899" width="11.5703125" style="59" customWidth="1"/>
    <col min="5900" max="5900" width="12.28515625" style="59" customWidth="1"/>
    <col min="5901" max="6144" width="9.140625" style="59"/>
    <col min="6145" max="6145" width="8.7109375" style="59" customWidth="1"/>
    <col min="6146" max="6146" width="23" style="59" customWidth="1"/>
    <col min="6147" max="6148" width="15.7109375" style="59" customWidth="1"/>
    <col min="6149" max="6150" width="9.28515625" style="59" bestFit="1" customWidth="1"/>
    <col min="6151" max="6153" width="20.7109375" style="59" customWidth="1"/>
    <col min="6154" max="6154" width="8.7109375" style="59" customWidth="1"/>
    <col min="6155" max="6155" width="11.5703125" style="59" customWidth="1"/>
    <col min="6156" max="6156" width="12.28515625" style="59" customWidth="1"/>
    <col min="6157" max="6400" width="9.140625" style="59"/>
    <col min="6401" max="6401" width="8.7109375" style="59" customWidth="1"/>
    <col min="6402" max="6402" width="23" style="59" customWidth="1"/>
    <col min="6403" max="6404" width="15.7109375" style="59" customWidth="1"/>
    <col min="6405" max="6406" width="9.28515625" style="59" bestFit="1" customWidth="1"/>
    <col min="6407" max="6409" width="20.7109375" style="59" customWidth="1"/>
    <col min="6410" max="6410" width="8.7109375" style="59" customWidth="1"/>
    <col min="6411" max="6411" width="11.5703125" style="59" customWidth="1"/>
    <col min="6412" max="6412" width="12.28515625" style="59" customWidth="1"/>
    <col min="6413" max="6656" width="9.140625" style="59"/>
    <col min="6657" max="6657" width="8.7109375" style="59" customWidth="1"/>
    <col min="6658" max="6658" width="23" style="59" customWidth="1"/>
    <col min="6659" max="6660" width="15.7109375" style="59" customWidth="1"/>
    <col min="6661" max="6662" width="9.28515625" style="59" bestFit="1" customWidth="1"/>
    <col min="6663" max="6665" width="20.7109375" style="59" customWidth="1"/>
    <col min="6666" max="6666" width="8.7109375" style="59" customWidth="1"/>
    <col min="6667" max="6667" width="11.5703125" style="59" customWidth="1"/>
    <col min="6668" max="6668" width="12.28515625" style="59" customWidth="1"/>
    <col min="6669" max="6912" width="9.140625" style="59"/>
    <col min="6913" max="6913" width="8.7109375" style="59" customWidth="1"/>
    <col min="6914" max="6914" width="23" style="59" customWidth="1"/>
    <col min="6915" max="6916" width="15.7109375" style="59" customWidth="1"/>
    <col min="6917" max="6918" width="9.28515625" style="59" bestFit="1" customWidth="1"/>
    <col min="6919" max="6921" width="20.7109375" style="59" customWidth="1"/>
    <col min="6922" max="6922" width="8.7109375" style="59" customWidth="1"/>
    <col min="6923" max="6923" width="11.5703125" style="59" customWidth="1"/>
    <col min="6924" max="6924" width="12.28515625" style="59" customWidth="1"/>
    <col min="6925" max="7168" width="9.140625" style="59"/>
    <col min="7169" max="7169" width="8.7109375" style="59" customWidth="1"/>
    <col min="7170" max="7170" width="23" style="59" customWidth="1"/>
    <col min="7171" max="7172" width="15.7109375" style="59" customWidth="1"/>
    <col min="7173" max="7174" width="9.28515625" style="59" bestFit="1" customWidth="1"/>
    <col min="7175" max="7177" width="20.7109375" style="59" customWidth="1"/>
    <col min="7178" max="7178" width="8.7109375" style="59" customWidth="1"/>
    <col min="7179" max="7179" width="11.5703125" style="59" customWidth="1"/>
    <col min="7180" max="7180" width="12.28515625" style="59" customWidth="1"/>
    <col min="7181" max="7424" width="9.140625" style="59"/>
    <col min="7425" max="7425" width="8.7109375" style="59" customWidth="1"/>
    <col min="7426" max="7426" width="23" style="59" customWidth="1"/>
    <col min="7427" max="7428" width="15.7109375" style="59" customWidth="1"/>
    <col min="7429" max="7430" width="9.28515625" style="59" bestFit="1" customWidth="1"/>
    <col min="7431" max="7433" width="20.7109375" style="59" customWidth="1"/>
    <col min="7434" max="7434" width="8.7109375" style="59" customWidth="1"/>
    <col min="7435" max="7435" width="11.5703125" style="59" customWidth="1"/>
    <col min="7436" max="7436" width="12.28515625" style="59" customWidth="1"/>
    <col min="7437" max="7680" width="9.140625" style="59"/>
    <col min="7681" max="7681" width="8.7109375" style="59" customWidth="1"/>
    <col min="7682" max="7682" width="23" style="59" customWidth="1"/>
    <col min="7683" max="7684" width="15.7109375" style="59" customWidth="1"/>
    <col min="7685" max="7686" width="9.28515625" style="59" bestFit="1" customWidth="1"/>
    <col min="7687" max="7689" width="20.7109375" style="59" customWidth="1"/>
    <col min="7690" max="7690" width="8.7109375" style="59" customWidth="1"/>
    <col min="7691" max="7691" width="11.5703125" style="59" customWidth="1"/>
    <col min="7692" max="7692" width="12.28515625" style="59" customWidth="1"/>
    <col min="7693" max="7936" width="9.140625" style="59"/>
    <col min="7937" max="7937" width="8.7109375" style="59" customWidth="1"/>
    <col min="7938" max="7938" width="23" style="59" customWidth="1"/>
    <col min="7939" max="7940" width="15.7109375" style="59" customWidth="1"/>
    <col min="7941" max="7942" width="9.28515625" style="59" bestFit="1" customWidth="1"/>
    <col min="7943" max="7945" width="20.7109375" style="59" customWidth="1"/>
    <col min="7946" max="7946" width="8.7109375" style="59" customWidth="1"/>
    <col min="7947" max="7947" width="11.5703125" style="59" customWidth="1"/>
    <col min="7948" max="7948" width="12.28515625" style="59" customWidth="1"/>
    <col min="7949" max="8192" width="9.140625" style="59"/>
    <col min="8193" max="8193" width="8.7109375" style="59" customWidth="1"/>
    <col min="8194" max="8194" width="23" style="59" customWidth="1"/>
    <col min="8195" max="8196" width="15.7109375" style="59" customWidth="1"/>
    <col min="8197" max="8198" width="9.28515625" style="59" bestFit="1" customWidth="1"/>
    <col min="8199" max="8201" width="20.7109375" style="59" customWidth="1"/>
    <col min="8202" max="8202" width="8.7109375" style="59" customWidth="1"/>
    <col min="8203" max="8203" width="11.5703125" style="59" customWidth="1"/>
    <col min="8204" max="8204" width="12.28515625" style="59" customWidth="1"/>
    <col min="8205" max="8448" width="9.140625" style="59"/>
    <col min="8449" max="8449" width="8.7109375" style="59" customWidth="1"/>
    <col min="8450" max="8450" width="23" style="59" customWidth="1"/>
    <col min="8451" max="8452" width="15.7109375" style="59" customWidth="1"/>
    <col min="8453" max="8454" width="9.28515625" style="59" bestFit="1" customWidth="1"/>
    <col min="8455" max="8457" width="20.7109375" style="59" customWidth="1"/>
    <col min="8458" max="8458" width="8.7109375" style="59" customWidth="1"/>
    <col min="8459" max="8459" width="11.5703125" style="59" customWidth="1"/>
    <col min="8460" max="8460" width="12.28515625" style="59" customWidth="1"/>
    <col min="8461" max="8704" width="9.140625" style="59"/>
    <col min="8705" max="8705" width="8.7109375" style="59" customWidth="1"/>
    <col min="8706" max="8706" width="23" style="59" customWidth="1"/>
    <col min="8707" max="8708" width="15.7109375" style="59" customWidth="1"/>
    <col min="8709" max="8710" width="9.28515625" style="59" bestFit="1" customWidth="1"/>
    <col min="8711" max="8713" width="20.7109375" style="59" customWidth="1"/>
    <col min="8714" max="8714" width="8.7109375" style="59" customWidth="1"/>
    <col min="8715" max="8715" width="11.5703125" style="59" customWidth="1"/>
    <col min="8716" max="8716" width="12.28515625" style="59" customWidth="1"/>
    <col min="8717" max="8960" width="9.140625" style="59"/>
    <col min="8961" max="8961" width="8.7109375" style="59" customWidth="1"/>
    <col min="8962" max="8962" width="23" style="59" customWidth="1"/>
    <col min="8963" max="8964" width="15.7109375" style="59" customWidth="1"/>
    <col min="8965" max="8966" width="9.28515625" style="59" bestFit="1" customWidth="1"/>
    <col min="8967" max="8969" width="20.7109375" style="59" customWidth="1"/>
    <col min="8970" max="8970" width="8.7109375" style="59" customWidth="1"/>
    <col min="8971" max="8971" width="11.5703125" style="59" customWidth="1"/>
    <col min="8972" max="8972" width="12.28515625" style="59" customWidth="1"/>
    <col min="8973" max="9216" width="9.140625" style="59"/>
    <col min="9217" max="9217" width="8.7109375" style="59" customWidth="1"/>
    <col min="9218" max="9218" width="23" style="59" customWidth="1"/>
    <col min="9219" max="9220" width="15.7109375" style="59" customWidth="1"/>
    <col min="9221" max="9222" width="9.28515625" style="59" bestFit="1" customWidth="1"/>
    <col min="9223" max="9225" width="20.7109375" style="59" customWidth="1"/>
    <col min="9226" max="9226" width="8.7109375" style="59" customWidth="1"/>
    <col min="9227" max="9227" width="11.5703125" style="59" customWidth="1"/>
    <col min="9228" max="9228" width="12.28515625" style="59" customWidth="1"/>
    <col min="9229" max="9472" width="9.140625" style="59"/>
    <col min="9473" max="9473" width="8.7109375" style="59" customWidth="1"/>
    <col min="9474" max="9474" width="23" style="59" customWidth="1"/>
    <col min="9475" max="9476" width="15.7109375" style="59" customWidth="1"/>
    <col min="9477" max="9478" width="9.28515625" style="59" bestFit="1" customWidth="1"/>
    <col min="9479" max="9481" width="20.7109375" style="59" customWidth="1"/>
    <col min="9482" max="9482" width="8.7109375" style="59" customWidth="1"/>
    <col min="9483" max="9483" width="11.5703125" style="59" customWidth="1"/>
    <col min="9484" max="9484" width="12.28515625" style="59" customWidth="1"/>
    <col min="9485" max="9728" width="9.140625" style="59"/>
    <col min="9729" max="9729" width="8.7109375" style="59" customWidth="1"/>
    <col min="9730" max="9730" width="23" style="59" customWidth="1"/>
    <col min="9731" max="9732" width="15.7109375" style="59" customWidth="1"/>
    <col min="9733" max="9734" width="9.28515625" style="59" bestFit="1" customWidth="1"/>
    <col min="9735" max="9737" width="20.7109375" style="59" customWidth="1"/>
    <col min="9738" max="9738" width="8.7109375" style="59" customWidth="1"/>
    <col min="9739" max="9739" width="11.5703125" style="59" customWidth="1"/>
    <col min="9740" max="9740" width="12.28515625" style="59" customWidth="1"/>
    <col min="9741" max="9984" width="9.140625" style="59"/>
    <col min="9985" max="9985" width="8.7109375" style="59" customWidth="1"/>
    <col min="9986" max="9986" width="23" style="59" customWidth="1"/>
    <col min="9987" max="9988" width="15.7109375" style="59" customWidth="1"/>
    <col min="9989" max="9990" width="9.28515625" style="59" bestFit="1" customWidth="1"/>
    <col min="9991" max="9993" width="20.7109375" style="59" customWidth="1"/>
    <col min="9994" max="9994" width="8.7109375" style="59" customWidth="1"/>
    <col min="9995" max="9995" width="11.5703125" style="59" customWidth="1"/>
    <col min="9996" max="9996" width="12.28515625" style="59" customWidth="1"/>
    <col min="9997" max="10240" width="9.140625" style="59"/>
    <col min="10241" max="10241" width="8.7109375" style="59" customWidth="1"/>
    <col min="10242" max="10242" width="23" style="59" customWidth="1"/>
    <col min="10243" max="10244" width="15.7109375" style="59" customWidth="1"/>
    <col min="10245" max="10246" width="9.28515625" style="59" bestFit="1" customWidth="1"/>
    <col min="10247" max="10249" width="20.7109375" style="59" customWidth="1"/>
    <col min="10250" max="10250" width="8.7109375" style="59" customWidth="1"/>
    <col min="10251" max="10251" width="11.5703125" style="59" customWidth="1"/>
    <col min="10252" max="10252" width="12.28515625" style="59" customWidth="1"/>
    <col min="10253" max="10496" width="9.140625" style="59"/>
    <col min="10497" max="10497" width="8.7109375" style="59" customWidth="1"/>
    <col min="10498" max="10498" width="23" style="59" customWidth="1"/>
    <col min="10499" max="10500" width="15.7109375" style="59" customWidth="1"/>
    <col min="10501" max="10502" width="9.28515625" style="59" bestFit="1" customWidth="1"/>
    <col min="10503" max="10505" width="20.7109375" style="59" customWidth="1"/>
    <col min="10506" max="10506" width="8.7109375" style="59" customWidth="1"/>
    <col min="10507" max="10507" width="11.5703125" style="59" customWidth="1"/>
    <col min="10508" max="10508" width="12.28515625" style="59" customWidth="1"/>
    <col min="10509" max="10752" width="9.140625" style="59"/>
    <col min="10753" max="10753" width="8.7109375" style="59" customWidth="1"/>
    <col min="10754" max="10754" width="23" style="59" customWidth="1"/>
    <col min="10755" max="10756" width="15.7109375" style="59" customWidth="1"/>
    <col min="10757" max="10758" width="9.28515625" style="59" bestFit="1" customWidth="1"/>
    <col min="10759" max="10761" width="20.7109375" style="59" customWidth="1"/>
    <col min="10762" max="10762" width="8.7109375" style="59" customWidth="1"/>
    <col min="10763" max="10763" width="11.5703125" style="59" customWidth="1"/>
    <col min="10764" max="10764" width="12.28515625" style="59" customWidth="1"/>
    <col min="10765" max="11008" width="9.140625" style="59"/>
    <col min="11009" max="11009" width="8.7109375" style="59" customWidth="1"/>
    <col min="11010" max="11010" width="23" style="59" customWidth="1"/>
    <col min="11011" max="11012" width="15.7109375" style="59" customWidth="1"/>
    <col min="11013" max="11014" width="9.28515625" style="59" bestFit="1" customWidth="1"/>
    <col min="11015" max="11017" width="20.7109375" style="59" customWidth="1"/>
    <col min="11018" max="11018" width="8.7109375" style="59" customWidth="1"/>
    <col min="11019" max="11019" width="11.5703125" style="59" customWidth="1"/>
    <col min="11020" max="11020" width="12.28515625" style="59" customWidth="1"/>
    <col min="11021" max="11264" width="9.140625" style="59"/>
    <col min="11265" max="11265" width="8.7109375" style="59" customWidth="1"/>
    <col min="11266" max="11266" width="23" style="59" customWidth="1"/>
    <col min="11267" max="11268" width="15.7109375" style="59" customWidth="1"/>
    <col min="11269" max="11270" width="9.28515625" style="59" bestFit="1" customWidth="1"/>
    <col min="11271" max="11273" width="20.7109375" style="59" customWidth="1"/>
    <col min="11274" max="11274" width="8.7109375" style="59" customWidth="1"/>
    <col min="11275" max="11275" width="11.5703125" style="59" customWidth="1"/>
    <col min="11276" max="11276" width="12.28515625" style="59" customWidth="1"/>
    <col min="11277" max="11520" width="9.140625" style="59"/>
    <col min="11521" max="11521" width="8.7109375" style="59" customWidth="1"/>
    <col min="11522" max="11522" width="23" style="59" customWidth="1"/>
    <col min="11523" max="11524" width="15.7109375" style="59" customWidth="1"/>
    <col min="11525" max="11526" width="9.28515625" style="59" bestFit="1" customWidth="1"/>
    <col min="11527" max="11529" width="20.7109375" style="59" customWidth="1"/>
    <col min="11530" max="11530" width="8.7109375" style="59" customWidth="1"/>
    <col min="11531" max="11531" width="11.5703125" style="59" customWidth="1"/>
    <col min="11532" max="11532" width="12.28515625" style="59" customWidth="1"/>
    <col min="11533" max="11776" width="9.140625" style="59"/>
    <col min="11777" max="11777" width="8.7109375" style="59" customWidth="1"/>
    <col min="11778" max="11778" width="23" style="59" customWidth="1"/>
    <col min="11779" max="11780" width="15.7109375" style="59" customWidth="1"/>
    <col min="11781" max="11782" width="9.28515625" style="59" bestFit="1" customWidth="1"/>
    <col min="11783" max="11785" width="20.7109375" style="59" customWidth="1"/>
    <col min="11786" max="11786" width="8.7109375" style="59" customWidth="1"/>
    <col min="11787" max="11787" width="11.5703125" style="59" customWidth="1"/>
    <col min="11788" max="11788" width="12.28515625" style="59" customWidth="1"/>
    <col min="11789" max="12032" width="9.140625" style="59"/>
    <col min="12033" max="12033" width="8.7109375" style="59" customWidth="1"/>
    <col min="12034" max="12034" width="23" style="59" customWidth="1"/>
    <col min="12035" max="12036" width="15.7109375" style="59" customWidth="1"/>
    <col min="12037" max="12038" width="9.28515625" style="59" bestFit="1" customWidth="1"/>
    <col min="12039" max="12041" width="20.7109375" style="59" customWidth="1"/>
    <col min="12042" max="12042" width="8.7109375" style="59" customWidth="1"/>
    <col min="12043" max="12043" width="11.5703125" style="59" customWidth="1"/>
    <col min="12044" max="12044" width="12.28515625" style="59" customWidth="1"/>
    <col min="12045" max="12288" width="9.140625" style="59"/>
    <col min="12289" max="12289" width="8.7109375" style="59" customWidth="1"/>
    <col min="12290" max="12290" width="23" style="59" customWidth="1"/>
    <col min="12291" max="12292" width="15.7109375" style="59" customWidth="1"/>
    <col min="12293" max="12294" width="9.28515625" style="59" bestFit="1" customWidth="1"/>
    <col min="12295" max="12297" width="20.7109375" style="59" customWidth="1"/>
    <col min="12298" max="12298" width="8.7109375" style="59" customWidth="1"/>
    <col min="12299" max="12299" width="11.5703125" style="59" customWidth="1"/>
    <col min="12300" max="12300" width="12.28515625" style="59" customWidth="1"/>
    <col min="12301" max="12544" width="9.140625" style="59"/>
    <col min="12545" max="12545" width="8.7109375" style="59" customWidth="1"/>
    <col min="12546" max="12546" width="23" style="59" customWidth="1"/>
    <col min="12547" max="12548" width="15.7109375" style="59" customWidth="1"/>
    <col min="12549" max="12550" width="9.28515625" style="59" bestFit="1" customWidth="1"/>
    <col min="12551" max="12553" width="20.7109375" style="59" customWidth="1"/>
    <col min="12554" max="12554" width="8.7109375" style="59" customWidth="1"/>
    <col min="12555" max="12555" width="11.5703125" style="59" customWidth="1"/>
    <col min="12556" max="12556" width="12.28515625" style="59" customWidth="1"/>
    <col min="12557" max="12800" width="9.140625" style="59"/>
    <col min="12801" max="12801" width="8.7109375" style="59" customWidth="1"/>
    <col min="12802" max="12802" width="23" style="59" customWidth="1"/>
    <col min="12803" max="12804" width="15.7109375" style="59" customWidth="1"/>
    <col min="12805" max="12806" width="9.28515625" style="59" bestFit="1" customWidth="1"/>
    <col min="12807" max="12809" width="20.7109375" style="59" customWidth="1"/>
    <col min="12810" max="12810" width="8.7109375" style="59" customWidth="1"/>
    <col min="12811" max="12811" width="11.5703125" style="59" customWidth="1"/>
    <col min="12812" max="12812" width="12.28515625" style="59" customWidth="1"/>
    <col min="12813" max="13056" width="9.140625" style="59"/>
    <col min="13057" max="13057" width="8.7109375" style="59" customWidth="1"/>
    <col min="13058" max="13058" width="23" style="59" customWidth="1"/>
    <col min="13059" max="13060" width="15.7109375" style="59" customWidth="1"/>
    <col min="13061" max="13062" width="9.28515625" style="59" bestFit="1" customWidth="1"/>
    <col min="13063" max="13065" width="20.7109375" style="59" customWidth="1"/>
    <col min="13066" max="13066" width="8.7109375" style="59" customWidth="1"/>
    <col min="13067" max="13067" width="11.5703125" style="59" customWidth="1"/>
    <col min="13068" max="13068" width="12.28515625" style="59" customWidth="1"/>
    <col min="13069" max="13312" width="9.140625" style="59"/>
    <col min="13313" max="13313" width="8.7109375" style="59" customWidth="1"/>
    <col min="13314" max="13314" width="23" style="59" customWidth="1"/>
    <col min="13315" max="13316" width="15.7109375" style="59" customWidth="1"/>
    <col min="13317" max="13318" width="9.28515625" style="59" bestFit="1" customWidth="1"/>
    <col min="13319" max="13321" width="20.7109375" style="59" customWidth="1"/>
    <col min="13322" max="13322" width="8.7109375" style="59" customWidth="1"/>
    <col min="13323" max="13323" width="11.5703125" style="59" customWidth="1"/>
    <col min="13324" max="13324" width="12.28515625" style="59" customWidth="1"/>
    <col min="13325" max="13568" width="9.140625" style="59"/>
    <col min="13569" max="13569" width="8.7109375" style="59" customWidth="1"/>
    <col min="13570" max="13570" width="23" style="59" customWidth="1"/>
    <col min="13571" max="13572" width="15.7109375" style="59" customWidth="1"/>
    <col min="13573" max="13574" width="9.28515625" style="59" bestFit="1" customWidth="1"/>
    <col min="13575" max="13577" width="20.7109375" style="59" customWidth="1"/>
    <col min="13578" max="13578" width="8.7109375" style="59" customWidth="1"/>
    <col min="13579" max="13579" width="11.5703125" style="59" customWidth="1"/>
    <col min="13580" max="13580" width="12.28515625" style="59" customWidth="1"/>
    <col min="13581" max="13824" width="9.140625" style="59"/>
    <col min="13825" max="13825" width="8.7109375" style="59" customWidth="1"/>
    <col min="13826" max="13826" width="23" style="59" customWidth="1"/>
    <col min="13827" max="13828" width="15.7109375" style="59" customWidth="1"/>
    <col min="13829" max="13830" width="9.28515625" style="59" bestFit="1" customWidth="1"/>
    <col min="13831" max="13833" width="20.7109375" style="59" customWidth="1"/>
    <col min="13834" max="13834" width="8.7109375" style="59" customWidth="1"/>
    <col min="13835" max="13835" width="11.5703125" style="59" customWidth="1"/>
    <col min="13836" max="13836" width="12.28515625" style="59" customWidth="1"/>
    <col min="13837" max="14080" width="9.140625" style="59"/>
    <col min="14081" max="14081" width="8.7109375" style="59" customWidth="1"/>
    <col min="14082" max="14082" width="23" style="59" customWidth="1"/>
    <col min="14083" max="14084" width="15.7109375" style="59" customWidth="1"/>
    <col min="14085" max="14086" width="9.28515625" style="59" bestFit="1" customWidth="1"/>
    <col min="14087" max="14089" width="20.7109375" style="59" customWidth="1"/>
    <col min="14090" max="14090" width="8.7109375" style="59" customWidth="1"/>
    <col min="14091" max="14091" width="11.5703125" style="59" customWidth="1"/>
    <col min="14092" max="14092" width="12.28515625" style="59" customWidth="1"/>
    <col min="14093" max="14336" width="9.140625" style="59"/>
    <col min="14337" max="14337" width="8.7109375" style="59" customWidth="1"/>
    <col min="14338" max="14338" width="23" style="59" customWidth="1"/>
    <col min="14339" max="14340" width="15.7109375" style="59" customWidth="1"/>
    <col min="14341" max="14342" width="9.28515625" style="59" bestFit="1" customWidth="1"/>
    <col min="14343" max="14345" width="20.7109375" style="59" customWidth="1"/>
    <col min="14346" max="14346" width="8.7109375" style="59" customWidth="1"/>
    <col min="14347" max="14347" width="11.5703125" style="59" customWidth="1"/>
    <col min="14348" max="14348" width="12.28515625" style="59" customWidth="1"/>
    <col min="14349" max="14592" width="9.140625" style="59"/>
    <col min="14593" max="14593" width="8.7109375" style="59" customWidth="1"/>
    <col min="14594" max="14594" width="23" style="59" customWidth="1"/>
    <col min="14595" max="14596" width="15.7109375" style="59" customWidth="1"/>
    <col min="14597" max="14598" width="9.28515625" style="59" bestFit="1" customWidth="1"/>
    <col min="14599" max="14601" width="20.7109375" style="59" customWidth="1"/>
    <col min="14602" max="14602" width="8.7109375" style="59" customWidth="1"/>
    <col min="14603" max="14603" width="11.5703125" style="59" customWidth="1"/>
    <col min="14604" max="14604" width="12.28515625" style="59" customWidth="1"/>
    <col min="14605" max="14848" width="9.140625" style="59"/>
    <col min="14849" max="14849" width="8.7109375" style="59" customWidth="1"/>
    <col min="14850" max="14850" width="23" style="59" customWidth="1"/>
    <col min="14851" max="14852" width="15.7109375" style="59" customWidth="1"/>
    <col min="14853" max="14854" width="9.28515625" style="59" bestFit="1" customWidth="1"/>
    <col min="14855" max="14857" width="20.7109375" style="59" customWidth="1"/>
    <col min="14858" max="14858" width="8.7109375" style="59" customWidth="1"/>
    <col min="14859" max="14859" width="11.5703125" style="59" customWidth="1"/>
    <col min="14860" max="14860" width="12.28515625" style="59" customWidth="1"/>
    <col min="14861" max="15104" width="9.140625" style="59"/>
    <col min="15105" max="15105" width="8.7109375" style="59" customWidth="1"/>
    <col min="15106" max="15106" width="23" style="59" customWidth="1"/>
    <col min="15107" max="15108" width="15.7109375" style="59" customWidth="1"/>
    <col min="15109" max="15110" width="9.28515625" style="59" bestFit="1" customWidth="1"/>
    <col min="15111" max="15113" width="20.7109375" style="59" customWidth="1"/>
    <col min="15114" max="15114" width="8.7109375" style="59" customWidth="1"/>
    <col min="15115" max="15115" width="11.5703125" style="59" customWidth="1"/>
    <col min="15116" max="15116" width="12.28515625" style="59" customWidth="1"/>
    <col min="15117" max="15360" width="9.140625" style="59"/>
    <col min="15361" max="15361" width="8.7109375" style="59" customWidth="1"/>
    <col min="15362" max="15362" width="23" style="59" customWidth="1"/>
    <col min="15363" max="15364" width="15.7109375" style="59" customWidth="1"/>
    <col min="15365" max="15366" width="9.28515625" style="59" bestFit="1" customWidth="1"/>
    <col min="15367" max="15369" width="20.7109375" style="59" customWidth="1"/>
    <col min="15370" max="15370" width="8.7109375" style="59" customWidth="1"/>
    <col min="15371" max="15371" width="11.5703125" style="59" customWidth="1"/>
    <col min="15372" max="15372" width="12.28515625" style="59" customWidth="1"/>
    <col min="15373" max="15616" width="9.140625" style="59"/>
    <col min="15617" max="15617" width="8.7109375" style="59" customWidth="1"/>
    <col min="15618" max="15618" width="23" style="59" customWidth="1"/>
    <col min="15619" max="15620" width="15.7109375" style="59" customWidth="1"/>
    <col min="15621" max="15622" width="9.28515625" style="59" bestFit="1" customWidth="1"/>
    <col min="15623" max="15625" width="20.7109375" style="59" customWidth="1"/>
    <col min="15626" max="15626" width="8.7109375" style="59" customWidth="1"/>
    <col min="15627" max="15627" width="11.5703125" style="59" customWidth="1"/>
    <col min="15628" max="15628" width="12.28515625" style="59" customWidth="1"/>
    <col min="15629" max="15872" width="9.140625" style="59"/>
    <col min="15873" max="15873" width="8.7109375" style="59" customWidth="1"/>
    <col min="15874" max="15874" width="23" style="59" customWidth="1"/>
    <col min="15875" max="15876" width="15.7109375" style="59" customWidth="1"/>
    <col min="15877" max="15878" width="9.28515625" style="59" bestFit="1" customWidth="1"/>
    <col min="15879" max="15881" width="20.7109375" style="59" customWidth="1"/>
    <col min="15882" max="15882" width="8.7109375" style="59" customWidth="1"/>
    <col min="15883" max="15883" width="11.5703125" style="59" customWidth="1"/>
    <col min="15884" max="15884" width="12.28515625" style="59" customWidth="1"/>
    <col min="15885" max="16128" width="9.140625" style="59"/>
    <col min="16129" max="16129" width="8.7109375" style="59" customWidth="1"/>
    <col min="16130" max="16130" width="23" style="59" customWidth="1"/>
    <col min="16131" max="16132" width="15.7109375" style="59" customWidth="1"/>
    <col min="16133" max="16134" width="9.28515625" style="59" bestFit="1" customWidth="1"/>
    <col min="16135" max="16137" width="20.7109375" style="59" customWidth="1"/>
    <col min="16138" max="16138" width="8.7109375" style="59" customWidth="1"/>
    <col min="16139" max="16139" width="11.5703125" style="59" customWidth="1"/>
    <col min="16140" max="16140" width="12.28515625" style="59" customWidth="1"/>
    <col min="16141" max="16384" width="9.140625" style="59"/>
  </cols>
  <sheetData>
    <row r="1" spans="1:12" ht="15" x14ac:dyDescent="0.2">
      <c r="A1" s="53"/>
      <c r="B1" s="54"/>
      <c r="C1" s="55" t="s">
        <v>26</v>
      </c>
      <c r="D1" s="54"/>
      <c r="E1" s="54"/>
      <c r="F1" s="54"/>
      <c r="G1" s="54"/>
      <c r="H1" s="54"/>
      <c r="I1" s="54"/>
      <c r="J1" s="56"/>
    </row>
    <row r="2" spans="1:12" x14ac:dyDescent="0.2">
      <c r="A2" s="60"/>
      <c r="B2" s="61"/>
      <c r="C2" s="61"/>
      <c r="D2" s="61"/>
      <c r="E2" s="61"/>
      <c r="F2" s="61"/>
      <c r="G2" s="61"/>
      <c r="H2" s="61"/>
      <c r="I2" s="61"/>
      <c r="J2" s="62"/>
    </row>
    <row r="3" spans="1:12" x14ac:dyDescent="0.2">
      <c r="A3" s="60"/>
      <c r="B3" s="61" t="s">
        <v>27</v>
      </c>
      <c r="C3" s="147"/>
      <c r="D3" s="147"/>
      <c r="E3" s="147"/>
      <c r="F3" s="147"/>
      <c r="G3" s="61"/>
      <c r="H3" s="61"/>
      <c r="I3" s="61"/>
      <c r="J3" s="62"/>
    </row>
    <row r="4" spans="1:12" x14ac:dyDescent="0.2">
      <c r="A4" s="60"/>
      <c r="B4" s="61" t="s">
        <v>28</v>
      </c>
      <c r="C4" s="148"/>
      <c r="D4" s="148"/>
      <c r="E4" s="148"/>
      <c r="F4" s="148"/>
      <c r="G4" s="61"/>
      <c r="H4" s="61"/>
      <c r="I4" s="61"/>
      <c r="J4" s="62"/>
    </row>
    <row r="5" spans="1:12" x14ac:dyDescent="0.2">
      <c r="A5" s="60"/>
      <c r="B5" s="61" t="s">
        <v>29</v>
      </c>
      <c r="C5" s="63"/>
      <c r="D5" s="63" t="s">
        <v>30</v>
      </c>
      <c r="E5" s="63"/>
      <c r="F5" s="63"/>
      <c r="G5" s="61"/>
      <c r="H5" s="61"/>
      <c r="I5" s="61"/>
      <c r="J5" s="62"/>
    </row>
    <row r="6" spans="1:12" x14ac:dyDescent="0.2">
      <c r="A6" s="60"/>
      <c r="B6" s="61"/>
      <c r="C6" s="61"/>
      <c r="D6" s="61"/>
      <c r="E6" s="61"/>
      <c r="F6" s="61"/>
      <c r="G6" s="61"/>
      <c r="H6" s="61"/>
      <c r="I6" s="61"/>
      <c r="J6" s="62"/>
    </row>
    <row r="7" spans="1:12" x14ac:dyDescent="0.2">
      <c r="A7" s="60"/>
      <c r="B7" s="61"/>
      <c r="C7" s="61"/>
      <c r="D7" s="61"/>
      <c r="E7" s="61"/>
      <c r="F7" s="61"/>
      <c r="G7" s="61"/>
      <c r="H7" s="61"/>
      <c r="I7" s="61"/>
      <c r="J7" s="62"/>
    </row>
    <row r="8" spans="1:12" x14ac:dyDescent="0.2">
      <c r="A8" s="60"/>
      <c r="B8" s="64" t="s">
        <v>31</v>
      </c>
      <c r="C8" s="61"/>
      <c r="D8" s="61"/>
      <c r="E8" s="61"/>
      <c r="F8" s="61"/>
      <c r="G8" s="61"/>
      <c r="H8" s="61"/>
      <c r="I8" s="61"/>
      <c r="J8" s="62"/>
    </row>
    <row r="9" spans="1:12" x14ac:dyDescent="0.2">
      <c r="A9" s="60"/>
      <c r="B9" s="61"/>
      <c r="C9" s="61"/>
      <c r="D9" s="61"/>
      <c r="E9" s="61"/>
      <c r="F9" s="61"/>
      <c r="G9" s="61"/>
      <c r="H9" s="61"/>
      <c r="I9" s="61"/>
      <c r="J9" s="62"/>
    </row>
    <row r="10" spans="1:12" x14ac:dyDescent="0.2">
      <c r="A10" s="60"/>
      <c r="B10" s="61" t="s">
        <v>32</v>
      </c>
      <c r="C10" s="147"/>
      <c r="D10" s="147"/>
      <c r="E10" s="147"/>
      <c r="F10" s="147"/>
      <c r="G10" s="61"/>
      <c r="H10" s="61"/>
      <c r="I10" s="61"/>
      <c r="J10" s="62"/>
    </row>
    <row r="11" spans="1:12" x14ac:dyDescent="0.2">
      <c r="A11" s="60"/>
      <c r="B11" s="61"/>
      <c r="C11" s="61"/>
      <c r="D11" s="61"/>
      <c r="E11" s="61"/>
      <c r="F11" s="61"/>
      <c r="G11" s="61"/>
      <c r="H11" s="61"/>
      <c r="I11" s="61"/>
      <c r="J11" s="62"/>
    </row>
    <row r="12" spans="1:12" x14ac:dyDescent="0.2">
      <c r="A12" s="60"/>
      <c r="B12" s="61"/>
      <c r="C12" s="61"/>
      <c r="D12" s="61"/>
      <c r="E12" s="61"/>
      <c r="F12" s="61"/>
      <c r="G12" s="61"/>
      <c r="H12" s="61"/>
      <c r="I12" s="61"/>
      <c r="J12" s="62"/>
    </row>
    <row r="13" spans="1:12" ht="38.25" x14ac:dyDescent="0.2">
      <c r="A13" s="60"/>
      <c r="B13" s="65" t="s">
        <v>33</v>
      </c>
      <c r="C13" s="65" t="s">
        <v>34</v>
      </c>
      <c r="D13" s="65" t="s">
        <v>35</v>
      </c>
      <c r="E13" s="65" t="s">
        <v>36</v>
      </c>
      <c r="F13" s="65" t="s">
        <v>37</v>
      </c>
      <c r="G13" s="65" t="s">
        <v>38</v>
      </c>
      <c r="H13" s="65" t="s">
        <v>39</v>
      </c>
      <c r="I13" s="65" t="s">
        <v>40</v>
      </c>
      <c r="J13" s="62"/>
    </row>
    <row r="14" spans="1:12" x14ac:dyDescent="0.2">
      <c r="A14" s="60"/>
      <c r="B14" s="61" t="s">
        <v>41</v>
      </c>
      <c r="C14" s="66">
        <v>0</v>
      </c>
      <c r="D14" s="66">
        <v>0</v>
      </c>
      <c r="E14" s="67">
        <v>0</v>
      </c>
      <c r="F14" s="68">
        <v>0</v>
      </c>
      <c r="G14" s="69">
        <f>IF(D14=0,0,(ROUND(PMT(E14/12,F14,-D14),2)*12))</f>
        <v>0</v>
      </c>
      <c r="H14" s="70"/>
      <c r="I14" s="71">
        <f>12*H14</f>
        <v>0</v>
      </c>
      <c r="J14" s="62"/>
      <c r="K14" s="72"/>
      <c r="L14" s="73"/>
    </row>
    <row r="15" spans="1:12" x14ac:dyDescent="0.2">
      <c r="A15" s="60"/>
      <c r="B15" s="61" t="s">
        <v>42</v>
      </c>
      <c r="C15" s="66">
        <v>0</v>
      </c>
      <c r="D15" s="66">
        <v>0</v>
      </c>
      <c r="E15" s="67">
        <v>0</v>
      </c>
      <c r="F15" s="68">
        <v>0</v>
      </c>
      <c r="G15" s="69">
        <f t="shared" ref="G15:G23" si="0">IF(D15=0,0,(ROUND(PMT(E15/12,F15,-D15),2)*12))</f>
        <v>0</v>
      </c>
      <c r="H15" s="70"/>
      <c r="I15" s="71">
        <f t="shared" ref="I15:I23" si="1">12*H15</f>
        <v>0</v>
      </c>
      <c r="J15" s="62"/>
      <c r="K15" s="72"/>
      <c r="L15" s="73"/>
    </row>
    <row r="16" spans="1:12" x14ac:dyDescent="0.2">
      <c r="A16" s="60"/>
      <c r="B16" s="61" t="s">
        <v>43</v>
      </c>
      <c r="C16" s="66">
        <v>0</v>
      </c>
      <c r="D16" s="66">
        <v>0</v>
      </c>
      <c r="E16" s="67">
        <v>0</v>
      </c>
      <c r="F16" s="68">
        <v>0</v>
      </c>
      <c r="G16" s="69">
        <f t="shared" si="0"/>
        <v>0</v>
      </c>
      <c r="H16" s="70"/>
      <c r="I16" s="71">
        <f t="shared" si="1"/>
        <v>0</v>
      </c>
      <c r="J16" s="62"/>
      <c r="K16" s="72"/>
      <c r="L16" s="73"/>
    </row>
    <row r="17" spans="1:12" x14ac:dyDescent="0.2">
      <c r="A17" s="60"/>
      <c r="B17" s="61" t="s">
        <v>44</v>
      </c>
      <c r="C17" s="66">
        <v>0</v>
      </c>
      <c r="D17" s="66">
        <v>0</v>
      </c>
      <c r="E17" s="67">
        <v>0</v>
      </c>
      <c r="F17" s="68">
        <v>0</v>
      </c>
      <c r="G17" s="69">
        <f t="shared" si="0"/>
        <v>0</v>
      </c>
      <c r="H17" s="70"/>
      <c r="I17" s="71">
        <f t="shared" si="1"/>
        <v>0</v>
      </c>
      <c r="J17" s="62"/>
      <c r="K17" s="72"/>
      <c r="L17" s="73"/>
    </row>
    <row r="18" spans="1:12" x14ac:dyDescent="0.2">
      <c r="A18" s="60"/>
      <c r="B18" s="61" t="s">
        <v>45</v>
      </c>
      <c r="C18" s="66">
        <v>0</v>
      </c>
      <c r="D18" s="66">
        <v>0</v>
      </c>
      <c r="E18" s="67">
        <v>0</v>
      </c>
      <c r="F18" s="68">
        <v>0</v>
      </c>
      <c r="G18" s="69">
        <f t="shared" si="0"/>
        <v>0</v>
      </c>
      <c r="H18" s="70"/>
      <c r="I18" s="71">
        <f t="shared" si="1"/>
        <v>0</v>
      </c>
      <c r="J18" s="62"/>
      <c r="K18" s="72"/>
      <c r="L18" s="73"/>
    </row>
    <row r="19" spans="1:12" x14ac:dyDescent="0.2">
      <c r="A19" s="60"/>
      <c r="B19" s="61" t="s">
        <v>46</v>
      </c>
      <c r="C19" s="66">
        <v>0</v>
      </c>
      <c r="D19" s="66">
        <v>0</v>
      </c>
      <c r="E19" s="67">
        <v>0</v>
      </c>
      <c r="F19" s="68">
        <v>0</v>
      </c>
      <c r="G19" s="69">
        <f t="shared" si="0"/>
        <v>0</v>
      </c>
      <c r="H19" s="70"/>
      <c r="I19" s="71">
        <f t="shared" si="1"/>
        <v>0</v>
      </c>
      <c r="J19" s="62"/>
      <c r="K19" s="72"/>
      <c r="L19" s="73"/>
    </row>
    <row r="20" spans="1:12" x14ac:dyDescent="0.2">
      <c r="A20" s="60"/>
      <c r="B20" s="61" t="s">
        <v>47</v>
      </c>
      <c r="C20" s="66">
        <v>0</v>
      </c>
      <c r="D20" s="66">
        <v>0</v>
      </c>
      <c r="E20" s="67">
        <v>0</v>
      </c>
      <c r="F20" s="68">
        <v>0</v>
      </c>
      <c r="G20" s="69">
        <f t="shared" si="0"/>
        <v>0</v>
      </c>
      <c r="H20" s="70">
        <v>0</v>
      </c>
      <c r="I20" s="71">
        <f t="shared" si="1"/>
        <v>0</v>
      </c>
      <c r="J20" s="62"/>
      <c r="K20" s="72"/>
      <c r="L20" s="73"/>
    </row>
    <row r="21" spans="1:12" x14ac:dyDescent="0.2">
      <c r="A21" s="60"/>
      <c r="B21" s="61" t="s">
        <v>48</v>
      </c>
      <c r="C21" s="66">
        <v>0</v>
      </c>
      <c r="D21" s="66">
        <v>0</v>
      </c>
      <c r="E21" s="67">
        <v>0</v>
      </c>
      <c r="F21" s="68">
        <v>0</v>
      </c>
      <c r="G21" s="69">
        <f t="shared" si="0"/>
        <v>0</v>
      </c>
      <c r="H21" s="70">
        <v>0</v>
      </c>
      <c r="I21" s="71">
        <f t="shared" si="1"/>
        <v>0</v>
      </c>
      <c r="J21" s="62"/>
      <c r="K21" s="72"/>
      <c r="L21" s="73"/>
    </row>
    <row r="22" spans="1:12" x14ac:dyDescent="0.2">
      <c r="A22" s="60"/>
      <c r="B22" s="61" t="s">
        <v>49</v>
      </c>
      <c r="C22" s="66">
        <v>0</v>
      </c>
      <c r="D22" s="66">
        <v>0</v>
      </c>
      <c r="E22" s="67">
        <v>0</v>
      </c>
      <c r="F22" s="68">
        <v>0</v>
      </c>
      <c r="G22" s="69">
        <f t="shared" si="0"/>
        <v>0</v>
      </c>
      <c r="H22" s="70">
        <v>0</v>
      </c>
      <c r="I22" s="71">
        <f t="shared" si="1"/>
        <v>0</v>
      </c>
      <c r="J22" s="62"/>
      <c r="K22" s="72"/>
      <c r="L22" s="73"/>
    </row>
    <row r="23" spans="1:12" x14ac:dyDescent="0.2">
      <c r="A23" s="60"/>
      <c r="B23" s="61" t="s">
        <v>50</v>
      </c>
      <c r="C23" s="66">
        <v>0</v>
      </c>
      <c r="D23" s="66">
        <v>0</v>
      </c>
      <c r="E23" s="67">
        <v>0</v>
      </c>
      <c r="F23" s="68">
        <v>0</v>
      </c>
      <c r="G23" s="69">
        <f t="shared" si="0"/>
        <v>0</v>
      </c>
      <c r="H23" s="70">
        <v>0</v>
      </c>
      <c r="I23" s="71">
        <f t="shared" si="1"/>
        <v>0</v>
      </c>
      <c r="J23" s="74"/>
      <c r="K23" s="72"/>
      <c r="L23" s="73"/>
    </row>
    <row r="24" spans="1:12" ht="13.5" thickBot="1" x14ac:dyDescent="0.25">
      <c r="A24" s="60"/>
      <c r="B24" s="75" t="s">
        <v>51</v>
      </c>
      <c r="C24" s="76"/>
      <c r="D24" s="76"/>
      <c r="E24" s="77"/>
      <c r="F24" s="78"/>
      <c r="G24" s="79">
        <f>SUM(G14:G23)</f>
        <v>0</v>
      </c>
      <c r="H24" s="79"/>
      <c r="I24" s="79">
        <f>SUM(I14:I23)</f>
        <v>0</v>
      </c>
      <c r="J24" s="62"/>
      <c r="K24" s="72">
        <f>SUM(I14:I23)</f>
        <v>0</v>
      </c>
      <c r="L24" s="73"/>
    </row>
    <row r="25" spans="1:12" ht="13.5" thickTop="1" x14ac:dyDescent="0.2">
      <c r="A25" s="60"/>
      <c r="B25" s="61"/>
      <c r="C25" s="76"/>
      <c r="D25" s="76"/>
      <c r="E25" s="77"/>
      <c r="F25" s="78"/>
      <c r="G25" s="76"/>
      <c r="H25" s="76"/>
      <c r="I25" s="61"/>
      <c r="J25" s="62"/>
      <c r="K25" s="72"/>
      <c r="L25" s="73"/>
    </row>
    <row r="26" spans="1:12" x14ac:dyDescent="0.2">
      <c r="A26" s="60"/>
      <c r="B26" s="61" t="s">
        <v>52</v>
      </c>
      <c r="C26" s="66">
        <v>0</v>
      </c>
      <c r="D26" s="66">
        <v>33000</v>
      </c>
      <c r="E26" s="67">
        <v>0.11700000000000001</v>
      </c>
      <c r="F26" s="68">
        <v>60</v>
      </c>
      <c r="G26" s="69">
        <f>IF(D26=0,0,(ROUND(PMT(E26/12,F26,-D26),2)*12))</f>
        <v>8748.84</v>
      </c>
      <c r="H26" s="70">
        <v>0</v>
      </c>
      <c r="I26" s="71">
        <f>12*H26</f>
        <v>0</v>
      </c>
      <c r="J26" s="62"/>
      <c r="K26" s="72"/>
      <c r="L26" s="73"/>
    </row>
    <row r="27" spans="1:12" x14ac:dyDescent="0.2">
      <c r="A27" s="60"/>
      <c r="B27" s="61" t="s">
        <v>53</v>
      </c>
      <c r="C27" s="66">
        <v>0</v>
      </c>
      <c r="D27" s="66">
        <v>0</v>
      </c>
      <c r="E27" s="67">
        <v>0.1245</v>
      </c>
      <c r="F27" s="68">
        <v>60</v>
      </c>
      <c r="G27" s="69">
        <f t="shared" ref="G27:G35" si="2">IF(D27=0,0,(ROUND(PMT(E27/12,F27,-D27),2)*12))</f>
        <v>0</v>
      </c>
      <c r="H27" s="70">
        <v>0</v>
      </c>
      <c r="I27" s="71">
        <f t="shared" ref="I27:I35" si="3">12*H27</f>
        <v>0</v>
      </c>
      <c r="J27" s="62"/>
      <c r="K27" s="72"/>
      <c r="L27" s="73"/>
    </row>
    <row r="28" spans="1:12" x14ac:dyDescent="0.2">
      <c r="A28" s="60"/>
      <c r="B28" s="61" t="s">
        <v>54</v>
      </c>
      <c r="C28" s="66">
        <v>0</v>
      </c>
      <c r="D28" s="66">
        <v>0</v>
      </c>
      <c r="E28" s="67">
        <v>0.1245</v>
      </c>
      <c r="F28" s="68">
        <v>60</v>
      </c>
      <c r="G28" s="69">
        <f t="shared" si="2"/>
        <v>0</v>
      </c>
      <c r="H28" s="70">
        <v>0</v>
      </c>
      <c r="I28" s="71">
        <f t="shared" si="3"/>
        <v>0</v>
      </c>
      <c r="J28" s="62"/>
      <c r="K28" s="72"/>
      <c r="L28" s="73"/>
    </row>
    <row r="29" spans="1:12" x14ac:dyDescent="0.2">
      <c r="A29" s="60"/>
      <c r="B29" s="61" t="s">
        <v>55</v>
      </c>
      <c r="C29" s="66">
        <v>0</v>
      </c>
      <c r="D29" s="66">
        <v>0</v>
      </c>
      <c r="E29" s="67">
        <v>0</v>
      </c>
      <c r="F29" s="68">
        <v>60</v>
      </c>
      <c r="G29" s="69">
        <f t="shared" si="2"/>
        <v>0</v>
      </c>
      <c r="H29" s="70">
        <v>0</v>
      </c>
      <c r="I29" s="71">
        <f t="shared" si="3"/>
        <v>0</v>
      </c>
      <c r="J29" s="62"/>
      <c r="K29" s="72"/>
      <c r="L29" s="73"/>
    </row>
    <row r="30" spans="1:12" x14ac:dyDescent="0.2">
      <c r="A30" s="60"/>
      <c r="B30" s="61" t="s">
        <v>56</v>
      </c>
      <c r="C30" s="66">
        <v>0</v>
      </c>
      <c r="D30" s="66">
        <v>0</v>
      </c>
      <c r="E30" s="67">
        <v>0</v>
      </c>
      <c r="F30" s="68">
        <v>60</v>
      </c>
      <c r="G30" s="69">
        <f t="shared" si="2"/>
        <v>0</v>
      </c>
      <c r="H30" s="70">
        <v>0</v>
      </c>
      <c r="I30" s="71">
        <f t="shared" si="3"/>
        <v>0</v>
      </c>
      <c r="J30" s="62"/>
      <c r="K30" s="72"/>
      <c r="L30" s="73"/>
    </row>
    <row r="31" spans="1:12" x14ac:dyDescent="0.2">
      <c r="A31" s="60"/>
      <c r="B31" s="61" t="s">
        <v>57</v>
      </c>
      <c r="C31" s="66">
        <v>0</v>
      </c>
      <c r="D31" s="66">
        <v>0</v>
      </c>
      <c r="E31" s="67">
        <v>0</v>
      </c>
      <c r="F31" s="68">
        <v>0</v>
      </c>
      <c r="G31" s="69">
        <f t="shared" si="2"/>
        <v>0</v>
      </c>
      <c r="H31" s="70">
        <v>0</v>
      </c>
      <c r="I31" s="71">
        <f t="shared" si="3"/>
        <v>0</v>
      </c>
      <c r="J31" s="62"/>
      <c r="K31" s="72"/>
      <c r="L31" s="73"/>
    </row>
    <row r="32" spans="1:12" x14ac:dyDescent="0.2">
      <c r="A32" s="60"/>
      <c r="B32" s="61" t="s">
        <v>58</v>
      </c>
      <c r="C32" s="66">
        <v>0</v>
      </c>
      <c r="D32" s="66">
        <v>0</v>
      </c>
      <c r="E32" s="67">
        <v>0</v>
      </c>
      <c r="F32" s="68">
        <v>0</v>
      </c>
      <c r="G32" s="69">
        <f t="shared" si="2"/>
        <v>0</v>
      </c>
      <c r="H32" s="70">
        <v>0</v>
      </c>
      <c r="I32" s="71">
        <f t="shared" si="3"/>
        <v>0</v>
      </c>
      <c r="J32" s="62"/>
      <c r="K32" s="72"/>
      <c r="L32" s="73"/>
    </row>
    <row r="33" spans="1:12" x14ac:dyDescent="0.2">
      <c r="A33" s="60"/>
      <c r="B33" s="61" t="s">
        <v>59</v>
      </c>
      <c r="C33" s="66">
        <v>0</v>
      </c>
      <c r="D33" s="66">
        <v>0</v>
      </c>
      <c r="E33" s="67">
        <v>0</v>
      </c>
      <c r="F33" s="68">
        <v>0</v>
      </c>
      <c r="G33" s="69">
        <f t="shared" si="2"/>
        <v>0</v>
      </c>
      <c r="H33" s="70">
        <v>0</v>
      </c>
      <c r="I33" s="71">
        <f t="shared" si="3"/>
        <v>0</v>
      </c>
      <c r="J33" s="62"/>
      <c r="K33" s="72"/>
      <c r="L33" s="73"/>
    </row>
    <row r="34" spans="1:12" x14ac:dyDescent="0.2">
      <c r="A34" s="60"/>
      <c r="B34" s="61" t="s">
        <v>60</v>
      </c>
      <c r="C34" s="66">
        <v>0</v>
      </c>
      <c r="D34" s="66">
        <v>0</v>
      </c>
      <c r="E34" s="67">
        <v>0</v>
      </c>
      <c r="F34" s="68">
        <v>0</v>
      </c>
      <c r="G34" s="69">
        <f t="shared" si="2"/>
        <v>0</v>
      </c>
      <c r="H34" s="70">
        <v>0</v>
      </c>
      <c r="I34" s="71">
        <f t="shared" si="3"/>
        <v>0</v>
      </c>
      <c r="J34" s="62"/>
      <c r="K34" s="72"/>
      <c r="L34" s="73"/>
    </row>
    <row r="35" spans="1:12" x14ac:dyDescent="0.2">
      <c r="A35" s="60"/>
      <c r="B35" s="61" t="s">
        <v>61</v>
      </c>
      <c r="C35" s="66">
        <v>0</v>
      </c>
      <c r="D35" s="66">
        <v>0</v>
      </c>
      <c r="E35" s="67">
        <v>0</v>
      </c>
      <c r="F35" s="68">
        <v>0</v>
      </c>
      <c r="G35" s="69">
        <f t="shared" si="2"/>
        <v>0</v>
      </c>
      <c r="H35" s="70">
        <v>0</v>
      </c>
      <c r="I35" s="71">
        <f t="shared" si="3"/>
        <v>0</v>
      </c>
      <c r="J35" s="62"/>
      <c r="K35" s="72"/>
      <c r="L35" s="73"/>
    </row>
    <row r="36" spans="1:12" ht="13.5" thickBot="1" x14ac:dyDescent="0.25">
      <c r="A36" s="60"/>
      <c r="B36" s="75" t="s">
        <v>51</v>
      </c>
      <c r="C36" s="76"/>
      <c r="D36" s="76"/>
      <c r="E36" s="77"/>
      <c r="F36" s="78"/>
      <c r="G36" s="79">
        <f>SUM(G26:G35)</f>
        <v>8748.84</v>
      </c>
      <c r="H36" s="79">
        <f>SUM(H26:H35)</f>
        <v>0</v>
      </c>
      <c r="I36" s="79">
        <f>SUM(I26:I35)</f>
        <v>0</v>
      </c>
      <c r="J36" s="62"/>
      <c r="K36" s="72">
        <f>SUM(I26:I35)</f>
        <v>0</v>
      </c>
      <c r="L36" s="73"/>
    </row>
    <row r="37" spans="1:12" ht="13.5" thickTop="1" x14ac:dyDescent="0.2">
      <c r="A37" s="60"/>
      <c r="B37" s="61"/>
      <c r="C37" s="76"/>
      <c r="D37" s="76"/>
      <c r="E37" s="77"/>
      <c r="F37" s="78"/>
      <c r="G37" s="76"/>
      <c r="H37" s="76"/>
      <c r="I37" s="61"/>
      <c r="J37" s="62"/>
      <c r="K37" s="72"/>
      <c r="L37" s="73"/>
    </row>
    <row r="38" spans="1:12" x14ac:dyDescent="0.2">
      <c r="A38" s="60"/>
      <c r="B38" s="61" t="s">
        <v>62</v>
      </c>
      <c r="C38" s="66"/>
      <c r="D38" s="66"/>
      <c r="E38" s="67">
        <v>4.4999999999999998E-2</v>
      </c>
      <c r="F38" s="68">
        <v>84</v>
      </c>
      <c r="G38" s="80">
        <f>IF(D38=0,0,(((E38*(F38/12))*D38)+D38)/F38*12)</f>
        <v>0</v>
      </c>
      <c r="H38" s="70"/>
      <c r="I38" s="71">
        <f>12*H38</f>
        <v>0</v>
      </c>
      <c r="J38" s="62"/>
      <c r="K38" s="72"/>
      <c r="L38" s="73"/>
    </row>
    <row r="39" spans="1:12" x14ac:dyDescent="0.2">
      <c r="A39" s="60"/>
      <c r="B39" s="61" t="s">
        <v>63</v>
      </c>
      <c r="C39" s="66"/>
      <c r="D39" s="66"/>
      <c r="E39" s="67">
        <v>4.4999999999999998E-2</v>
      </c>
      <c r="F39" s="68">
        <v>84</v>
      </c>
      <c r="G39" s="80">
        <f t="shared" ref="G39:G47" si="4">IF(D39=0,0,(((E39*(F39/12))*D39)+D39)/F39*12)</f>
        <v>0</v>
      </c>
      <c r="H39" s="70">
        <v>0</v>
      </c>
      <c r="I39" s="71">
        <f t="shared" ref="I39:I47" si="5">12*H39</f>
        <v>0</v>
      </c>
      <c r="J39" s="62"/>
      <c r="K39" s="72"/>
      <c r="L39" s="73"/>
    </row>
    <row r="40" spans="1:12" x14ac:dyDescent="0.2">
      <c r="A40" s="60"/>
      <c r="B40" s="61" t="s">
        <v>64</v>
      </c>
      <c r="C40" s="66"/>
      <c r="D40" s="66"/>
      <c r="E40" s="67">
        <v>4.4999999999999998E-2</v>
      </c>
      <c r="F40" s="68">
        <v>84</v>
      </c>
      <c r="G40" s="80">
        <f t="shared" si="4"/>
        <v>0</v>
      </c>
      <c r="H40" s="70">
        <v>0</v>
      </c>
      <c r="I40" s="71">
        <f t="shared" si="5"/>
        <v>0</v>
      </c>
      <c r="J40" s="62"/>
      <c r="K40" s="72"/>
      <c r="L40" s="73"/>
    </row>
    <row r="41" spans="1:12" x14ac:dyDescent="0.2">
      <c r="A41" s="60"/>
      <c r="B41" s="61" t="s">
        <v>65</v>
      </c>
      <c r="C41" s="66"/>
      <c r="D41" s="66"/>
      <c r="E41" s="67">
        <v>4.4999999999999998E-2</v>
      </c>
      <c r="F41" s="68">
        <v>84</v>
      </c>
      <c r="G41" s="80">
        <f t="shared" si="4"/>
        <v>0</v>
      </c>
      <c r="H41" s="70">
        <v>0</v>
      </c>
      <c r="I41" s="71">
        <f t="shared" si="5"/>
        <v>0</v>
      </c>
      <c r="J41" s="62"/>
      <c r="K41" s="72"/>
      <c r="L41" s="73"/>
    </row>
    <row r="42" spans="1:12" x14ac:dyDescent="0.2">
      <c r="A42" s="60"/>
      <c r="B42" s="61" t="s">
        <v>66</v>
      </c>
      <c r="C42" s="66"/>
      <c r="D42" s="66"/>
      <c r="E42" s="67">
        <v>4.4999999999999998E-2</v>
      </c>
      <c r="F42" s="68">
        <v>84</v>
      </c>
      <c r="G42" s="80">
        <f t="shared" si="4"/>
        <v>0</v>
      </c>
      <c r="H42" s="70">
        <v>0</v>
      </c>
      <c r="I42" s="71">
        <f t="shared" si="5"/>
        <v>0</v>
      </c>
      <c r="J42" s="62"/>
      <c r="K42" s="72"/>
      <c r="L42" s="73"/>
    </row>
    <row r="43" spans="1:12" x14ac:dyDescent="0.2">
      <c r="A43" s="60"/>
      <c r="B43" s="61" t="s">
        <v>67</v>
      </c>
      <c r="C43" s="66"/>
      <c r="D43" s="66"/>
      <c r="E43" s="67">
        <v>4.4999999999999998E-2</v>
      </c>
      <c r="F43" s="68">
        <v>84</v>
      </c>
      <c r="G43" s="80">
        <f t="shared" si="4"/>
        <v>0</v>
      </c>
      <c r="H43" s="70">
        <v>0</v>
      </c>
      <c r="I43" s="71">
        <f t="shared" si="5"/>
        <v>0</v>
      </c>
      <c r="J43" s="62"/>
      <c r="K43" s="72"/>
      <c r="L43" s="73"/>
    </row>
    <row r="44" spans="1:12" x14ac:dyDescent="0.2">
      <c r="A44" s="60"/>
      <c r="B44" s="61" t="s">
        <v>68</v>
      </c>
      <c r="C44" s="66"/>
      <c r="D44" s="66"/>
      <c r="E44" s="67">
        <v>4.4999999999999998E-2</v>
      </c>
      <c r="F44" s="68">
        <v>84</v>
      </c>
      <c r="G44" s="80">
        <f t="shared" si="4"/>
        <v>0</v>
      </c>
      <c r="H44" s="70">
        <v>0</v>
      </c>
      <c r="I44" s="71">
        <f t="shared" si="5"/>
        <v>0</v>
      </c>
      <c r="J44" s="62"/>
      <c r="K44" s="72"/>
      <c r="L44" s="73"/>
    </row>
    <row r="45" spans="1:12" x14ac:dyDescent="0.2">
      <c r="A45" s="60"/>
      <c r="B45" s="61" t="s">
        <v>69</v>
      </c>
      <c r="C45" s="66"/>
      <c r="D45" s="66"/>
      <c r="E45" s="67">
        <v>4.4999999999999998E-2</v>
      </c>
      <c r="F45" s="68">
        <v>84</v>
      </c>
      <c r="G45" s="80">
        <f t="shared" si="4"/>
        <v>0</v>
      </c>
      <c r="H45" s="70">
        <v>0</v>
      </c>
      <c r="I45" s="71">
        <f t="shared" si="5"/>
        <v>0</v>
      </c>
      <c r="J45" s="62"/>
      <c r="K45" s="72"/>
      <c r="L45" s="73"/>
    </row>
    <row r="46" spans="1:12" x14ac:dyDescent="0.2">
      <c r="A46" s="60"/>
      <c r="B46" s="61" t="s">
        <v>70</v>
      </c>
      <c r="C46" s="66"/>
      <c r="D46" s="66"/>
      <c r="E46" s="67">
        <v>4.4999999999999998E-2</v>
      </c>
      <c r="F46" s="68">
        <v>84</v>
      </c>
      <c r="G46" s="80">
        <f t="shared" si="4"/>
        <v>0</v>
      </c>
      <c r="H46" s="70">
        <v>0</v>
      </c>
      <c r="I46" s="71">
        <f t="shared" si="5"/>
        <v>0</v>
      </c>
      <c r="J46" s="62"/>
      <c r="K46" s="72"/>
      <c r="L46" s="73"/>
    </row>
    <row r="47" spans="1:12" x14ac:dyDescent="0.2">
      <c r="A47" s="60"/>
      <c r="B47" s="61" t="s">
        <v>71</v>
      </c>
      <c r="C47" s="66"/>
      <c r="D47" s="66"/>
      <c r="E47" s="67">
        <v>4.4999999999999998E-2</v>
      </c>
      <c r="F47" s="68">
        <v>84</v>
      </c>
      <c r="G47" s="80">
        <f t="shared" si="4"/>
        <v>0</v>
      </c>
      <c r="H47" s="70">
        <v>0</v>
      </c>
      <c r="I47" s="71">
        <f t="shared" si="5"/>
        <v>0</v>
      </c>
      <c r="J47" s="62"/>
      <c r="K47" s="72"/>
      <c r="L47" s="73"/>
    </row>
    <row r="48" spans="1:12" ht="13.5" thickBot="1" x14ac:dyDescent="0.25">
      <c r="A48" s="60"/>
      <c r="B48" s="75" t="s">
        <v>51</v>
      </c>
      <c r="C48" s="76"/>
      <c r="D48" s="76"/>
      <c r="E48" s="77"/>
      <c r="F48" s="78"/>
      <c r="G48" s="79">
        <f>SUM(G38:G47)</f>
        <v>0</v>
      </c>
      <c r="H48" s="79">
        <f>SUM(H38:H47)</f>
        <v>0</v>
      </c>
      <c r="I48" s="79">
        <f>SUM(I38:I47)</f>
        <v>0</v>
      </c>
      <c r="J48" s="62"/>
      <c r="K48" s="72">
        <f>SUM(I38:I47)</f>
        <v>0</v>
      </c>
      <c r="L48" s="73"/>
    </row>
    <row r="49" spans="1:12" ht="13.5" thickTop="1" x14ac:dyDescent="0.2">
      <c r="A49" s="60"/>
      <c r="B49" s="61"/>
      <c r="C49" s="76"/>
      <c r="D49" s="76"/>
      <c r="E49" s="77"/>
      <c r="F49" s="78"/>
      <c r="G49" s="76"/>
      <c r="H49" s="76"/>
      <c r="I49" s="61"/>
      <c r="J49" s="62"/>
      <c r="K49" s="72"/>
      <c r="L49" s="73"/>
    </row>
    <row r="50" spans="1:12" x14ac:dyDescent="0.2">
      <c r="A50" s="60"/>
      <c r="B50" s="61" t="s">
        <v>72</v>
      </c>
      <c r="C50" s="66"/>
      <c r="D50" s="66"/>
      <c r="E50" s="67">
        <v>0</v>
      </c>
      <c r="F50" s="78" t="s">
        <v>73</v>
      </c>
      <c r="G50" s="76">
        <f t="shared" ref="G50:G59" si="6">IF(K50&lt;=(50%*L50),K50,IF(K50&gt;=(50%*L50),L50,0))</f>
        <v>0</v>
      </c>
      <c r="H50" s="81"/>
      <c r="I50" s="81"/>
      <c r="J50" s="62"/>
      <c r="K50" s="72">
        <f t="shared" ref="K50:K59" si="7">C50*E50</f>
        <v>0</v>
      </c>
      <c r="L50" s="73">
        <f t="shared" ref="L50:L59" si="8">D50*E50</f>
        <v>0</v>
      </c>
    </row>
    <row r="51" spans="1:12" x14ac:dyDescent="0.2">
      <c r="A51" s="60"/>
      <c r="B51" s="61" t="s">
        <v>74</v>
      </c>
      <c r="C51" s="66"/>
      <c r="D51" s="66"/>
      <c r="E51" s="67">
        <v>0</v>
      </c>
      <c r="F51" s="78" t="s">
        <v>73</v>
      </c>
      <c r="G51" s="76">
        <f t="shared" si="6"/>
        <v>0</v>
      </c>
      <c r="H51" s="81"/>
      <c r="I51" s="81"/>
      <c r="J51" s="62"/>
      <c r="K51" s="72">
        <f t="shared" si="7"/>
        <v>0</v>
      </c>
      <c r="L51" s="73">
        <f t="shared" si="8"/>
        <v>0</v>
      </c>
    </row>
    <row r="52" spans="1:12" x14ac:dyDescent="0.2">
      <c r="A52" s="60"/>
      <c r="B52" s="61" t="s">
        <v>75</v>
      </c>
      <c r="C52" s="66">
        <v>0</v>
      </c>
      <c r="D52" s="66">
        <v>0</v>
      </c>
      <c r="E52" s="67">
        <v>0</v>
      </c>
      <c r="F52" s="78" t="s">
        <v>73</v>
      </c>
      <c r="G52" s="76">
        <f t="shared" si="6"/>
        <v>0</v>
      </c>
      <c r="H52" s="81"/>
      <c r="I52" s="81"/>
      <c r="J52" s="62"/>
      <c r="K52" s="72">
        <f t="shared" si="7"/>
        <v>0</v>
      </c>
      <c r="L52" s="73">
        <f t="shared" si="8"/>
        <v>0</v>
      </c>
    </row>
    <row r="53" spans="1:12" x14ac:dyDescent="0.2">
      <c r="A53" s="60"/>
      <c r="B53" s="61" t="s">
        <v>76</v>
      </c>
      <c r="C53" s="66">
        <v>0</v>
      </c>
      <c r="D53" s="66">
        <v>0</v>
      </c>
      <c r="E53" s="67">
        <v>0</v>
      </c>
      <c r="F53" s="78" t="s">
        <v>73</v>
      </c>
      <c r="G53" s="76">
        <f t="shared" si="6"/>
        <v>0</v>
      </c>
      <c r="H53" s="81"/>
      <c r="I53" s="81"/>
      <c r="J53" s="62"/>
      <c r="K53" s="72">
        <f t="shared" si="7"/>
        <v>0</v>
      </c>
      <c r="L53" s="73">
        <f t="shared" si="8"/>
        <v>0</v>
      </c>
    </row>
    <row r="54" spans="1:12" x14ac:dyDescent="0.2">
      <c r="A54" s="60"/>
      <c r="B54" s="61" t="s">
        <v>77</v>
      </c>
      <c r="C54" s="66">
        <v>0</v>
      </c>
      <c r="D54" s="66">
        <v>0</v>
      </c>
      <c r="E54" s="67">
        <v>0</v>
      </c>
      <c r="F54" s="78" t="s">
        <v>73</v>
      </c>
      <c r="G54" s="76">
        <f t="shared" si="6"/>
        <v>0</v>
      </c>
      <c r="H54" s="81"/>
      <c r="I54" s="81"/>
      <c r="J54" s="62"/>
      <c r="K54" s="72">
        <f t="shared" si="7"/>
        <v>0</v>
      </c>
      <c r="L54" s="73">
        <f t="shared" si="8"/>
        <v>0</v>
      </c>
    </row>
    <row r="55" spans="1:12" x14ac:dyDescent="0.2">
      <c r="A55" s="60"/>
      <c r="B55" s="61" t="s">
        <v>78</v>
      </c>
      <c r="C55" s="66">
        <v>0</v>
      </c>
      <c r="D55" s="66">
        <v>0</v>
      </c>
      <c r="E55" s="67">
        <v>0</v>
      </c>
      <c r="F55" s="78" t="s">
        <v>73</v>
      </c>
      <c r="G55" s="76">
        <f t="shared" si="6"/>
        <v>0</v>
      </c>
      <c r="H55" s="81"/>
      <c r="I55" s="81"/>
      <c r="J55" s="62"/>
      <c r="K55" s="72">
        <f t="shared" si="7"/>
        <v>0</v>
      </c>
      <c r="L55" s="73">
        <f t="shared" si="8"/>
        <v>0</v>
      </c>
    </row>
    <row r="56" spans="1:12" x14ac:dyDescent="0.2">
      <c r="A56" s="60"/>
      <c r="B56" s="61" t="s">
        <v>79</v>
      </c>
      <c r="C56" s="66">
        <v>0</v>
      </c>
      <c r="D56" s="66">
        <v>0</v>
      </c>
      <c r="E56" s="67">
        <v>0</v>
      </c>
      <c r="F56" s="78" t="s">
        <v>73</v>
      </c>
      <c r="G56" s="76">
        <f t="shared" si="6"/>
        <v>0</v>
      </c>
      <c r="H56" s="81"/>
      <c r="I56" s="81"/>
      <c r="J56" s="62"/>
      <c r="K56" s="72">
        <f t="shared" si="7"/>
        <v>0</v>
      </c>
      <c r="L56" s="73">
        <f t="shared" si="8"/>
        <v>0</v>
      </c>
    </row>
    <row r="57" spans="1:12" x14ac:dyDescent="0.2">
      <c r="A57" s="60"/>
      <c r="B57" s="61" t="s">
        <v>80</v>
      </c>
      <c r="C57" s="66">
        <v>0</v>
      </c>
      <c r="D57" s="66">
        <v>0</v>
      </c>
      <c r="E57" s="67">
        <v>0</v>
      </c>
      <c r="F57" s="78" t="s">
        <v>73</v>
      </c>
      <c r="G57" s="76">
        <f t="shared" si="6"/>
        <v>0</v>
      </c>
      <c r="H57" s="81"/>
      <c r="I57" s="81"/>
      <c r="J57" s="62"/>
      <c r="K57" s="72">
        <f t="shared" si="7"/>
        <v>0</v>
      </c>
      <c r="L57" s="73">
        <f t="shared" si="8"/>
        <v>0</v>
      </c>
    </row>
    <row r="58" spans="1:12" x14ac:dyDescent="0.2">
      <c r="A58" s="60"/>
      <c r="B58" s="61" t="s">
        <v>81</v>
      </c>
      <c r="C58" s="66">
        <v>0</v>
      </c>
      <c r="D58" s="66">
        <v>0</v>
      </c>
      <c r="E58" s="67">
        <v>0</v>
      </c>
      <c r="F58" s="78" t="s">
        <v>73</v>
      </c>
      <c r="G58" s="76">
        <f t="shared" si="6"/>
        <v>0</v>
      </c>
      <c r="H58" s="81"/>
      <c r="I58" s="81"/>
      <c r="J58" s="62"/>
      <c r="K58" s="72">
        <f t="shared" si="7"/>
        <v>0</v>
      </c>
      <c r="L58" s="73">
        <f t="shared" si="8"/>
        <v>0</v>
      </c>
    </row>
    <row r="59" spans="1:12" x14ac:dyDescent="0.2">
      <c r="A59" s="60"/>
      <c r="B59" s="61" t="s">
        <v>82</v>
      </c>
      <c r="C59" s="66">
        <v>0</v>
      </c>
      <c r="D59" s="66">
        <v>0</v>
      </c>
      <c r="E59" s="67">
        <v>0</v>
      </c>
      <c r="F59" s="78" t="s">
        <v>73</v>
      </c>
      <c r="G59" s="76">
        <f t="shared" si="6"/>
        <v>0</v>
      </c>
      <c r="H59" s="81"/>
      <c r="I59" s="81"/>
      <c r="J59" s="62"/>
      <c r="K59" s="72">
        <f t="shared" si="7"/>
        <v>0</v>
      </c>
      <c r="L59" s="73">
        <f t="shared" si="8"/>
        <v>0</v>
      </c>
    </row>
    <row r="60" spans="1:12" ht="13.5" thickBot="1" x14ac:dyDescent="0.25">
      <c r="A60" s="60"/>
      <c r="B60" s="75" t="s">
        <v>51</v>
      </c>
      <c r="C60" s="76"/>
      <c r="D60" s="76"/>
      <c r="E60" s="77"/>
      <c r="F60" s="78"/>
      <c r="G60" s="82">
        <f>SUM(G50:G59)</f>
        <v>0</v>
      </c>
      <c r="H60" s="81"/>
      <c r="I60" s="81"/>
      <c r="J60" s="62"/>
      <c r="K60" s="72"/>
      <c r="L60" s="73"/>
    </row>
    <row r="61" spans="1:12" ht="13.5" thickTop="1" x14ac:dyDescent="0.2">
      <c r="A61" s="60"/>
      <c r="B61" s="61"/>
      <c r="C61" s="76"/>
      <c r="D61" s="76"/>
      <c r="E61" s="77"/>
      <c r="F61" s="78"/>
      <c r="G61" s="76"/>
      <c r="H61" s="81"/>
      <c r="I61" s="81"/>
      <c r="J61" s="62"/>
      <c r="K61" s="72"/>
      <c r="L61" s="73"/>
    </row>
    <row r="62" spans="1:12" x14ac:dyDescent="0.2">
      <c r="A62" s="60"/>
      <c r="B62" s="61" t="s">
        <v>83</v>
      </c>
      <c r="C62" s="66"/>
      <c r="D62" s="66"/>
      <c r="E62" s="67">
        <v>0</v>
      </c>
      <c r="F62" s="78" t="s">
        <v>73</v>
      </c>
      <c r="G62" s="76">
        <f t="shared" ref="G62:G71" si="9">IF(K62&lt;=(50%*L62),K62,IF(K62&gt;=(50%*L62),L62,0))</f>
        <v>0</v>
      </c>
      <c r="H62" s="81"/>
      <c r="I62" s="81"/>
      <c r="J62" s="62"/>
      <c r="K62" s="72">
        <f t="shared" ref="K62:K71" si="10">C62*E62</f>
        <v>0</v>
      </c>
      <c r="L62" s="73">
        <f t="shared" ref="L62:L71" si="11">D62*E62</f>
        <v>0</v>
      </c>
    </row>
    <row r="63" spans="1:12" x14ac:dyDescent="0.2">
      <c r="A63" s="60"/>
      <c r="B63" s="61" t="s">
        <v>84</v>
      </c>
      <c r="C63" s="66"/>
      <c r="D63" s="66"/>
      <c r="E63" s="67">
        <v>0</v>
      </c>
      <c r="F63" s="78" t="s">
        <v>73</v>
      </c>
      <c r="G63" s="76">
        <f t="shared" si="9"/>
        <v>0</v>
      </c>
      <c r="H63" s="81"/>
      <c r="I63" s="81"/>
      <c r="J63" s="62"/>
      <c r="K63" s="72">
        <f t="shared" si="10"/>
        <v>0</v>
      </c>
      <c r="L63" s="73">
        <f t="shared" si="11"/>
        <v>0</v>
      </c>
    </row>
    <row r="64" spans="1:12" x14ac:dyDescent="0.2">
      <c r="A64" s="60"/>
      <c r="B64" s="61" t="s">
        <v>85</v>
      </c>
      <c r="C64" s="66">
        <v>0</v>
      </c>
      <c r="D64" s="66">
        <v>0</v>
      </c>
      <c r="E64" s="67">
        <v>0</v>
      </c>
      <c r="F64" s="78" t="s">
        <v>73</v>
      </c>
      <c r="G64" s="76">
        <f t="shared" si="9"/>
        <v>0</v>
      </c>
      <c r="H64" s="81"/>
      <c r="I64" s="81"/>
      <c r="J64" s="62"/>
      <c r="K64" s="72">
        <f t="shared" si="10"/>
        <v>0</v>
      </c>
      <c r="L64" s="73">
        <f t="shared" si="11"/>
        <v>0</v>
      </c>
    </row>
    <row r="65" spans="1:12" x14ac:dyDescent="0.2">
      <c r="A65" s="60"/>
      <c r="B65" s="61" t="s">
        <v>86</v>
      </c>
      <c r="C65" s="66">
        <v>0</v>
      </c>
      <c r="D65" s="66">
        <v>0</v>
      </c>
      <c r="E65" s="67">
        <v>0</v>
      </c>
      <c r="F65" s="78" t="s">
        <v>73</v>
      </c>
      <c r="G65" s="76">
        <f t="shared" si="9"/>
        <v>0</v>
      </c>
      <c r="H65" s="81"/>
      <c r="I65" s="81"/>
      <c r="J65" s="62"/>
      <c r="K65" s="72">
        <f t="shared" si="10"/>
        <v>0</v>
      </c>
      <c r="L65" s="73">
        <f t="shared" si="11"/>
        <v>0</v>
      </c>
    </row>
    <row r="66" spans="1:12" x14ac:dyDescent="0.2">
      <c r="A66" s="60"/>
      <c r="B66" s="61" t="s">
        <v>87</v>
      </c>
      <c r="C66" s="66">
        <v>0</v>
      </c>
      <c r="D66" s="66">
        <v>0</v>
      </c>
      <c r="E66" s="67">
        <v>0</v>
      </c>
      <c r="F66" s="78" t="s">
        <v>73</v>
      </c>
      <c r="G66" s="76">
        <f t="shared" si="9"/>
        <v>0</v>
      </c>
      <c r="H66" s="81"/>
      <c r="I66" s="81"/>
      <c r="J66" s="62"/>
      <c r="K66" s="72">
        <f t="shared" si="10"/>
        <v>0</v>
      </c>
      <c r="L66" s="73">
        <f t="shared" si="11"/>
        <v>0</v>
      </c>
    </row>
    <row r="67" spans="1:12" x14ac:dyDescent="0.2">
      <c r="A67" s="60"/>
      <c r="B67" s="61" t="s">
        <v>88</v>
      </c>
      <c r="C67" s="66">
        <v>0</v>
      </c>
      <c r="D67" s="66">
        <v>0</v>
      </c>
      <c r="E67" s="67">
        <v>0</v>
      </c>
      <c r="F67" s="78" t="s">
        <v>73</v>
      </c>
      <c r="G67" s="76">
        <f t="shared" si="9"/>
        <v>0</v>
      </c>
      <c r="H67" s="81"/>
      <c r="I67" s="81"/>
      <c r="J67" s="62"/>
      <c r="K67" s="72">
        <f t="shared" si="10"/>
        <v>0</v>
      </c>
      <c r="L67" s="73">
        <f t="shared" si="11"/>
        <v>0</v>
      </c>
    </row>
    <row r="68" spans="1:12" x14ac:dyDescent="0.2">
      <c r="A68" s="60"/>
      <c r="B68" s="61" t="s">
        <v>89</v>
      </c>
      <c r="C68" s="66">
        <v>0</v>
      </c>
      <c r="D68" s="66">
        <v>0</v>
      </c>
      <c r="E68" s="67">
        <v>0</v>
      </c>
      <c r="F68" s="78" t="s">
        <v>73</v>
      </c>
      <c r="G68" s="76">
        <f t="shared" si="9"/>
        <v>0</v>
      </c>
      <c r="H68" s="81"/>
      <c r="I68" s="81"/>
      <c r="J68" s="62"/>
      <c r="K68" s="72">
        <f t="shared" si="10"/>
        <v>0</v>
      </c>
      <c r="L68" s="73">
        <f t="shared" si="11"/>
        <v>0</v>
      </c>
    </row>
    <row r="69" spans="1:12" x14ac:dyDescent="0.2">
      <c r="A69" s="60"/>
      <c r="B69" s="61" t="s">
        <v>90</v>
      </c>
      <c r="C69" s="66">
        <v>0</v>
      </c>
      <c r="D69" s="66">
        <v>0</v>
      </c>
      <c r="E69" s="67">
        <v>0</v>
      </c>
      <c r="F69" s="78" t="s">
        <v>73</v>
      </c>
      <c r="G69" s="76">
        <f t="shared" si="9"/>
        <v>0</v>
      </c>
      <c r="H69" s="81"/>
      <c r="I69" s="81"/>
      <c r="J69" s="62"/>
      <c r="K69" s="72">
        <f t="shared" si="10"/>
        <v>0</v>
      </c>
      <c r="L69" s="73">
        <f t="shared" si="11"/>
        <v>0</v>
      </c>
    </row>
    <row r="70" spans="1:12" x14ac:dyDescent="0.2">
      <c r="A70" s="60"/>
      <c r="B70" s="61" t="s">
        <v>91</v>
      </c>
      <c r="C70" s="66">
        <v>0</v>
      </c>
      <c r="D70" s="66">
        <v>0</v>
      </c>
      <c r="E70" s="67">
        <v>0</v>
      </c>
      <c r="F70" s="78" t="s">
        <v>73</v>
      </c>
      <c r="G70" s="76">
        <f t="shared" si="9"/>
        <v>0</v>
      </c>
      <c r="H70" s="81"/>
      <c r="I70" s="81"/>
      <c r="J70" s="62"/>
      <c r="K70" s="72">
        <f t="shared" si="10"/>
        <v>0</v>
      </c>
      <c r="L70" s="73">
        <f t="shared" si="11"/>
        <v>0</v>
      </c>
    </row>
    <row r="71" spans="1:12" x14ac:dyDescent="0.2">
      <c r="A71" s="60"/>
      <c r="B71" s="61" t="s">
        <v>92</v>
      </c>
      <c r="C71" s="66">
        <v>0</v>
      </c>
      <c r="D71" s="66">
        <v>0</v>
      </c>
      <c r="E71" s="67">
        <v>0</v>
      </c>
      <c r="F71" s="78" t="s">
        <v>73</v>
      </c>
      <c r="G71" s="76">
        <f t="shared" si="9"/>
        <v>0</v>
      </c>
      <c r="H71" s="81"/>
      <c r="I71" s="81"/>
      <c r="J71" s="62"/>
      <c r="K71" s="72">
        <f t="shared" si="10"/>
        <v>0</v>
      </c>
      <c r="L71" s="73">
        <f t="shared" si="11"/>
        <v>0</v>
      </c>
    </row>
    <row r="72" spans="1:12" ht="13.5" thickBot="1" x14ac:dyDescent="0.25">
      <c r="A72" s="60"/>
      <c r="B72" s="75" t="s">
        <v>51</v>
      </c>
      <c r="C72" s="76"/>
      <c r="D72" s="76"/>
      <c r="E72" s="77"/>
      <c r="F72" s="78"/>
      <c r="G72" s="82">
        <f>SUM(G62:G71)</f>
        <v>0</v>
      </c>
      <c r="H72" s="81"/>
      <c r="I72" s="81"/>
      <c r="J72" s="62"/>
      <c r="K72" s="72"/>
    </row>
    <row r="73" spans="1:12" ht="13.5" thickTop="1" x14ac:dyDescent="0.2">
      <c r="A73" s="60"/>
      <c r="B73" s="61"/>
      <c r="C73" s="61"/>
      <c r="D73" s="61"/>
      <c r="E73" s="61"/>
      <c r="F73" s="61"/>
      <c r="G73" s="61"/>
      <c r="H73" s="61"/>
      <c r="I73" s="61"/>
      <c r="J73" s="62"/>
    </row>
    <row r="74" spans="1:12" s="85" customFormat="1" ht="25.5" customHeight="1" x14ac:dyDescent="0.2">
      <c r="A74" s="60"/>
      <c r="B74" s="61"/>
      <c r="C74" s="149" t="s">
        <v>93</v>
      </c>
      <c r="D74" s="149"/>
      <c r="E74" s="61"/>
      <c r="F74" s="61"/>
      <c r="G74" s="61"/>
      <c r="H74" s="61"/>
      <c r="I74" s="61"/>
      <c r="J74" s="62"/>
      <c r="K74" s="83"/>
      <c r="L74" s="84"/>
    </row>
    <row r="75" spans="1:12" s="85" customFormat="1" x14ac:dyDescent="0.2">
      <c r="A75" s="60"/>
      <c r="B75" s="61" t="s">
        <v>94</v>
      </c>
      <c r="C75" s="146">
        <f>G24+I24</f>
        <v>0</v>
      </c>
      <c r="D75" s="146"/>
      <c r="E75" s="61"/>
      <c r="F75" s="61"/>
      <c r="G75" s="61"/>
      <c r="H75" s="61"/>
      <c r="I75" s="61"/>
      <c r="J75" s="62"/>
      <c r="K75" s="83"/>
      <c r="L75" s="84"/>
    </row>
    <row r="76" spans="1:12" s="85" customFormat="1" x14ac:dyDescent="0.2">
      <c r="A76" s="60"/>
      <c r="B76" s="61" t="s">
        <v>95</v>
      </c>
      <c r="C76" s="146">
        <f>G36+I36</f>
        <v>8748.84</v>
      </c>
      <c r="D76" s="146"/>
      <c r="E76" s="61"/>
      <c r="F76" s="61"/>
      <c r="G76" s="61"/>
      <c r="H76" s="61"/>
      <c r="I76" s="61"/>
      <c r="J76" s="62"/>
      <c r="K76" s="83"/>
      <c r="L76" s="84"/>
    </row>
    <row r="77" spans="1:12" s="85" customFormat="1" x14ac:dyDescent="0.2">
      <c r="A77" s="60"/>
      <c r="B77" s="61" t="s">
        <v>96</v>
      </c>
      <c r="C77" s="146">
        <f>G48+I48</f>
        <v>0</v>
      </c>
      <c r="D77" s="146"/>
      <c r="E77" s="61"/>
      <c r="F77" s="61"/>
      <c r="G77" s="61"/>
      <c r="H77" s="61"/>
      <c r="I77" s="61"/>
      <c r="J77" s="62"/>
      <c r="K77" s="83"/>
      <c r="L77" s="84"/>
    </row>
    <row r="78" spans="1:12" s="85" customFormat="1" x14ac:dyDescent="0.2">
      <c r="A78" s="60"/>
      <c r="B78" s="61" t="s">
        <v>97</v>
      </c>
      <c r="C78" s="146">
        <f>G60</f>
        <v>0</v>
      </c>
      <c r="D78" s="146"/>
      <c r="E78" s="61"/>
      <c r="F78" s="61"/>
      <c r="G78" s="61"/>
      <c r="H78" s="61"/>
      <c r="I78" s="61"/>
      <c r="J78" s="62"/>
      <c r="K78" s="83"/>
      <c r="L78" s="84"/>
    </row>
    <row r="79" spans="1:12" s="85" customFormat="1" x14ac:dyDescent="0.2">
      <c r="A79" s="60"/>
      <c r="B79" s="61" t="s">
        <v>98</v>
      </c>
      <c r="C79" s="146">
        <f>G72+H72</f>
        <v>0</v>
      </c>
      <c r="D79" s="146"/>
      <c r="E79" s="61"/>
      <c r="F79" s="61"/>
      <c r="G79" s="61"/>
      <c r="H79" s="61"/>
      <c r="I79" s="61"/>
      <c r="J79" s="62"/>
      <c r="K79" s="83"/>
      <c r="L79" s="84"/>
    </row>
    <row r="80" spans="1:12" x14ac:dyDescent="0.2">
      <c r="A80" s="60"/>
      <c r="B80" s="61"/>
      <c r="C80" s="61"/>
      <c r="D80" s="61"/>
      <c r="E80" s="61"/>
      <c r="F80" s="61"/>
      <c r="G80" s="61"/>
      <c r="H80" s="61"/>
      <c r="I80" s="61"/>
      <c r="J80" s="62"/>
    </row>
    <row r="81" spans="1:10" x14ac:dyDescent="0.2">
      <c r="A81" s="60"/>
      <c r="B81" s="61"/>
      <c r="C81" s="61"/>
      <c r="D81" s="61"/>
      <c r="E81" s="61"/>
      <c r="F81" s="61"/>
      <c r="G81" s="61"/>
      <c r="H81" s="61"/>
      <c r="I81" s="61"/>
      <c r="J81" s="62"/>
    </row>
    <row r="82" spans="1:10" x14ac:dyDescent="0.2">
      <c r="A82" s="60"/>
      <c r="B82" s="61" t="s">
        <v>99</v>
      </c>
      <c r="C82" s="147"/>
      <c r="D82" s="147"/>
      <c r="E82" s="147"/>
      <c r="F82" s="61"/>
      <c r="G82" s="61"/>
      <c r="H82" s="61"/>
      <c r="I82" s="61"/>
      <c r="J82" s="62"/>
    </row>
    <row r="83" spans="1:10" x14ac:dyDescent="0.2">
      <c r="A83" s="60"/>
      <c r="B83" s="61" t="s">
        <v>100</v>
      </c>
      <c r="C83" s="150"/>
      <c r="D83" s="148"/>
      <c r="E83" s="148"/>
      <c r="F83" s="61"/>
      <c r="G83" s="61"/>
      <c r="H83" s="61"/>
      <c r="I83" s="61"/>
      <c r="J83" s="62"/>
    </row>
    <row r="84" spans="1:10" x14ac:dyDescent="0.2">
      <c r="A84" s="60"/>
      <c r="B84" s="61"/>
      <c r="C84" s="61"/>
      <c r="D84" s="61"/>
      <c r="E84" s="61"/>
      <c r="F84" s="61"/>
      <c r="G84" s="61"/>
      <c r="H84" s="61"/>
      <c r="I84" s="61"/>
      <c r="J84" s="62"/>
    </row>
    <row r="85" spans="1:10" ht="13.5" thickBot="1" x14ac:dyDescent="0.25">
      <c r="A85" s="86"/>
      <c r="B85" s="87"/>
      <c r="C85" s="87"/>
      <c r="D85" s="87"/>
      <c r="E85" s="87"/>
      <c r="F85" s="87"/>
      <c r="G85" s="87"/>
      <c r="H85" s="87"/>
      <c r="I85" s="87"/>
      <c r="J85" s="88"/>
    </row>
  </sheetData>
  <sheetProtection password="DD94" sheet="1" objects="1" scenarios="1" selectLockedCells="1"/>
  <mergeCells count="11">
    <mergeCell ref="C77:D77"/>
    <mergeCell ref="C78:D78"/>
    <mergeCell ref="C79:D79"/>
    <mergeCell ref="C82:E82"/>
    <mergeCell ref="C83:E83"/>
    <mergeCell ref="C76:D76"/>
    <mergeCell ref="C3:F3"/>
    <mergeCell ref="C4:F4"/>
    <mergeCell ref="C10:F10"/>
    <mergeCell ref="C74:D74"/>
    <mergeCell ref="C75:D75"/>
  </mergeCells>
  <pageMargins left="0.47" right="0.54" top="0.79" bottom="0.8" header="0.5" footer="0.5"/>
  <pageSetup paperSize="9" scale="61" orientation="portrait" r:id="rId1"/>
  <headerFooter alignWithMargins="0"/>
  <colBreaks count="1" manualBreakCount="1">
    <brk id="10" max="7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1217"/>
  <sheetViews>
    <sheetView zoomScale="70" zoomScaleNormal="70" workbookViewId="0">
      <pane ySplit="1" topLeftCell="A1083" activePane="bottomLeft" state="frozen"/>
      <selection pane="bottomLeft" activeCell="A1100" sqref="A1100:XFD1100"/>
    </sheetView>
  </sheetViews>
  <sheetFormatPr defaultRowHeight="15" x14ac:dyDescent="0.25"/>
  <cols>
    <col min="1" max="1" width="9.140625" style="130"/>
    <col min="2" max="2" width="66.85546875" style="130" customWidth="1"/>
    <col min="3" max="3" width="9.140625" style="130"/>
    <col min="4" max="4" width="31" style="133" bestFit="1" customWidth="1"/>
    <col min="5" max="5" width="30.140625" style="130" bestFit="1" customWidth="1"/>
    <col min="6" max="6" width="66.42578125" style="130" customWidth="1"/>
    <col min="7" max="7" width="9.140625" style="130"/>
    <col min="8" max="8" width="15.28515625" style="130" bestFit="1" customWidth="1"/>
    <col min="9" max="9" width="16.7109375" style="130" bestFit="1" customWidth="1"/>
    <col min="10" max="12" width="9.140625" style="130"/>
    <col min="13" max="14" width="13.5703125" style="128" customWidth="1"/>
    <col min="15" max="15" width="9.140625" style="130"/>
    <col min="16" max="16" width="14.28515625" style="133" customWidth="1"/>
    <col min="17" max="17" width="10.85546875" style="130" customWidth="1"/>
    <col min="18" max="18" width="16.85546875" style="128" customWidth="1"/>
    <col min="19" max="19" width="53.85546875" style="130" customWidth="1"/>
    <col min="20" max="257" width="9.140625" style="130"/>
    <col min="258" max="258" width="66.85546875" style="130" customWidth="1"/>
    <col min="259" max="259" width="9.140625" style="130"/>
    <col min="260" max="260" width="31" style="130" bestFit="1" customWidth="1"/>
    <col min="261" max="261" width="30.140625" style="130" bestFit="1" customWidth="1"/>
    <col min="262" max="262" width="66.42578125" style="130" customWidth="1"/>
    <col min="263" max="263" width="9.140625" style="130"/>
    <col min="264" max="264" width="15.28515625" style="130" bestFit="1" customWidth="1"/>
    <col min="265" max="265" width="16.7109375" style="130" bestFit="1" customWidth="1"/>
    <col min="266" max="268" width="9.140625" style="130"/>
    <col min="269" max="270" width="13.5703125" style="130" customWidth="1"/>
    <col min="271" max="271" width="9.140625" style="130"/>
    <col min="272" max="272" width="14.28515625" style="130" customWidth="1"/>
    <col min="273" max="273" width="10.85546875" style="130" customWidth="1"/>
    <col min="274" max="274" width="16.85546875" style="130" customWidth="1"/>
    <col min="275" max="275" width="53.85546875" style="130" customWidth="1"/>
    <col min="276" max="513" width="9.140625" style="130"/>
    <col min="514" max="514" width="66.85546875" style="130" customWidth="1"/>
    <col min="515" max="515" width="9.140625" style="130"/>
    <col min="516" max="516" width="31" style="130" bestFit="1" customWidth="1"/>
    <col min="517" max="517" width="30.140625" style="130" bestFit="1" customWidth="1"/>
    <col min="518" max="518" width="66.42578125" style="130" customWidth="1"/>
    <col min="519" max="519" width="9.140625" style="130"/>
    <col min="520" max="520" width="15.28515625" style="130" bestFit="1" customWidth="1"/>
    <col min="521" max="521" width="16.7109375" style="130" bestFit="1" customWidth="1"/>
    <col min="522" max="524" width="9.140625" style="130"/>
    <col min="525" max="526" width="13.5703125" style="130" customWidth="1"/>
    <col min="527" max="527" width="9.140625" style="130"/>
    <col min="528" max="528" width="14.28515625" style="130" customWidth="1"/>
    <col min="529" max="529" width="10.85546875" style="130" customWidth="1"/>
    <col min="530" max="530" width="16.85546875" style="130" customWidth="1"/>
    <col min="531" max="531" width="53.85546875" style="130" customWidth="1"/>
    <col min="532" max="769" width="9.140625" style="130"/>
    <col min="770" max="770" width="66.85546875" style="130" customWidth="1"/>
    <col min="771" max="771" width="9.140625" style="130"/>
    <col min="772" max="772" width="31" style="130" bestFit="1" customWidth="1"/>
    <col min="773" max="773" width="30.140625" style="130" bestFit="1" customWidth="1"/>
    <col min="774" max="774" width="66.42578125" style="130" customWidth="1"/>
    <col min="775" max="775" width="9.140625" style="130"/>
    <col min="776" max="776" width="15.28515625" style="130" bestFit="1" customWidth="1"/>
    <col min="777" max="777" width="16.7109375" style="130" bestFit="1" customWidth="1"/>
    <col min="778" max="780" width="9.140625" style="130"/>
    <col min="781" max="782" width="13.5703125" style="130" customWidth="1"/>
    <col min="783" max="783" width="9.140625" style="130"/>
    <col min="784" max="784" width="14.28515625" style="130" customWidth="1"/>
    <col min="785" max="785" width="10.85546875" style="130" customWidth="1"/>
    <col min="786" max="786" width="16.85546875" style="130" customWidth="1"/>
    <col min="787" max="787" width="53.85546875" style="130" customWidth="1"/>
    <col min="788" max="1025" width="9.140625" style="130"/>
    <col min="1026" max="1026" width="66.85546875" style="130" customWidth="1"/>
    <col min="1027" max="1027" width="9.140625" style="130"/>
    <col min="1028" max="1028" width="31" style="130" bestFit="1" customWidth="1"/>
    <col min="1029" max="1029" width="30.140625" style="130" bestFit="1" customWidth="1"/>
    <col min="1030" max="1030" width="66.42578125" style="130" customWidth="1"/>
    <col min="1031" max="1031" width="9.140625" style="130"/>
    <col min="1032" max="1032" width="15.28515625" style="130" bestFit="1" customWidth="1"/>
    <col min="1033" max="1033" width="16.7109375" style="130" bestFit="1" customWidth="1"/>
    <col min="1034" max="1036" width="9.140625" style="130"/>
    <col min="1037" max="1038" width="13.5703125" style="130" customWidth="1"/>
    <col min="1039" max="1039" width="9.140625" style="130"/>
    <col min="1040" max="1040" width="14.28515625" style="130" customWidth="1"/>
    <col min="1041" max="1041" width="10.85546875" style="130" customWidth="1"/>
    <col min="1042" max="1042" width="16.85546875" style="130" customWidth="1"/>
    <col min="1043" max="1043" width="53.85546875" style="130" customWidth="1"/>
    <col min="1044" max="1281" width="9.140625" style="130"/>
    <col min="1282" max="1282" width="66.85546875" style="130" customWidth="1"/>
    <col min="1283" max="1283" width="9.140625" style="130"/>
    <col min="1284" max="1284" width="31" style="130" bestFit="1" customWidth="1"/>
    <col min="1285" max="1285" width="30.140625" style="130" bestFit="1" customWidth="1"/>
    <col min="1286" max="1286" width="66.42578125" style="130" customWidth="1"/>
    <col min="1287" max="1287" width="9.140625" style="130"/>
    <col min="1288" max="1288" width="15.28515625" style="130" bestFit="1" customWidth="1"/>
    <col min="1289" max="1289" width="16.7109375" style="130" bestFit="1" customWidth="1"/>
    <col min="1290" max="1292" width="9.140625" style="130"/>
    <col min="1293" max="1294" width="13.5703125" style="130" customWidth="1"/>
    <col min="1295" max="1295" width="9.140625" style="130"/>
    <col min="1296" max="1296" width="14.28515625" style="130" customWidth="1"/>
    <col min="1297" max="1297" width="10.85546875" style="130" customWidth="1"/>
    <col min="1298" max="1298" width="16.85546875" style="130" customWidth="1"/>
    <col min="1299" max="1299" width="53.85546875" style="130" customWidth="1"/>
    <col min="1300" max="1537" width="9.140625" style="130"/>
    <col min="1538" max="1538" width="66.85546875" style="130" customWidth="1"/>
    <col min="1539" max="1539" width="9.140625" style="130"/>
    <col min="1540" max="1540" width="31" style="130" bestFit="1" customWidth="1"/>
    <col min="1541" max="1541" width="30.140625" style="130" bestFit="1" customWidth="1"/>
    <col min="1542" max="1542" width="66.42578125" style="130" customWidth="1"/>
    <col min="1543" max="1543" width="9.140625" style="130"/>
    <col min="1544" max="1544" width="15.28515625" style="130" bestFit="1" customWidth="1"/>
    <col min="1545" max="1545" width="16.7109375" style="130" bestFit="1" customWidth="1"/>
    <col min="1546" max="1548" width="9.140625" style="130"/>
    <col min="1549" max="1550" width="13.5703125" style="130" customWidth="1"/>
    <col min="1551" max="1551" width="9.140625" style="130"/>
    <col min="1552" max="1552" width="14.28515625" style="130" customWidth="1"/>
    <col min="1553" max="1553" width="10.85546875" style="130" customWidth="1"/>
    <col min="1554" max="1554" width="16.85546875" style="130" customWidth="1"/>
    <col min="1555" max="1555" width="53.85546875" style="130" customWidth="1"/>
    <col min="1556" max="1793" width="9.140625" style="130"/>
    <col min="1794" max="1794" width="66.85546875" style="130" customWidth="1"/>
    <col min="1795" max="1795" width="9.140625" style="130"/>
    <col min="1796" max="1796" width="31" style="130" bestFit="1" customWidth="1"/>
    <col min="1797" max="1797" width="30.140625" style="130" bestFit="1" customWidth="1"/>
    <col min="1798" max="1798" width="66.42578125" style="130" customWidth="1"/>
    <col min="1799" max="1799" width="9.140625" style="130"/>
    <col min="1800" max="1800" width="15.28515625" style="130" bestFit="1" customWidth="1"/>
    <col min="1801" max="1801" width="16.7109375" style="130" bestFit="1" customWidth="1"/>
    <col min="1802" max="1804" width="9.140625" style="130"/>
    <col min="1805" max="1806" width="13.5703125" style="130" customWidth="1"/>
    <col min="1807" max="1807" width="9.140625" style="130"/>
    <col min="1808" max="1808" width="14.28515625" style="130" customWidth="1"/>
    <col min="1809" max="1809" width="10.85546875" style="130" customWidth="1"/>
    <col min="1810" max="1810" width="16.85546875" style="130" customWidth="1"/>
    <col min="1811" max="1811" width="53.85546875" style="130" customWidth="1"/>
    <col min="1812" max="2049" width="9.140625" style="130"/>
    <col min="2050" max="2050" width="66.85546875" style="130" customWidth="1"/>
    <col min="2051" max="2051" width="9.140625" style="130"/>
    <col min="2052" max="2052" width="31" style="130" bestFit="1" customWidth="1"/>
    <col min="2053" max="2053" width="30.140625" style="130" bestFit="1" customWidth="1"/>
    <col min="2054" max="2054" width="66.42578125" style="130" customWidth="1"/>
    <col min="2055" max="2055" width="9.140625" style="130"/>
    <col min="2056" max="2056" width="15.28515625" style="130" bestFit="1" customWidth="1"/>
    <col min="2057" max="2057" width="16.7109375" style="130" bestFit="1" customWidth="1"/>
    <col min="2058" max="2060" width="9.140625" style="130"/>
    <col min="2061" max="2062" width="13.5703125" style="130" customWidth="1"/>
    <col min="2063" max="2063" width="9.140625" style="130"/>
    <col min="2064" max="2064" width="14.28515625" style="130" customWidth="1"/>
    <col min="2065" max="2065" width="10.85546875" style="130" customWidth="1"/>
    <col min="2066" max="2066" width="16.85546875" style="130" customWidth="1"/>
    <col min="2067" max="2067" width="53.85546875" style="130" customWidth="1"/>
    <col min="2068" max="2305" width="9.140625" style="130"/>
    <col min="2306" max="2306" width="66.85546875" style="130" customWidth="1"/>
    <col min="2307" max="2307" width="9.140625" style="130"/>
    <col min="2308" max="2308" width="31" style="130" bestFit="1" customWidth="1"/>
    <col min="2309" max="2309" width="30.140625" style="130" bestFit="1" customWidth="1"/>
    <col min="2310" max="2310" width="66.42578125" style="130" customWidth="1"/>
    <col min="2311" max="2311" width="9.140625" style="130"/>
    <col min="2312" max="2312" width="15.28515625" style="130" bestFit="1" customWidth="1"/>
    <col min="2313" max="2313" width="16.7109375" style="130" bestFit="1" customWidth="1"/>
    <col min="2314" max="2316" width="9.140625" style="130"/>
    <col min="2317" max="2318" width="13.5703125" style="130" customWidth="1"/>
    <col min="2319" max="2319" width="9.140625" style="130"/>
    <col min="2320" max="2320" width="14.28515625" style="130" customWidth="1"/>
    <col min="2321" max="2321" width="10.85546875" style="130" customWidth="1"/>
    <col min="2322" max="2322" width="16.85546875" style="130" customWidth="1"/>
    <col min="2323" max="2323" width="53.85546875" style="130" customWidth="1"/>
    <col min="2324" max="2561" width="9.140625" style="130"/>
    <col min="2562" max="2562" width="66.85546875" style="130" customWidth="1"/>
    <col min="2563" max="2563" width="9.140625" style="130"/>
    <col min="2564" max="2564" width="31" style="130" bestFit="1" customWidth="1"/>
    <col min="2565" max="2565" width="30.140625" style="130" bestFit="1" customWidth="1"/>
    <col min="2566" max="2566" width="66.42578125" style="130" customWidth="1"/>
    <col min="2567" max="2567" width="9.140625" style="130"/>
    <col min="2568" max="2568" width="15.28515625" style="130" bestFit="1" customWidth="1"/>
    <col min="2569" max="2569" width="16.7109375" style="130" bestFit="1" customWidth="1"/>
    <col min="2570" max="2572" width="9.140625" style="130"/>
    <col min="2573" max="2574" width="13.5703125" style="130" customWidth="1"/>
    <col min="2575" max="2575" width="9.140625" style="130"/>
    <col min="2576" max="2576" width="14.28515625" style="130" customWidth="1"/>
    <col min="2577" max="2577" width="10.85546875" style="130" customWidth="1"/>
    <col min="2578" max="2578" width="16.85546875" style="130" customWidth="1"/>
    <col min="2579" max="2579" width="53.85546875" style="130" customWidth="1"/>
    <col min="2580" max="2817" width="9.140625" style="130"/>
    <col min="2818" max="2818" width="66.85546875" style="130" customWidth="1"/>
    <col min="2819" max="2819" width="9.140625" style="130"/>
    <col min="2820" max="2820" width="31" style="130" bestFit="1" customWidth="1"/>
    <col min="2821" max="2821" width="30.140625" style="130" bestFit="1" customWidth="1"/>
    <col min="2822" max="2822" width="66.42578125" style="130" customWidth="1"/>
    <col min="2823" max="2823" width="9.140625" style="130"/>
    <col min="2824" max="2824" width="15.28515625" style="130" bestFit="1" customWidth="1"/>
    <col min="2825" max="2825" width="16.7109375" style="130" bestFit="1" customWidth="1"/>
    <col min="2826" max="2828" width="9.140625" style="130"/>
    <col min="2829" max="2830" width="13.5703125" style="130" customWidth="1"/>
    <col min="2831" max="2831" width="9.140625" style="130"/>
    <col min="2832" max="2832" width="14.28515625" style="130" customWidth="1"/>
    <col min="2833" max="2833" width="10.85546875" style="130" customWidth="1"/>
    <col min="2834" max="2834" width="16.85546875" style="130" customWidth="1"/>
    <col min="2835" max="2835" width="53.85546875" style="130" customWidth="1"/>
    <col min="2836" max="3073" width="9.140625" style="130"/>
    <col min="3074" max="3074" width="66.85546875" style="130" customWidth="1"/>
    <col min="3075" max="3075" width="9.140625" style="130"/>
    <col min="3076" max="3076" width="31" style="130" bestFit="1" customWidth="1"/>
    <col min="3077" max="3077" width="30.140625" style="130" bestFit="1" customWidth="1"/>
    <col min="3078" max="3078" width="66.42578125" style="130" customWidth="1"/>
    <col min="3079" max="3079" width="9.140625" style="130"/>
    <col min="3080" max="3080" width="15.28515625" style="130" bestFit="1" customWidth="1"/>
    <col min="3081" max="3081" width="16.7109375" style="130" bestFit="1" customWidth="1"/>
    <col min="3082" max="3084" width="9.140625" style="130"/>
    <col min="3085" max="3086" width="13.5703125" style="130" customWidth="1"/>
    <col min="3087" max="3087" width="9.140625" style="130"/>
    <col min="3088" max="3088" width="14.28515625" style="130" customWidth="1"/>
    <col min="3089" max="3089" width="10.85546875" style="130" customWidth="1"/>
    <col min="3090" max="3090" width="16.85546875" style="130" customWidth="1"/>
    <col min="3091" max="3091" width="53.85546875" style="130" customWidth="1"/>
    <col min="3092" max="3329" width="9.140625" style="130"/>
    <col min="3330" max="3330" width="66.85546875" style="130" customWidth="1"/>
    <col min="3331" max="3331" width="9.140625" style="130"/>
    <col min="3332" max="3332" width="31" style="130" bestFit="1" customWidth="1"/>
    <col min="3333" max="3333" width="30.140625" style="130" bestFit="1" customWidth="1"/>
    <col min="3334" max="3334" width="66.42578125" style="130" customWidth="1"/>
    <col min="3335" max="3335" width="9.140625" style="130"/>
    <col min="3336" max="3336" width="15.28515625" style="130" bestFit="1" customWidth="1"/>
    <col min="3337" max="3337" width="16.7109375" style="130" bestFit="1" customWidth="1"/>
    <col min="3338" max="3340" width="9.140625" style="130"/>
    <col min="3341" max="3342" width="13.5703125" style="130" customWidth="1"/>
    <col min="3343" max="3343" width="9.140625" style="130"/>
    <col min="3344" max="3344" width="14.28515625" style="130" customWidth="1"/>
    <col min="3345" max="3345" width="10.85546875" style="130" customWidth="1"/>
    <col min="3346" max="3346" width="16.85546875" style="130" customWidth="1"/>
    <col min="3347" max="3347" width="53.85546875" style="130" customWidth="1"/>
    <col min="3348" max="3585" width="9.140625" style="130"/>
    <col min="3586" max="3586" width="66.85546875" style="130" customWidth="1"/>
    <col min="3587" max="3587" width="9.140625" style="130"/>
    <col min="3588" max="3588" width="31" style="130" bestFit="1" customWidth="1"/>
    <col min="3589" max="3589" width="30.140625" style="130" bestFit="1" customWidth="1"/>
    <col min="3590" max="3590" width="66.42578125" style="130" customWidth="1"/>
    <col min="3591" max="3591" width="9.140625" style="130"/>
    <col min="3592" max="3592" width="15.28515625" style="130" bestFit="1" customWidth="1"/>
    <col min="3593" max="3593" width="16.7109375" style="130" bestFit="1" customWidth="1"/>
    <col min="3594" max="3596" width="9.140625" style="130"/>
    <col min="3597" max="3598" width="13.5703125" style="130" customWidth="1"/>
    <col min="3599" max="3599" width="9.140625" style="130"/>
    <col min="3600" max="3600" width="14.28515625" style="130" customWidth="1"/>
    <col min="3601" max="3601" width="10.85546875" style="130" customWidth="1"/>
    <col min="3602" max="3602" width="16.85546875" style="130" customWidth="1"/>
    <col min="3603" max="3603" width="53.85546875" style="130" customWidth="1"/>
    <col min="3604" max="3841" width="9.140625" style="130"/>
    <col min="3842" max="3842" width="66.85546875" style="130" customWidth="1"/>
    <col min="3843" max="3843" width="9.140625" style="130"/>
    <col min="3844" max="3844" width="31" style="130" bestFit="1" customWidth="1"/>
    <col min="3845" max="3845" width="30.140625" style="130" bestFit="1" customWidth="1"/>
    <col min="3846" max="3846" width="66.42578125" style="130" customWidth="1"/>
    <col min="3847" max="3847" width="9.140625" style="130"/>
    <col min="3848" max="3848" width="15.28515625" style="130" bestFit="1" customWidth="1"/>
    <col min="3849" max="3849" width="16.7109375" style="130" bestFit="1" customWidth="1"/>
    <col min="3850" max="3852" width="9.140625" style="130"/>
    <col min="3853" max="3854" width="13.5703125" style="130" customWidth="1"/>
    <col min="3855" max="3855" width="9.140625" style="130"/>
    <col min="3856" max="3856" width="14.28515625" style="130" customWidth="1"/>
    <col min="3857" max="3857" width="10.85546875" style="130" customWidth="1"/>
    <col min="3858" max="3858" width="16.85546875" style="130" customWidth="1"/>
    <col min="3859" max="3859" width="53.85546875" style="130" customWidth="1"/>
    <col min="3860" max="4097" width="9.140625" style="130"/>
    <col min="4098" max="4098" width="66.85546875" style="130" customWidth="1"/>
    <col min="4099" max="4099" width="9.140625" style="130"/>
    <col min="4100" max="4100" width="31" style="130" bestFit="1" customWidth="1"/>
    <col min="4101" max="4101" width="30.140625" style="130" bestFit="1" customWidth="1"/>
    <col min="4102" max="4102" width="66.42578125" style="130" customWidth="1"/>
    <col min="4103" max="4103" width="9.140625" style="130"/>
    <col min="4104" max="4104" width="15.28515625" style="130" bestFit="1" customWidth="1"/>
    <col min="4105" max="4105" width="16.7109375" style="130" bestFit="1" customWidth="1"/>
    <col min="4106" max="4108" width="9.140625" style="130"/>
    <col min="4109" max="4110" width="13.5703125" style="130" customWidth="1"/>
    <col min="4111" max="4111" width="9.140625" style="130"/>
    <col min="4112" max="4112" width="14.28515625" style="130" customWidth="1"/>
    <col min="4113" max="4113" width="10.85546875" style="130" customWidth="1"/>
    <col min="4114" max="4114" width="16.85546875" style="130" customWidth="1"/>
    <col min="4115" max="4115" width="53.85546875" style="130" customWidth="1"/>
    <col min="4116" max="4353" width="9.140625" style="130"/>
    <col min="4354" max="4354" width="66.85546875" style="130" customWidth="1"/>
    <col min="4355" max="4355" width="9.140625" style="130"/>
    <col min="4356" max="4356" width="31" style="130" bestFit="1" customWidth="1"/>
    <col min="4357" max="4357" width="30.140625" style="130" bestFit="1" customWidth="1"/>
    <col min="4358" max="4358" width="66.42578125" style="130" customWidth="1"/>
    <col min="4359" max="4359" width="9.140625" style="130"/>
    <col min="4360" max="4360" width="15.28515625" style="130" bestFit="1" customWidth="1"/>
    <col min="4361" max="4361" width="16.7109375" style="130" bestFit="1" customWidth="1"/>
    <col min="4362" max="4364" width="9.140625" style="130"/>
    <col min="4365" max="4366" width="13.5703125" style="130" customWidth="1"/>
    <col min="4367" max="4367" width="9.140625" style="130"/>
    <col min="4368" max="4368" width="14.28515625" style="130" customWidth="1"/>
    <col min="4369" max="4369" width="10.85546875" style="130" customWidth="1"/>
    <col min="4370" max="4370" width="16.85546875" style="130" customWidth="1"/>
    <col min="4371" max="4371" width="53.85546875" style="130" customWidth="1"/>
    <col min="4372" max="4609" width="9.140625" style="130"/>
    <col min="4610" max="4610" width="66.85546875" style="130" customWidth="1"/>
    <col min="4611" max="4611" width="9.140625" style="130"/>
    <col min="4612" max="4612" width="31" style="130" bestFit="1" customWidth="1"/>
    <col min="4613" max="4613" width="30.140625" style="130" bestFit="1" customWidth="1"/>
    <col min="4614" max="4614" width="66.42578125" style="130" customWidth="1"/>
    <col min="4615" max="4615" width="9.140625" style="130"/>
    <col min="4616" max="4616" width="15.28515625" style="130" bestFit="1" customWidth="1"/>
    <col min="4617" max="4617" width="16.7109375" style="130" bestFit="1" customWidth="1"/>
    <col min="4618" max="4620" width="9.140625" style="130"/>
    <col min="4621" max="4622" width="13.5703125" style="130" customWidth="1"/>
    <col min="4623" max="4623" width="9.140625" style="130"/>
    <col min="4624" max="4624" width="14.28515625" style="130" customWidth="1"/>
    <col min="4625" max="4625" width="10.85546875" style="130" customWidth="1"/>
    <col min="4626" max="4626" width="16.85546875" style="130" customWidth="1"/>
    <col min="4627" max="4627" width="53.85546875" style="130" customWidth="1"/>
    <col min="4628" max="4865" width="9.140625" style="130"/>
    <col min="4866" max="4866" width="66.85546875" style="130" customWidth="1"/>
    <col min="4867" max="4867" width="9.140625" style="130"/>
    <col min="4868" max="4868" width="31" style="130" bestFit="1" customWidth="1"/>
    <col min="4869" max="4869" width="30.140625" style="130" bestFit="1" customWidth="1"/>
    <col min="4870" max="4870" width="66.42578125" style="130" customWidth="1"/>
    <col min="4871" max="4871" width="9.140625" style="130"/>
    <col min="4872" max="4872" width="15.28515625" style="130" bestFit="1" customWidth="1"/>
    <col min="4873" max="4873" width="16.7109375" style="130" bestFit="1" customWidth="1"/>
    <col min="4874" max="4876" width="9.140625" style="130"/>
    <col min="4877" max="4878" width="13.5703125" style="130" customWidth="1"/>
    <col min="4879" max="4879" width="9.140625" style="130"/>
    <col min="4880" max="4880" width="14.28515625" style="130" customWidth="1"/>
    <col min="4881" max="4881" width="10.85546875" style="130" customWidth="1"/>
    <col min="4882" max="4882" width="16.85546875" style="130" customWidth="1"/>
    <col min="4883" max="4883" width="53.85546875" style="130" customWidth="1"/>
    <col min="4884" max="5121" width="9.140625" style="130"/>
    <col min="5122" max="5122" width="66.85546875" style="130" customWidth="1"/>
    <col min="5123" max="5123" width="9.140625" style="130"/>
    <col min="5124" max="5124" width="31" style="130" bestFit="1" customWidth="1"/>
    <col min="5125" max="5125" width="30.140625" style="130" bestFit="1" customWidth="1"/>
    <col min="5126" max="5126" width="66.42578125" style="130" customWidth="1"/>
    <col min="5127" max="5127" width="9.140625" style="130"/>
    <col min="5128" max="5128" width="15.28515625" style="130" bestFit="1" customWidth="1"/>
    <col min="5129" max="5129" width="16.7109375" style="130" bestFit="1" customWidth="1"/>
    <col min="5130" max="5132" width="9.140625" style="130"/>
    <col min="5133" max="5134" width="13.5703125" style="130" customWidth="1"/>
    <col min="5135" max="5135" width="9.140625" style="130"/>
    <col min="5136" max="5136" width="14.28515625" style="130" customWidth="1"/>
    <col min="5137" max="5137" width="10.85546875" style="130" customWidth="1"/>
    <col min="5138" max="5138" width="16.85546875" style="130" customWidth="1"/>
    <col min="5139" max="5139" width="53.85546875" style="130" customWidth="1"/>
    <col min="5140" max="5377" width="9.140625" style="130"/>
    <col min="5378" max="5378" width="66.85546875" style="130" customWidth="1"/>
    <col min="5379" max="5379" width="9.140625" style="130"/>
    <col min="5380" max="5380" width="31" style="130" bestFit="1" customWidth="1"/>
    <col min="5381" max="5381" width="30.140625" style="130" bestFit="1" customWidth="1"/>
    <col min="5382" max="5382" width="66.42578125" style="130" customWidth="1"/>
    <col min="5383" max="5383" width="9.140625" style="130"/>
    <col min="5384" max="5384" width="15.28515625" style="130" bestFit="1" customWidth="1"/>
    <col min="5385" max="5385" width="16.7109375" style="130" bestFit="1" customWidth="1"/>
    <col min="5386" max="5388" width="9.140625" style="130"/>
    <col min="5389" max="5390" width="13.5703125" style="130" customWidth="1"/>
    <col min="5391" max="5391" width="9.140625" style="130"/>
    <col min="5392" max="5392" width="14.28515625" style="130" customWidth="1"/>
    <col min="5393" max="5393" width="10.85546875" style="130" customWidth="1"/>
    <col min="5394" max="5394" width="16.85546875" style="130" customWidth="1"/>
    <col min="5395" max="5395" width="53.85546875" style="130" customWidth="1"/>
    <col min="5396" max="5633" width="9.140625" style="130"/>
    <col min="5634" max="5634" width="66.85546875" style="130" customWidth="1"/>
    <col min="5635" max="5635" width="9.140625" style="130"/>
    <col min="5636" max="5636" width="31" style="130" bestFit="1" customWidth="1"/>
    <col min="5637" max="5637" width="30.140625" style="130" bestFit="1" customWidth="1"/>
    <col min="5638" max="5638" width="66.42578125" style="130" customWidth="1"/>
    <col min="5639" max="5639" width="9.140625" style="130"/>
    <col min="5640" max="5640" width="15.28515625" style="130" bestFit="1" customWidth="1"/>
    <col min="5641" max="5641" width="16.7109375" style="130" bestFit="1" customWidth="1"/>
    <col min="5642" max="5644" width="9.140625" style="130"/>
    <col min="5645" max="5646" width="13.5703125" style="130" customWidth="1"/>
    <col min="5647" max="5647" width="9.140625" style="130"/>
    <col min="5648" max="5648" width="14.28515625" style="130" customWidth="1"/>
    <col min="5649" max="5649" width="10.85546875" style="130" customWidth="1"/>
    <col min="5650" max="5650" width="16.85546875" style="130" customWidth="1"/>
    <col min="5651" max="5651" width="53.85546875" style="130" customWidth="1"/>
    <col min="5652" max="5889" width="9.140625" style="130"/>
    <col min="5890" max="5890" width="66.85546875" style="130" customWidth="1"/>
    <col min="5891" max="5891" width="9.140625" style="130"/>
    <col min="5892" max="5892" width="31" style="130" bestFit="1" customWidth="1"/>
    <col min="5893" max="5893" width="30.140625" style="130" bestFit="1" customWidth="1"/>
    <col min="5894" max="5894" width="66.42578125" style="130" customWidth="1"/>
    <col min="5895" max="5895" width="9.140625" style="130"/>
    <col min="5896" max="5896" width="15.28515625" style="130" bestFit="1" customWidth="1"/>
    <col min="5897" max="5897" width="16.7109375" style="130" bestFit="1" customWidth="1"/>
    <col min="5898" max="5900" width="9.140625" style="130"/>
    <col min="5901" max="5902" width="13.5703125" style="130" customWidth="1"/>
    <col min="5903" max="5903" width="9.140625" style="130"/>
    <col min="5904" max="5904" width="14.28515625" style="130" customWidth="1"/>
    <col min="5905" max="5905" width="10.85546875" style="130" customWidth="1"/>
    <col min="5906" max="5906" width="16.85546875" style="130" customWidth="1"/>
    <col min="5907" max="5907" width="53.85546875" style="130" customWidth="1"/>
    <col min="5908" max="6145" width="9.140625" style="130"/>
    <col min="6146" max="6146" width="66.85546875" style="130" customWidth="1"/>
    <col min="6147" max="6147" width="9.140625" style="130"/>
    <col min="6148" max="6148" width="31" style="130" bestFit="1" customWidth="1"/>
    <col min="6149" max="6149" width="30.140625" style="130" bestFit="1" customWidth="1"/>
    <col min="6150" max="6150" width="66.42578125" style="130" customWidth="1"/>
    <col min="6151" max="6151" width="9.140625" style="130"/>
    <col min="6152" max="6152" width="15.28515625" style="130" bestFit="1" customWidth="1"/>
    <col min="6153" max="6153" width="16.7109375" style="130" bestFit="1" customWidth="1"/>
    <col min="6154" max="6156" width="9.140625" style="130"/>
    <col min="6157" max="6158" width="13.5703125" style="130" customWidth="1"/>
    <col min="6159" max="6159" width="9.140625" style="130"/>
    <col min="6160" max="6160" width="14.28515625" style="130" customWidth="1"/>
    <col min="6161" max="6161" width="10.85546875" style="130" customWidth="1"/>
    <col min="6162" max="6162" width="16.85546875" style="130" customWidth="1"/>
    <col min="6163" max="6163" width="53.85546875" style="130" customWidth="1"/>
    <col min="6164" max="6401" width="9.140625" style="130"/>
    <col min="6402" max="6402" width="66.85546875" style="130" customWidth="1"/>
    <col min="6403" max="6403" width="9.140625" style="130"/>
    <col min="6404" max="6404" width="31" style="130" bestFit="1" customWidth="1"/>
    <col min="6405" max="6405" width="30.140625" style="130" bestFit="1" customWidth="1"/>
    <col min="6406" max="6406" width="66.42578125" style="130" customWidth="1"/>
    <col min="6407" max="6407" width="9.140625" style="130"/>
    <col min="6408" max="6408" width="15.28515625" style="130" bestFit="1" customWidth="1"/>
    <col min="6409" max="6409" width="16.7109375" style="130" bestFit="1" customWidth="1"/>
    <col min="6410" max="6412" width="9.140625" style="130"/>
    <col min="6413" max="6414" width="13.5703125" style="130" customWidth="1"/>
    <col min="6415" max="6415" width="9.140625" style="130"/>
    <col min="6416" max="6416" width="14.28515625" style="130" customWidth="1"/>
    <col min="6417" max="6417" width="10.85546875" style="130" customWidth="1"/>
    <col min="6418" max="6418" width="16.85546875" style="130" customWidth="1"/>
    <col min="6419" max="6419" width="53.85546875" style="130" customWidth="1"/>
    <col min="6420" max="6657" width="9.140625" style="130"/>
    <col min="6658" max="6658" width="66.85546875" style="130" customWidth="1"/>
    <col min="6659" max="6659" width="9.140625" style="130"/>
    <col min="6660" max="6660" width="31" style="130" bestFit="1" customWidth="1"/>
    <col min="6661" max="6661" width="30.140625" style="130" bestFit="1" customWidth="1"/>
    <col min="6662" max="6662" width="66.42578125" style="130" customWidth="1"/>
    <col min="6663" max="6663" width="9.140625" style="130"/>
    <col min="6664" max="6664" width="15.28515625" style="130" bestFit="1" customWidth="1"/>
    <col min="6665" max="6665" width="16.7109375" style="130" bestFit="1" customWidth="1"/>
    <col min="6666" max="6668" width="9.140625" style="130"/>
    <col min="6669" max="6670" width="13.5703125" style="130" customWidth="1"/>
    <col min="6671" max="6671" width="9.140625" style="130"/>
    <col min="6672" max="6672" width="14.28515625" style="130" customWidth="1"/>
    <col min="6673" max="6673" width="10.85546875" style="130" customWidth="1"/>
    <col min="6674" max="6674" width="16.85546875" style="130" customWidth="1"/>
    <col min="6675" max="6675" width="53.85546875" style="130" customWidth="1"/>
    <col min="6676" max="6913" width="9.140625" style="130"/>
    <col min="6914" max="6914" width="66.85546875" style="130" customWidth="1"/>
    <col min="6915" max="6915" width="9.140625" style="130"/>
    <col min="6916" max="6916" width="31" style="130" bestFit="1" customWidth="1"/>
    <col min="6917" max="6917" width="30.140625" style="130" bestFit="1" customWidth="1"/>
    <col min="6918" max="6918" width="66.42578125" style="130" customWidth="1"/>
    <col min="6919" max="6919" width="9.140625" style="130"/>
    <col min="6920" max="6920" width="15.28515625" style="130" bestFit="1" customWidth="1"/>
    <col min="6921" max="6921" width="16.7109375" style="130" bestFit="1" customWidth="1"/>
    <col min="6922" max="6924" width="9.140625" style="130"/>
    <col min="6925" max="6926" width="13.5703125" style="130" customWidth="1"/>
    <col min="6927" max="6927" width="9.140625" style="130"/>
    <col min="6928" max="6928" width="14.28515625" style="130" customWidth="1"/>
    <col min="6929" max="6929" width="10.85546875" style="130" customWidth="1"/>
    <col min="6930" max="6930" width="16.85546875" style="130" customWidth="1"/>
    <col min="6931" max="6931" width="53.85546875" style="130" customWidth="1"/>
    <col min="6932" max="7169" width="9.140625" style="130"/>
    <col min="7170" max="7170" width="66.85546875" style="130" customWidth="1"/>
    <col min="7171" max="7171" width="9.140625" style="130"/>
    <col min="7172" max="7172" width="31" style="130" bestFit="1" customWidth="1"/>
    <col min="7173" max="7173" width="30.140625" style="130" bestFit="1" customWidth="1"/>
    <col min="7174" max="7174" width="66.42578125" style="130" customWidth="1"/>
    <col min="7175" max="7175" width="9.140625" style="130"/>
    <col min="7176" max="7176" width="15.28515625" style="130" bestFit="1" customWidth="1"/>
    <col min="7177" max="7177" width="16.7109375" style="130" bestFit="1" customWidth="1"/>
    <col min="7178" max="7180" width="9.140625" style="130"/>
    <col min="7181" max="7182" width="13.5703125" style="130" customWidth="1"/>
    <col min="7183" max="7183" width="9.140625" style="130"/>
    <col min="7184" max="7184" width="14.28515625" style="130" customWidth="1"/>
    <col min="7185" max="7185" width="10.85546875" style="130" customWidth="1"/>
    <col min="7186" max="7186" width="16.85546875" style="130" customWidth="1"/>
    <col min="7187" max="7187" width="53.85546875" style="130" customWidth="1"/>
    <col min="7188" max="7425" width="9.140625" style="130"/>
    <col min="7426" max="7426" width="66.85546875" style="130" customWidth="1"/>
    <col min="7427" max="7427" width="9.140625" style="130"/>
    <col min="7428" max="7428" width="31" style="130" bestFit="1" customWidth="1"/>
    <col min="7429" max="7429" width="30.140625" style="130" bestFit="1" customWidth="1"/>
    <col min="7430" max="7430" width="66.42578125" style="130" customWidth="1"/>
    <col min="7431" max="7431" width="9.140625" style="130"/>
    <col min="7432" max="7432" width="15.28515625" style="130" bestFit="1" customWidth="1"/>
    <col min="7433" max="7433" width="16.7109375" style="130" bestFit="1" customWidth="1"/>
    <col min="7434" max="7436" width="9.140625" style="130"/>
    <col min="7437" max="7438" width="13.5703125" style="130" customWidth="1"/>
    <col min="7439" max="7439" width="9.140625" style="130"/>
    <col min="7440" max="7440" width="14.28515625" style="130" customWidth="1"/>
    <col min="7441" max="7441" width="10.85546875" style="130" customWidth="1"/>
    <col min="7442" max="7442" width="16.85546875" style="130" customWidth="1"/>
    <col min="7443" max="7443" width="53.85546875" style="130" customWidth="1"/>
    <col min="7444" max="7681" width="9.140625" style="130"/>
    <col min="7682" max="7682" width="66.85546875" style="130" customWidth="1"/>
    <col min="7683" max="7683" width="9.140625" style="130"/>
    <col min="7684" max="7684" width="31" style="130" bestFit="1" customWidth="1"/>
    <col min="7685" max="7685" width="30.140625" style="130" bestFit="1" customWidth="1"/>
    <col min="7686" max="7686" width="66.42578125" style="130" customWidth="1"/>
    <col min="7687" max="7687" width="9.140625" style="130"/>
    <col min="7688" max="7688" width="15.28515625" style="130" bestFit="1" customWidth="1"/>
    <col min="7689" max="7689" width="16.7109375" style="130" bestFit="1" customWidth="1"/>
    <col min="7690" max="7692" width="9.140625" style="130"/>
    <col min="7693" max="7694" width="13.5703125" style="130" customWidth="1"/>
    <col min="7695" max="7695" width="9.140625" style="130"/>
    <col min="7696" max="7696" width="14.28515625" style="130" customWidth="1"/>
    <col min="7697" max="7697" width="10.85546875" style="130" customWidth="1"/>
    <col min="7698" max="7698" width="16.85546875" style="130" customWidth="1"/>
    <col min="7699" max="7699" width="53.85546875" style="130" customWidth="1"/>
    <col min="7700" max="7937" width="9.140625" style="130"/>
    <col min="7938" max="7938" width="66.85546875" style="130" customWidth="1"/>
    <col min="7939" max="7939" width="9.140625" style="130"/>
    <col min="7940" max="7940" width="31" style="130" bestFit="1" customWidth="1"/>
    <col min="7941" max="7941" width="30.140625" style="130" bestFit="1" customWidth="1"/>
    <col min="7942" max="7942" width="66.42578125" style="130" customWidth="1"/>
    <col min="7943" max="7943" width="9.140625" style="130"/>
    <col min="7944" max="7944" width="15.28515625" style="130" bestFit="1" customWidth="1"/>
    <col min="7945" max="7945" width="16.7109375" style="130" bestFit="1" customWidth="1"/>
    <col min="7946" max="7948" width="9.140625" style="130"/>
    <col min="7949" max="7950" width="13.5703125" style="130" customWidth="1"/>
    <col min="7951" max="7951" width="9.140625" style="130"/>
    <col min="7952" max="7952" width="14.28515625" style="130" customWidth="1"/>
    <col min="7953" max="7953" width="10.85546875" style="130" customWidth="1"/>
    <col min="7954" max="7954" width="16.85546875" style="130" customWidth="1"/>
    <col min="7955" max="7955" width="53.85546875" style="130" customWidth="1"/>
    <col min="7956" max="8193" width="9.140625" style="130"/>
    <col min="8194" max="8194" width="66.85546875" style="130" customWidth="1"/>
    <col min="8195" max="8195" width="9.140625" style="130"/>
    <col min="8196" max="8196" width="31" style="130" bestFit="1" customWidth="1"/>
    <col min="8197" max="8197" width="30.140625" style="130" bestFit="1" customWidth="1"/>
    <col min="8198" max="8198" width="66.42578125" style="130" customWidth="1"/>
    <col min="8199" max="8199" width="9.140625" style="130"/>
    <col min="8200" max="8200" width="15.28515625" style="130" bestFit="1" customWidth="1"/>
    <col min="8201" max="8201" width="16.7109375" style="130" bestFit="1" customWidth="1"/>
    <col min="8202" max="8204" width="9.140625" style="130"/>
    <col min="8205" max="8206" width="13.5703125" style="130" customWidth="1"/>
    <col min="8207" max="8207" width="9.140625" style="130"/>
    <col min="8208" max="8208" width="14.28515625" style="130" customWidth="1"/>
    <col min="8209" max="8209" width="10.85546875" style="130" customWidth="1"/>
    <col min="8210" max="8210" width="16.85546875" style="130" customWidth="1"/>
    <col min="8211" max="8211" width="53.85546875" style="130" customWidth="1"/>
    <col min="8212" max="8449" width="9.140625" style="130"/>
    <col min="8450" max="8450" width="66.85546875" style="130" customWidth="1"/>
    <col min="8451" max="8451" width="9.140625" style="130"/>
    <col min="8452" max="8452" width="31" style="130" bestFit="1" customWidth="1"/>
    <col min="8453" max="8453" width="30.140625" style="130" bestFit="1" customWidth="1"/>
    <col min="8454" max="8454" width="66.42578125" style="130" customWidth="1"/>
    <col min="8455" max="8455" width="9.140625" style="130"/>
    <col min="8456" max="8456" width="15.28515625" style="130" bestFit="1" customWidth="1"/>
    <col min="8457" max="8457" width="16.7109375" style="130" bestFit="1" customWidth="1"/>
    <col min="8458" max="8460" width="9.140625" style="130"/>
    <col min="8461" max="8462" width="13.5703125" style="130" customWidth="1"/>
    <col min="8463" max="8463" width="9.140625" style="130"/>
    <col min="8464" max="8464" width="14.28515625" style="130" customWidth="1"/>
    <col min="8465" max="8465" width="10.85546875" style="130" customWidth="1"/>
    <col min="8466" max="8466" width="16.85546875" style="130" customWidth="1"/>
    <col min="8467" max="8467" width="53.85546875" style="130" customWidth="1"/>
    <col min="8468" max="8705" width="9.140625" style="130"/>
    <col min="8706" max="8706" width="66.85546875" style="130" customWidth="1"/>
    <col min="8707" max="8707" width="9.140625" style="130"/>
    <col min="8708" max="8708" width="31" style="130" bestFit="1" customWidth="1"/>
    <col min="8709" max="8709" width="30.140625" style="130" bestFit="1" customWidth="1"/>
    <col min="8710" max="8710" width="66.42578125" style="130" customWidth="1"/>
    <col min="8711" max="8711" width="9.140625" style="130"/>
    <col min="8712" max="8712" width="15.28515625" style="130" bestFit="1" customWidth="1"/>
    <col min="8713" max="8713" width="16.7109375" style="130" bestFit="1" customWidth="1"/>
    <col min="8714" max="8716" width="9.140625" style="130"/>
    <col min="8717" max="8718" width="13.5703125" style="130" customWidth="1"/>
    <col min="8719" max="8719" width="9.140625" style="130"/>
    <col min="8720" max="8720" width="14.28515625" style="130" customWidth="1"/>
    <col min="8721" max="8721" width="10.85546875" style="130" customWidth="1"/>
    <col min="8722" max="8722" width="16.85546875" style="130" customWidth="1"/>
    <col min="8723" max="8723" width="53.85546875" style="130" customWidth="1"/>
    <col min="8724" max="8961" width="9.140625" style="130"/>
    <col min="8962" max="8962" width="66.85546875" style="130" customWidth="1"/>
    <col min="8963" max="8963" width="9.140625" style="130"/>
    <col min="8964" max="8964" width="31" style="130" bestFit="1" customWidth="1"/>
    <col min="8965" max="8965" width="30.140625" style="130" bestFit="1" customWidth="1"/>
    <col min="8966" max="8966" width="66.42578125" style="130" customWidth="1"/>
    <col min="8967" max="8967" width="9.140625" style="130"/>
    <col min="8968" max="8968" width="15.28515625" style="130" bestFit="1" customWidth="1"/>
    <col min="8969" max="8969" width="16.7109375" style="130" bestFit="1" customWidth="1"/>
    <col min="8970" max="8972" width="9.140625" style="130"/>
    <col min="8973" max="8974" width="13.5703125" style="130" customWidth="1"/>
    <col min="8975" max="8975" width="9.140625" style="130"/>
    <col min="8976" max="8976" width="14.28515625" style="130" customWidth="1"/>
    <col min="8977" max="8977" width="10.85546875" style="130" customWidth="1"/>
    <col min="8978" max="8978" width="16.85546875" style="130" customWidth="1"/>
    <col min="8979" max="8979" width="53.85546875" style="130" customWidth="1"/>
    <col min="8980" max="9217" width="9.140625" style="130"/>
    <col min="9218" max="9218" width="66.85546875" style="130" customWidth="1"/>
    <col min="9219" max="9219" width="9.140625" style="130"/>
    <col min="9220" max="9220" width="31" style="130" bestFit="1" customWidth="1"/>
    <col min="9221" max="9221" width="30.140625" style="130" bestFit="1" customWidth="1"/>
    <col min="9222" max="9222" width="66.42578125" style="130" customWidth="1"/>
    <col min="9223" max="9223" width="9.140625" style="130"/>
    <col min="9224" max="9224" width="15.28515625" style="130" bestFit="1" customWidth="1"/>
    <col min="9225" max="9225" width="16.7109375" style="130" bestFit="1" customWidth="1"/>
    <col min="9226" max="9228" width="9.140625" style="130"/>
    <col min="9229" max="9230" width="13.5703125" style="130" customWidth="1"/>
    <col min="9231" max="9231" width="9.140625" style="130"/>
    <col min="9232" max="9232" width="14.28515625" style="130" customWidth="1"/>
    <col min="9233" max="9233" width="10.85546875" style="130" customWidth="1"/>
    <col min="9234" max="9234" width="16.85546875" style="130" customWidth="1"/>
    <col min="9235" max="9235" width="53.85546875" style="130" customWidth="1"/>
    <col min="9236" max="9473" width="9.140625" style="130"/>
    <col min="9474" max="9474" width="66.85546875" style="130" customWidth="1"/>
    <col min="9475" max="9475" width="9.140625" style="130"/>
    <col min="9476" max="9476" width="31" style="130" bestFit="1" customWidth="1"/>
    <col min="9477" max="9477" width="30.140625" style="130" bestFit="1" customWidth="1"/>
    <col min="9478" max="9478" width="66.42578125" style="130" customWidth="1"/>
    <col min="9479" max="9479" width="9.140625" style="130"/>
    <col min="9480" max="9480" width="15.28515625" style="130" bestFit="1" customWidth="1"/>
    <col min="9481" max="9481" width="16.7109375" style="130" bestFit="1" customWidth="1"/>
    <col min="9482" max="9484" width="9.140625" style="130"/>
    <col min="9485" max="9486" width="13.5703125" style="130" customWidth="1"/>
    <col min="9487" max="9487" width="9.140625" style="130"/>
    <col min="9488" max="9488" width="14.28515625" style="130" customWidth="1"/>
    <col min="9489" max="9489" width="10.85546875" style="130" customWidth="1"/>
    <col min="9490" max="9490" width="16.85546875" style="130" customWidth="1"/>
    <col min="9491" max="9491" width="53.85546875" style="130" customWidth="1"/>
    <col min="9492" max="9729" width="9.140625" style="130"/>
    <col min="9730" max="9730" width="66.85546875" style="130" customWidth="1"/>
    <col min="9731" max="9731" width="9.140625" style="130"/>
    <col min="9732" max="9732" width="31" style="130" bestFit="1" customWidth="1"/>
    <col min="9733" max="9733" width="30.140625" style="130" bestFit="1" customWidth="1"/>
    <col min="9734" max="9734" width="66.42578125" style="130" customWidth="1"/>
    <col min="9735" max="9735" width="9.140625" style="130"/>
    <col min="9736" max="9736" width="15.28515625" style="130" bestFit="1" customWidth="1"/>
    <col min="9737" max="9737" width="16.7109375" style="130" bestFit="1" customWidth="1"/>
    <col min="9738" max="9740" width="9.140625" style="130"/>
    <col min="9741" max="9742" width="13.5703125" style="130" customWidth="1"/>
    <col min="9743" max="9743" width="9.140625" style="130"/>
    <col min="9744" max="9744" width="14.28515625" style="130" customWidth="1"/>
    <col min="9745" max="9745" width="10.85546875" style="130" customWidth="1"/>
    <col min="9746" max="9746" width="16.85546875" style="130" customWidth="1"/>
    <col min="9747" max="9747" width="53.85546875" style="130" customWidth="1"/>
    <col min="9748" max="9985" width="9.140625" style="130"/>
    <col min="9986" max="9986" width="66.85546875" style="130" customWidth="1"/>
    <col min="9987" max="9987" width="9.140625" style="130"/>
    <col min="9988" max="9988" width="31" style="130" bestFit="1" customWidth="1"/>
    <col min="9989" max="9989" width="30.140625" style="130" bestFit="1" customWidth="1"/>
    <col min="9990" max="9990" width="66.42578125" style="130" customWidth="1"/>
    <col min="9991" max="9991" width="9.140625" style="130"/>
    <col min="9992" max="9992" width="15.28515625" style="130" bestFit="1" customWidth="1"/>
    <col min="9993" max="9993" width="16.7109375" style="130" bestFit="1" customWidth="1"/>
    <col min="9994" max="9996" width="9.140625" style="130"/>
    <col min="9997" max="9998" width="13.5703125" style="130" customWidth="1"/>
    <col min="9999" max="9999" width="9.140625" style="130"/>
    <col min="10000" max="10000" width="14.28515625" style="130" customWidth="1"/>
    <col min="10001" max="10001" width="10.85546875" style="130" customWidth="1"/>
    <col min="10002" max="10002" width="16.85546875" style="130" customWidth="1"/>
    <col min="10003" max="10003" width="53.85546875" style="130" customWidth="1"/>
    <col min="10004" max="10241" width="9.140625" style="130"/>
    <col min="10242" max="10242" width="66.85546875" style="130" customWidth="1"/>
    <col min="10243" max="10243" width="9.140625" style="130"/>
    <col min="10244" max="10244" width="31" style="130" bestFit="1" customWidth="1"/>
    <col min="10245" max="10245" width="30.140625" style="130" bestFit="1" customWidth="1"/>
    <col min="10246" max="10246" width="66.42578125" style="130" customWidth="1"/>
    <col min="10247" max="10247" width="9.140625" style="130"/>
    <col min="10248" max="10248" width="15.28515625" style="130" bestFit="1" customWidth="1"/>
    <col min="10249" max="10249" width="16.7109375" style="130" bestFit="1" customWidth="1"/>
    <col min="10250" max="10252" width="9.140625" style="130"/>
    <col min="10253" max="10254" width="13.5703125" style="130" customWidth="1"/>
    <col min="10255" max="10255" width="9.140625" style="130"/>
    <col min="10256" max="10256" width="14.28515625" style="130" customWidth="1"/>
    <col min="10257" max="10257" width="10.85546875" style="130" customWidth="1"/>
    <col min="10258" max="10258" width="16.85546875" style="130" customWidth="1"/>
    <col min="10259" max="10259" width="53.85546875" style="130" customWidth="1"/>
    <col min="10260" max="10497" width="9.140625" style="130"/>
    <col min="10498" max="10498" width="66.85546875" style="130" customWidth="1"/>
    <col min="10499" max="10499" width="9.140625" style="130"/>
    <col min="10500" max="10500" width="31" style="130" bestFit="1" customWidth="1"/>
    <col min="10501" max="10501" width="30.140625" style="130" bestFit="1" customWidth="1"/>
    <col min="10502" max="10502" width="66.42578125" style="130" customWidth="1"/>
    <col min="10503" max="10503" width="9.140625" style="130"/>
    <col min="10504" max="10504" width="15.28515625" style="130" bestFit="1" customWidth="1"/>
    <col min="10505" max="10505" width="16.7109375" style="130" bestFit="1" customWidth="1"/>
    <col min="10506" max="10508" width="9.140625" style="130"/>
    <col min="10509" max="10510" width="13.5703125" style="130" customWidth="1"/>
    <col min="10511" max="10511" width="9.140625" style="130"/>
    <col min="10512" max="10512" width="14.28515625" style="130" customWidth="1"/>
    <col min="10513" max="10513" width="10.85546875" style="130" customWidth="1"/>
    <col min="10514" max="10514" width="16.85546875" style="130" customWidth="1"/>
    <col min="10515" max="10515" width="53.85546875" style="130" customWidth="1"/>
    <col min="10516" max="10753" width="9.140625" style="130"/>
    <col min="10754" max="10754" width="66.85546875" style="130" customWidth="1"/>
    <col min="10755" max="10755" width="9.140625" style="130"/>
    <col min="10756" max="10756" width="31" style="130" bestFit="1" customWidth="1"/>
    <col min="10757" max="10757" width="30.140625" style="130" bestFit="1" customWidth="1"/>
    <col min="10758" max="10758" width="66.42578125" style="130" customWidth="1"/>
    <col min="10759" max="10759" width="9.140625" style="130"/>
    <col min="10760" max="10760" width="15.28515625" style="130" bestFit="1" customWidth="1"/>
    <col min="10761" max="10761" width="16.7109375" style="130" bestFit="1" customWidth="1"/>
    <col min="10762" max="10764" width="9.140625" style="130"/>
    <col min="10765" max="10766" width="13.5703125" style="130" customWidth="1"/>
    <col min="10767" max="10767" width="9.140625" style="130"/>
    <col min="10768" max="10768" width="14.28515625" style="130" customWidth="1"/>
    <col min="10769" max="10769" width="10.85546875" style="130" customWidth="1"/>
    <col min="10770" max="10770" width="16.85546875" style="130" customWidth="1"/>
    <col min="10771" max="10771" width="53.85546875" style="130" customWidth="1"/>
    <col min="10772" max="11009" width="9.140625" style="130"/>
    <col min="11010" max="11010" width="66.85546875" style="130" customWidth="1"/>
    <col min="11011" max="11011" width="9.140625" style="130"/>
    <col min="11012" max="11012" width="31" style="130" bestFit="1" customWidth="1"/>
    <col min="11013" max="11013" width="30.140625" style="130" bestFit="1" customWidth="1"/>
    <col min="11014" max="11014" width="66.42578125" style="130" customWidth="1"/>
    <col min="11015" max="11015" width="9.140625" style="130"/>
    <col min="11016" max="11016" width="15.28515625" style="130" bestFit="1" customWidth="1"/>
    <col min="11017" max="11017" width="16.7109375" style="130" bestFit="1" customWidth="1"/>
    <col min="11018" max="11020" width="9.140625" style="130"/>
    <col min="11021" max="11022" width="13.5703125" style="130" customWidth="1"/>
    <col min="11023" max="11023" width="9.140625" style="130"/>
    <col min="11024" max="11024" width="14.28515625" style="130" customWidth="1"/>
    <col min="11025" max="11025" width="10.85546875" style="130" customWidth="1"/>
    <col min="11026" max="11026" width="16.85546875" style="130" customWidth="1"/>
    <col min="11027" max="11027" width="53.85546875" style="130" customWidth="1"/>
    <col min="11028" max="11265" width="9.140625" style="130"/>
    <col min="11266" max="11266" width="66.85546875" style="130" customWidth="1"/>
    <col min="11267" max="11267" width="9.140625" style="130"/>
    <col min="11268" max="11268" width="31" style="130" bestFit="1" customWidth="1"/>
    <col min="11269" max="11269" width="30.140625" style="130" bestFit="1" customWidth="1"/>
    <col min="11270" max="11270" width="66.42578125" style="130" customWidth="1"/>
    <col min="11271" max="11271" width="9.140625" style="130"/>
    <col min="11272" max="11272" width="15.28515625" style="130" bestFit="1" customWidth="1"/>
    <col min="11273" max="11273" width="16.7109375" style="130" bestFit="1" customWidth="1"/>
    <col min="11274" max="11276" width="9.140625" style="130"/>
    <col min="11277" max="11278" width="13.5703125" style="130" customWidth="1"/>
    <col min="11279" max="11279" width="9.140625" style="130"/>
    <col min="11280" max="11280" width="14.28515625" style="130" customWidth="1"/>
    <col min="11281" max="11281" width="10.85546875" style="130" customWidth="1"/>
    <col min="11282" max="11282" width="16.85546875" style="130" customWidth="1"/>
    <col min="11283" max="11283" width="53.85546875" style="130" customWidth="1"/>
    <col min="11284" max="11521" width="9.140625" style="130"/>
    <col min="11522" max="11522" width="66.85546875" style="130" customWidth="1"/>
    <col min="11523" max="11523" width="9.140625" style="130"/>
    <col min="11524" max="11524" width="31" style="130" bestFit="1" customWidth="1"/>
    <col min="11525" max="11525" width="30.140625" style="130" bestFit="1" customWidth="1"/>
    <col min="11526" max="11526" width="66.42578125" style="130" customWidth="1"/>
    <col min="11527" max="11527" width="9.140625" style="130"/>
    <col min="11528" max="11528" width="15.28515625" style="130" bestFit="1" customWidth="1"/>
    <col min="11529" max="11529" width="16.7109375" style="130" bestFit="1" customWidth="1"/>
    <col min="11530" max="11532" width="9.140625" style="130"/>
    <col min="11533" max="11534" width="13.5703125" style="130" customWidth="1"/>
    <col min="11535" max="11535" width="9.140625" style="130"/>
    <col min="11536" max="11536" width="14.28515625" style="130" customWidth="1"/>
    <col min="11537" max="11537" width="10.85546875" style="130" customWidth="1"/>
    <col min="11538" max="11538" width="16.85546875" style="130" customWidth="1"/>
    <col min="11539" max="11539" width="53.85546875" style="130" customWidth="1"/>
    <col min="11540" max="11777" width="9.140625" style="130"/>
    <col min="11778" max="11778" width="66.85546875" style="130" customWidth="1"/>
    <col min="11779" max="11779" width="9.140625" style="130"/>
    <col min="11780" max="11780" width="31" style="130" bestFit="1" customWidth="1"/>
    <col min="11781" max="11781" width="30.140625" style="130" bestFit="1" customWidth="1"/>
    <col min="11782" max="11782" width="66.42578125" style="130" customWidth="1"/>
    <col min="11783" max="11783" width="9.140625" style="130"/>
    <col min="11784" max="11784" width="15.28515625" style="130" bestFit="1" customWidth="1"/>
    <col min="11785" max="11785" width="16.7109375" style="130" bestFit="1" customWidth="1"/>
    <col min="11786" max="11788" width="9.140625" style="130"/>
    <col min="11789" max="11790" width="13.5703125" style="130" customWidth="1"/>
    <col min="11791" max="11791" width="9.140625" style="130"/>
    <col min="11792" max="11792" width="14.28515625" style="130" customWidth="1"/>
    <col min="11793" max="11793" width="10.85546875" style="130" customWidth="1"/>
    <col min="11794" max="11794" width="16.85546875" style="130" customWidth="1"/>
    <col min="11795" max="11795" width="53.85546875" style="130" customWidth="1"/>
    <col min="11796" max="12033" width="9.140625" style="130"/>
    <col min="12034" max="12034" width="66.85546875" style="130" customWidth="1"/>
    <col min="12035" max="12035" width="9.140625" style="130"/>
    <col min="12036" max="12036" width="31" style="130" bestFit="1" customWidth="1"/>
    <col min="12037" max="12037" width="30.140625" style="130" bestFit="1" customWidth="1"/>
    <col min="12038" max="12038" width="66.42578125" style="130" customWidth="1"/>
    <col min="12039" max="12039" width="9.140625" style="130"/>
    <col min="12040" max="12040" width="15.28515625" style="130" bestFit="1" customWidth="1"/>
    <col min="12041" max="12041" width="16.7109375" style="130" bestFit="1" customWidth="1"/>
    <col min="12042" max="12044" width="9.140625" style="130"/>
    <col min="12045" max="12046" width="13.5703125" style="130" customWidth="1"/>
    <col min="12047" max="12047" width="9.140625" style="130"/>
    <col min="12048" max="12048" width="14.28515625" style="130" customWidth="1"/>
    <col min="12049" max="12049" width="10.85546875" style="130" customWidth="1"/>
    <col min="12050" max="12050" width="16.85546875" style="130" customWidth="1"/>
    <col min="12051" max="12051" width="53.85546875" style="130" customWidth="1"/>
    <col min="12052" max="12289" width="9.140625" style="130"/>
    <col min="12290" max="12290" width="66.85546875" style="130" customWidth="1"/>
    <col min="12291" max="12291" width="9.140625" style="130"/>
    <col min="12292" max="12292" width="31" style="130" bestFit="1" customWidth="1"/>
    <col min="12293" max="12293" width="30.140625" style="130" bestFit="1" customWidth="1"/>
    <col min="12294" max="12294" width="66.42578125" style="130" customWidth="1"/>
    <col min="12295" max="12295" width="9.140625" style="130"/>
    <col min="12296" max="12296" width="15.28515625" style="130" bestFit="1" customWidth="1"/>
    <col min="12297" max="12297" width="16.7109375" style="130" bestFit="1" customWidth="1"/>
    <col min="12298" max="12300" width="9.140625" style="130"/>
    <col min="12301" max="12302" width="13.5703125" style="130" customWidth="1"/>
    <col min="12303" max="12303" width="9.140625" style="130"/>
    <col min="12304" max="12304" width="14.28515625" style="130" customWidth="1"/>
    <col min="12305" max="12305" width="10.85546875" style="130" customWidth="1"/>
    <col min="12306" max="12306" width="16.85546875" style="130" customWidth="1"/>
    <col min="12307" max="12307" width="53.85546875" style="130" customWidth="1"/>
    <col min="12308" max="12545" width="9.140625" style="130"/>
    <col min="12546" max="12546" width="66.85546875" style="130" customWidth="1"/>
    <col min="12547" max="12547" width="9.140625" style="130"/>
    <col min="12548" max="12548" width="31" style="130" bestFit="1" customWidth="1"/>
    <col min="12549" max="12549" width="30.140625" style="130" bestFit="1" customWidth="1"/>
    <col min="12550" max="12550" width="66.42578125" style="130" customWidth="1"/>
    <col min="12551" max="12551" width="9.140625" style="130"/>
    <col min="12552" max="12552" width="15.28515625" style="130" bestFit="1" customWidth="1"/>
    <col min="12553" max="12553" width="16.7109375" style="130" bestFit="1" customWidth="1"/>
    <col min="12554" max="12556" width="9.140625" style="130"/>
    <col min="12557" max="12558" width="13.5703125" style="130" customWidth="1"/>
    <col min="12559" max="12559" width="9.140625" style="130"/>
    <col min="12560" max="12560" width="14.28515625" style="130" customWidth="1"/>
    <col min="12561" max="12561" width="10.85546875" style="130" customWidth="1"/>
    <col min="12562" max="12562" width="16.85546875" style="130" customWidth="1"/>
    <col min="12563" max="12563" width="53.85546875" style="130" customWidth="1"/>
    <col min="12564" max="12801" width="9.140625" style="130"/>
    <col min="12802" max="12802" width="66.85546875" style="130" customWidth="1"/>
    <col min="12803" max="12803" width="9.140625" style="130"/>
    <col min="12804" max="12804" width="31" style="130" bestFit="1" customWidth="1"/>
    <col min="12805" max="12805" width="30.140625" style="130" bestFit="1" customWidth="1"/>
    <col min="12806" max="12806" width="66.42578125" style="130" customWidth="1"/>
    <col min="12807" max="12807" width="9.140625" style="130"/>
    <col min="12808" max="12808" width="15.28515625" style="130" bestFit="1" customWidth="1"/>
    <col min="12809" max="12809" width="16.7109375" style="130" bestFit="1" customWidth="1"/>
    <col min="12810" max="12812" width="9.140625" style="130"/>
    <col min="12813" max="12814" width="13.5703125" style="130" customWidth="1"/>
    <col min="12815" max="12815" width="9.140625" style="130"/>
    <col min="12816" max="12816" width="14.28515625" style="130" customWidth="1"/>
    <col min="12817" max="12817" width="10.85546875" style="130" customWidth="1"/>
    <col min="12818" max="12818" width="16.85546875" style="130" customWidth="1"/>
    <col min="12819" max="12819" width="53.85546875" style="130" customWidth="1"/>
    <col min="12820" max="13057" width="9.140625" style="130"/>
    <col min="13058" max="13058" width="66.85546875" style="130" customWidth="1"/>
    <col min="13059" max="13059" width="9.140625" style="130"/>
    <col min="13060" max="13060" width="31" style="130" bestFit="1" customWidth="1"/>
    <col min="13061" max="13061" width="30.140625" style="130" bestFit="1" customWidth="1"/>
    <col min="13062" max="13062" width="66.42578125" style="130" customWidth="1"/>
    <col min="13063" max="13063" width="9.140625" style="130"/>
    <col min="13064" max="13064" width="15.28515625" style="130" bestFit="1" customWidth="1"/>
    <col min="13065" max="13065" width="16.7109375" style="130" bestFit="1" customWidth="1"/>
    <col min="13066" max="13068" width="9.140625" style="130"/>
    <col min="13069" max="13070" width="13.5703125" style="130" customWidth="1"/>
    <col min="13071" max="13071" width="9.140625" style="130"/>
    <col min="13072" max="13072" width="14.28515625" style="130" customWidth="1"/>
    <col min="13073" max="13073" width="10.85546875" style="130" customWidth="1"/>
    <col min="13074" max="13074" width="16.85546875" style="130" customWidth="1"/>
    <col min="13075" max="13075" width="53.85546875" style="130" customWidth="1"/>
    <col min="13076" max="13313" width="9.140625" style="130"/>
    <col min="13314" max="13314" width="66.85546875" style="130" customWidth="1"/>
    <col min="13315" max="13315" width="9.140625" style="130"/>
    <col min="13316" max="13316" width="31" style="130" bestFit="1" customWidth="1"/>
    <col min="13317" max="13317" width="30.140625" style="130" bestFit="1" customWidth="1"/>
    <col min="13318" max="13318" width="66.42578125" style="130" customWidth="1"/>
    <col min="13319" max="13319" width="9.140625" style="130"/>
    <col min="13320" max="13320" width="15.28515625" style="130" bestFit="1" customWidth="1"/>
    <col min="13321" max="13321" width="16.7109375" style="130" bestFit="1" customWidth="1"/>
    <col min="13322" max="13324" width="9.140625" style="130"/>
    <col min="13325" max="13326" width="13.5703125" style="130" customWidth="1"/>
    <col min="13327" max="13327" width="9.140625" style="130"/>
    <col min="13328" max="13328" width="14.28515625" style="130" customWidth="1"/>
    <col min="13329" max="13329" width="10.85546875" style="130" customWidth="1"/>
    <col min="13330" max="13330" width="16.85546875" style="130" customWidth="1"/>
    <col min="13331" max="13331" width="53.85546875" style="130" customWidth="1"/>
    <col min="13332" max="13569" width="9.140625" style="130"/>
    <col min="13570" max="13570" width="66.85546875" style="130" customWidth="1"/>
    <col min="13571" max="13571" width="9.140625" style="130"/>
    <col min="13572" max="13572" width="31" style="130" bestFit="1" customWidth="1"/>
    <col min="13573" max="13573" width="30.140625" style="130" bestFit="1" customWidth="1"/>
    <col min="13574" max="13574" width="66.42578125" style="130" customWidth="1"/>
    <col min="13575" max="13575" width="9.140625" style="130"/>
    <col min="13576" max="13576" width="15.28515625" style="130" bestFit="1" customWidth="1"/>
    <col min="13577" max="13577" width="16.7109375" style="130" bestFit="1" customWidth="1"/>
    <col min="13578" max="13580" width="9.140625" style="130"/>
    <col min="13581" max="13582" width="13.5703125" style="130" customWidth="1"/>
    <col min="13583" max="13583" width="9.140625" style="130"/>
    <col min="13584" max="13584" width="14.28515625" style="130" customWidth="1"/>
    <col min="13585" max="13585" width="10.85546875" style="130" customWidth="1"/>
    <col min="13586" max="13586" width="16.85546875" style="130" customWidth="1"/>
    <col min="13587" max="13587" width="53.85546875" style="130" customWidth="1"/>
    <col min="13588" max="13825" width="9.140625" style="130"/>
    <col min="13826" max="13826" width="66.85546875" style="130" customWidth="1"/>
    <col min="13827" max="13827" width="9.140625" style="130"/>
    <col min="13828" max="13828" width="31" style="130" bestFit="1" customWidth="1"/>
    <col min="13829" max="13829" width="30.140625" style="130" bestFit="1" customWidth="1"/>
    <col min="13830" max="13830" width="66.42578125" style="130" customWidth="1"/>
    <col min="13831" max="13831" width="9.140625" style="130"/>
    <col min="13832" max="13832" width="15.28515625" style="130" bestFit="1" customWidth="1"/>
    <col min="13833" max="13833" width="16.7109375" style="130" bestFit="1" customWidth="1"/>
    <col min="13834" max="13836" width="9.140625" style="130"/>
    <col min="13837" max="13838" width="13.5703125" style="130" customWidth="1"/>
    <col min="13839" max="13839" width="9.140625" style="130"/>
    <col min="13840" max="13840" width="14.28515625" style="130" customWidth="1"/>
    <col min="13841" max="13841" width="10.85546875" style="130" customWidth="1"/>
    <col min="13842" max="13842" width="16.85546875" style="130" customWidth="1"/>
    <col min="13843" max="13843" width="53.85546875" style="130" customWidth="1"/>
    <col min="13844" max="14081" width="9.140625" style="130"/>
    <col min="14082" max="14082" width="66.85546875" style="130" customWidth="1"/>
    <col min="14083" max="14083" width="9.140625" style="130"/>
    <col min="14084" max="14084" width="31" style="130" bestFit="1" customWidth="1"/>
    <col min="14085" max="14085" width="30.140625" style="130" bestFit="1" customWidth="1"/>
    <col min="14086" max="14086" width="66.42578125" style="130" customWidth="1"/>
    <col min="14087" max="14087" width="9.140625" style="130"/>
    <col min="14088" max="14088" width="15.28515625" style="130" bestFit="1" customWidth="1"/>
    <col min="14089" max="14089" width="16.7109375" style="130" bestFit="1" customWidth="1"/>
    <col min="14090" max="14092" width="9.140625" style="130"/>
    <col min="14093" max="14094" width="13.5703125" style="130" customWidth="1"/>
    <col min="14095" max="14095" width="9.140625" style="130"/>
    <col min="14096" max="14096" width="14.28515625" style="130" customWidth="1"/>
    <col min="14097" max="14097" width="10.85546875" style="130" customWidth="1"/>
    <col min="14098" max="14098" width="16.85546875" style="130" customWidth="1"/>
    <col min="14099" max="14099" width="53.85546875" style="130" customWidth="1"/>
    <col min="14100" max="14337" width="9.140625" style="130"/>
    <col min="14338" max="14338" width="66.85546875" style="130" customWidth="1"/>
    <col min="14339" max="14339" width="9.140625" style="130"/>
    <col min="14340" max="14340" width="31" style="130" bestFit="1" customWidth="1"/>
    <col min="14341" max="14341" width="30.140625" style="130" bestFit="1" customWidth="1"/>
    <col min="14342" max="14342" width="66.42578125" style="130" customWidth="1"/>
    <col min="14343" max="14343" width="9.140625" style="130"/>
    <col min="14344" max="14344" width="15.28515625" style="130" bestFit="1" customWidth="1"/>
    <col min="14345" max="14345" width="16.7109375" style="130" bestFit="1" customWidth="1"/>
    <col min="14346" max="14348" width="9.140625" style="130"/>
    <col min="14349" max="14350" width="13.5703125" style="130" customWidth="1"/>
    <col min="14351" max="14351" width="9.140625" style="130"/>
    <col min="14352" max="14352" width="14.28515625" style="130" customWidth="1"/>
    <col min="14353" max="14353" width="10.85546875" style="130" customWidth="1"/>
    <col min="14354" max="14354" width="16.85546875" style="130" customWidth="1"/>
    <col min="14355" max="14355" width="53.85546875" style="130" customWidth="1"/>
    <col min="14356" max="14593" width="9.140625" style="130"/>
    <col min="14594" max="14594" width="66.85546875" style="130" customWidth="1"/>
    <col min="14595" max="14595" width="9.140625" style="130"/>
    <col min="14596" max="14596" width="31" style="130" bestFit="1" customWidth="1"/>
    <col min="14597" max="14597" width="30.140625" style="130" bestFit="1" customWidth="1"/>
    <col min="14598" max="14598" width="66.42578125" style="130" customWidth="1"/>
    <col min="14599" max="14599" width="9.140625" style="130"/>
    <col min="14600" max="14600" width="15.28515625" style="130" bestFit="1" customWidth="1"/>
    <col min="14601" max="14601" width="16.7109375" style="130" bestFit="1" customWidth="1"/>
    <col min="14602" max="14604" width="9.140625" style="130"/>
    <col min="14605" max="14606" width="13.5703125" style="130" customWidth="1"/>
    <col min="14607" max="14607" width="9.140625" style="130"/>
    <col min="14608" max="14608" width="14.28515625" style="130" customWidth="1"/>
    <col min="14609" max="14609" width="10.85546875" style="130" customWidth="1"/>
    <col min="14610" max="14610" width="16.85546875" style="130" customWidth="1"/>
    <col min="14611" max="14611" width="53.85546875" style="130" customWidth="1"/>
    <col min="14612" max="14849" width="9.140625" style="130"/>
    <col min="14850" max="14850" width="66.85546875" style="130" customWidth="1"/>
    <col min="14851" max="14851" width="9.140625" style="130"/>
    <col min="14852" max="14852" width="31" style="130" bestFit="1" customWidth="1"/>
    <col min="14853" max="14853" width="30.140625" style="130" bestFit="1" customWidth="1"/>
    <col min="14854" max="14854" width="66.42578125" style="130" customWidth="1"/>
    <col min="14855" max="14855" width="9.140625" style="130"/>
    <col min="14856" max="14856" width="15.28515625" style="130" bestFit="1" customWidth="1"/>
    <col min="14857" max="14857" width="16.7109375" style="130" bestFit="1" customWidth="1"/>
    <col min="14858" max="14860" width="9.140625" style="130"/>
    <col min="14861" max="14862" width="13.5703125" style="130" customWidth="1"/>
    <col min="14863" max="14863" width="9.140625" style="130"/>
    <col min="14864" max="14864" width="14.28515625" style="130" customWidth="1"/>
    <col min="14865" max="14865" width="10.85546875" style="130" customWidth="1"/>
    <col min="14866" max="14866" width="16.85546875" style="130" customWidth="1"/>
    <col min="14867" max="14867" width="53.85546875" style="130" customWidth="1"/>
    <col min="14868" max="15105" width="9.140625" style="130"/>
    <col min="15106" max="15106" width="66.85546875" style="130" customWidth="1"/>
    <col min="15107" max="15107" width="9.140625" style="130"/>
    <col min="15108" max="15108" width="31" style="130" bestFit="1" customWidth="1"/>
    <col min="15109" max="15109" width="30.140625" style="130" bestFit="1" customWidth="1"/>
    <col min="15110" max="15110" width="66.42578125" style="130" customWidth="1"/>
    <col min="15111" max="15111" width="9.140625" style="130"/>
    <col min="15112" max="15112" width="15.28515625" style="130" bestFit="1" customWidth="1"/>
    <col min="15113" max="15113" width="16.7109375" style="130" bestFit="1" customWidth="1"/>
    <col min="15114" max="15116" width="9.140625" style="130"/>
    <col min="15117" max="15118" width="13.5703125" style="130" customWidth="1"/>
    <col min="15119" max="15119" width="9.140625" style="130"/>
    <col min="15120" max="15120" width="14.28515625" style="130" customWidth="1"/>
    <col min="15121" max="15121" width="10.85546875" style="130" customWidth="1"/>
    <col min="15122" max="15122" width="16.85546875" style="130" customWidth="1"/>
    <col min="15123" max="15123" width="53.85546875" style="130" customWidth="1"/>
    <col min="15124" max="15361" width="9.140625" style="130"/>
    <col min="15362" max="15362" width="66.85546875" style="130" customWidth="1"/>
    <col min="15363" max="15363" width="9.140625" style="130"/>
    <col min="15364" max="15364" width="31" style="130" bestFit="1" customWidth="1"/>
    <col min="15365" max="15365" width="30.140625" style="130" bestFit="1" customWidth="1"/>
    <col min="15366" max="15366" width="66.42578125" style="130" customWidth="1"/>
    <col min="15367" max="15367" width="9.140625" style="130"/>
    <col min="15368" max="15368" width="15.28515625" style="130" bestFit="1" customWidth="1"/>
    <col min="15369" max="15369" width="16.7109375" style="130" bestFit="1" customWidth="1"/>
    <col min="15370" max="15372" width="9.140625" style="130"/>
    <col min="15373" max="15374" width="13.5703125" style="130" customWidth="1"/>
    <col min="15375" max="15375" width="9.140625" style="130"/>
    <col min="15376" max="15376" width="14.28515625" style="130" customWidth="1"/>
    <col min="15377" max="15377" width="10.85546875" style="130" customWidth="1"/>
    <col min="15378" max="15378" width="16.85546875" style="130" customWidth="1"/>
    <col min="15379" max="15379" width="53.85546875" style="130" customWidth="1"/>
    <col min="15380" max="15617" width="9.140625" style="130"/>
    <col min="15618" max="15618" width="66.85546875" style="130" customWidth="1"/>
    <col min="15619" max="15619" width="9.140625" style="130"/>
    <col min="15620" max="15620" width="31" style="130" bestFit="1" customWidth="1"/>
    <col min="15621" max="15621" width="30.140625" style="130" bestFit="1" customWidth="1"/>
    <col min="15622" max="15622" width="66.42578125" style="130" customWidth="1"/>
    <col min="15623" max="15623" width="9.140625" style="130"/>
    <col min="15624" max="15624" width="15.28515625" style="130" bestFit="1" customWidth="1"/>
    <col min="15625" max="15625" width="16.7109375" style="130" bestFit="1" customWidth="1"/>
    <col min="15626" max="15628" width="9.140625" style="130"/>
    <col min="15629" max="15630" width="13.5703125" style="130" customWidth="1"/>
    <col min="15631" max="15631" width="9.140625" style="130"/>
    <col min="15632" max="15632" width="14.28515625" style="130" customWidth="1"/>
    <col min="15633" max="15633" width="10.85546875" style="130" customWidth="1"/>
    <col min="15634" max="15634" width="16.85546875" style="130" customWidth="1"/>
    <col min="15635" max="15635" width="53.85546875" style="130" customWidth="1"/>
    <col min="15636" max="15873" width="9.140625" style="130"/>
    <col min="15874" max="15874" width="66.85546875" style="130" customWidth="1"/>
    <col min="15875" max="15875" width="9.140625" style="130"/>
    <col min="15876" max="15876" width="31" style="130" bestFit="1" customWidth="1"/>
    <col min="15877" max="15877" width="30.140625" style="130" bestFit="1" customWidth="1"/>
    <col min="15878" max="15878" width="66.42578125" style="130" customWidth="1"/>
    <col min="15879" max="15879" width="9.140625" style="130"/>
    <col min="15880" max="15880" width="15.28515625" style="130" bestFit="1" customWidth="1"/>
    <col min="15881" max="15881" width="16.7109375" style="130" bestFit="1" customWidth="1"/>
    <col min="15882" max="15884" width="9.140625" style="130"/>
    <col min="15885" max="15886" width="13.5703125" style="130" customWidth="1"/>
    <col min="15887" max="15887" width="9.140625" style="130"/>
    <col min="15888" max="15888" width="14.28515625" style="130" customWidth="1"/>
    <col min="15889" max="15889" width="10.85546875" style="130" customWidth="1"/>
    <col min="15890" max="15890" width="16.85546875" style="130" customWidth="1"/>
    <col min="15891" max="15891" width="53.85546875" style="130" customWidth="1"/>
    <col min="15892" max="16129" width="9.140625" style="130"/>
    <col min="16130" max="16130" width="66.85546875" style="130" customWidth="1"/>
    <col min="16131" max="16131" width="9.140625" style="130"/>
    <col min="16132" max="16132" width="31" style="130" bestFit="1" customWidth="1"/>
    <col min="16133" max="16133" width="30.140625" style="130" bestFit="1" customWidth="1"/>
    <col min="16134" max="16134" width="66.42578125" style="130" customWidth="1"/>
    <col min="16135" max="16135" width="9.140625" style="130"/>
    <col min="16136" max="16136" width="15.28515625" style="130" bestFit="1" customWidth="1"/>
    <col min="16137" max="16137" width="16.7109375" style="130" bestFit="1" customWidth="1"/>
    <col min="16138" max="16140" width="9.140625" style="130"/>
    <col min="16141" max="16142" width="13.5703125" style="130" customWidth="1"/>
    <col min="16143" max="16143" width="9.140625" style="130"/>
    <col min="16144" max="16144" width="14.28515625" style="130" customWidth="1"/>
    <col min="16145" max="16145" width="10.85546875" style="130" customWidth="1"/>
    <col min="16146" max="16146" width="16.85546875" style="130" customWidth="1"/>
    <col min="16147" max="16147" width="53.85546875" style="130" customWidth="1"/>
    <col min="16148" max="16384" width="9.140625" style="130"/>
  </cols>
  <sheetData>
    <row r="1" spans="1:19" s="126" customFormat="1" x14ac:dyDescent="0.25">
      <c r="A1" s="126" t="s">
        <v>113</v>
      </c>
      <c r="B1" s="126" t="s">
        <v>114</v>
      </c>
      <c r="C1" s="126" t="s">
        <v>115</v>
      </c>
      <c r="D1" s="127" t="s">
        <v>116</v>
      </c>
      <c r="E1" s="126" t="s">
        <v>117</v>
      </c>
      <c r="F1" s="126" t="s">
        <v>118</v>
      </c>
      <c r="G1" s="126" t="s">
        <v>119</v>
      </c>
      <c r="H1" s="127" t="s">
        <v>120</v>
      </c>
      <c r="I1" s="126" t="s">
        <v>121</v>
      </c>
      <c r="J1" s="126" t="s">
        <v>122</v>
      </c>
      <c r="K1" s="126" t="s">
        <v>123</v>
      </c>
      <c r="L1" s="126" t="s">
        <v>124</v>
      </c>
      <c r="M1" s="128" t="s">
        <v>125</v>
      </c>
      <c r="N1" s="128" t="s">
        <v>126</v>
      </c>
      <c r="O1" s="126" t="s">
        <v>127</v>
      </c>
      <c r="P1" s="127" t="s">
        <v>128</v>
      </c>
      <c r="Q1" s="126" t="s">
        <v>129</v>
      </c>
      <c r="R1" s="128" t="s">
        <v>130</v>
      </c>
      <c r="S1" s="129" t="s">
        <v>131</v>
      </c>
    </row>
    <row r="2" spans="1:19" x14ac:dyDescent="0.25">
      <c r="A2" s="130" t="s">
        <v>132</v>
      </c>
      <c r="B2" s="130" t="s">
        <v>133</v>
      </c>
      <c r="C2" s="130" t="s">
        <v>134</v>
      </c>
      <c r="D2" s="130" t="s">
        <v>134</v>
      </c>
      <c r="E2" s="130" t="s">
        <v>135</v>
      </c>
      <c r="F2" s="130" t="s">
        <v>136</v>
      </c>
      <c r="G2" s="130" t="s">
        <v>137</v>
      </c>
      <c r="I2" s="130" t="s">
        <v>138</v>
      </c>
      <c r="J2" s="130" t="s">
        <v>137</v>
      </c>
      <c r="K2" s="130" t="s">
        <v>135</v>
      </c>
      <c r="L2" s="130" t="s">
        <v>139</v>
      </c>
      <c r="M2" s="128">
        <v>10</v>
      </c>
      <c r="N2" s="128">
        <f>M2-L2</f>
        <v>0</v>
      </c>
      <c r="O2" s="130" t="s">
        <v>134</v>
      </c>
      <c r="P2" s="130" t="s">
        <v>134</v>
      </c>
      <c r="Q2" s="130" t="s">
        <v>139</v>
      </c>
      <c r="R2" s="128">
        <v>10</v>
      </c>
      <c r="S2" s="130" t="s">
        <v>140</v>
      </c>
    </row>
    <row r="3" spans="1:19" x14ac:dyDescent="0.25">
      <c r="A3" s="130" t="s">
        <v>141</v>
      </c>
      <c r="B3" s="130" t="s">
        <v>142</v>
      </c>
      <c r="C3" s="130" t="s">
        <v>134</v>
      </c>
      <c r="D3" s="130" t="s">
        <v>134</v>
      </c>
      <c r="E3" s="130" t="s">
        <v>143</v>
      </c>
      <c r="F3" s="130" t="s">
        <v>144</v>
      </c>
      <c r="G3" s="130" t="s">
        <v>137</v>
      </c>
      <c r="I3" s="130" t="s">
        <v>138</v>
      </c>
      <c r="J3" s="130" t="s">
        <v>137</v>
      </c>
      <c r="K3" s="130" t="s">
        <v>143</v>
      </c>
      <c r="L3" s="130" t="s">
        <v>139</v>
      </c>
      <c r="M3" s="128">
        <v>10</v>
      </c>
      <c r="N3" s="128">
        <f t="shared" ref="N3:N66" si="0">M3-L3</f>
        <v>0</v>
      </c>
      <c r="O3" s="130" t="s">
        <v>134</v>
      </c>
      <c r="P3" s="130" t="s">
        <v>134</v>
      </c>
      <c r="Q3" s="130" t="s">
        <v>139</v>
      </c>
      <c r="R3" s="128">
        <v>10</v>
      </c>
      <c r="S3" s="130" t="s">
        <v>140</v>
      </c>
    </row>
    <row r="4" spans="1:19" x14ac:dyDescent="0.25">
      <c r="A4" s="130" t="s">
        <v>145</v>
      </c>
      <c r="B4" s="130" t="s">
        <v>146</v>
      </c>
      <c r="C4" s="130" t="s">
        <v>134</v>
      </c>
      <c r="D4" s="130" t="s">
        <v>134</v>
      </c>
      <c r="E4" s="130" t="s">
        <v>147</v>
      </c>
      <c r="F4" s="130" t="s">
        <v>148</v>
      </c>
      <c r="G4" s="130" t="s">
        <v>137</v>
      </c>
      <c r="I4" s="130" t="s">
        <v>138</v>
      </c>
      <c r="J4" s="130" t="s">
        <v>137</v>
      </c>
      <c r="K4" s="130" t="s">
        <v>147</v>
      </c>
      <c r="L4" s="130" t="s">
        <v>139</v>
      </c>
      <c r="M4" s="128">
        <v>10</v>
      </c>
      <c r="N4" s="128">
        <f t="shared" si="0"/>
        <v>0</v>
      </c>
      <c r="O4" s="130" t="s">
        <v>134</v>
      </c>
      <c r="P4" s="130" t="s">
        <v>134</v>
      </c>
      <c r="Q4" s="130" t="s">
        <v>139</v>
      </c>
      <c r="R4" s="128">
        <v>10</v>
      </c>
      <c r="S4" s="130" t="s">
        <v>140</v>
      </c>
    </row>
    <row r="5" spans="1:19" x14ac:dyDescent="0.25">
      <c r="A5" s="130" t="s">
        <v>149</v>
      </c>
      <c r="B5" s="130" t="s">
        <v>150</v>
      </c>
      <c r="C5" s="130" t="s">
        <v>134</v>
      </c>
      <c r="D5" s="130" t="s">
        <v>134</v>
      </c>
      <c r="E5" s="130" t="s">
        <v>143</v>
      </c>
      <c r="F5" s="130" t="s">
        <v>144</v>
      </c>
      <c r="G5" s="130" t="s">
        <v>137</v>
      </c>
      <c r="I5" s="130" t="s">
        <v>138</v>
      </c>
      <c r="J5" s="130" t="s">
        <v>137</v>
      </c>
      <c r="K5" s="130" t="s">
        <v>143</v>
      </c>
      <c r="L5" s="130" t="s">
        <v>139</v>
      </c>
      <c r="M5" s="128">
        <v>10</v>
      </c>
      <c r="N5" s="128">
        <f t="shared" si="0"/>
        <v>0</v>
      </c>
      <c r="O5" s="130" t="s">
        <v>134</v>
      </c>
      <c r="P5" s="130" t="s">
        <v>134</v>
      </c>
      <c r="Q5" s="130" t="s">
        <v>139</v>
      </c>
      <c r="R5" s="128">
        <v>10</v>
      </c>
      <c r="S5" s="130" t="s">
        <v>140</v>
      </c>
    </row>
    <row r="6" spans="1:19" x14ac:dyDescent="0.25">
      <c r="A6" s="130" t="s">
        <v>151</v>
      </c>
      <c r="B6" s="130" t="s">
        <v>152</v>
      </c>
      <c r="C6" s="130" t="s">
        <v>134</v>
      </c>
      <c r="D6" s="130" t="s">
        <v>134</v>
      </c>
      <c r="E6" s="130" t="s">
        <v>143</v>
      </c>
      <c r="F6" s="130" t="s">
        <v>144</v>
      </c>
      <c r="G6" s="130" t="s">
        <v>137</v>
      </c>
      <c r="I6" s="130" t="s">
        <v>138</v>
      </c>
      <c r="J6" s="130" t="s">
        <v>137</v>
      </c>
      <c r="K6" s="130" t="s">
        <v>143</v>
      </c>
      <c r="L6" s="130" t="s">
        <v>139</v>
      </c>
      <c r="M6" s="128">
        <v>10</v>
      </c>
      <c r="N6" s="128">
        <f t="shared" si="0"/>
        <v>0</v>
      </c>
      <c r="O6" s="130" t="s">
        <v>134</v>
      </c>
      <c r="P6" s="130" t="s">
        <v>134</v>
      </c>
      <c r="Q6" s="130" t="s">
        <v>139</v>
      </c>
      <c r="R6" s="128">
        <v>10</v>
      </c>
      <c r="S6" s="130" t="s">
        <v>140</v>
      </c>
    </row>
    <row r="7" spans="1:19" x14ac:dyDescent="0.25">
      <c r="A7" s="130" t="s">
        <v>153</v>
      </c>
      <c r="B7" s="130" t="s">
        <v>154</v>
      </c>
      <c r="C7" s="130" t="s">
        <v>134</v>
      </c>
      <c r="D7" s="130" t="s">
        <v>134</v>
      </c>
      <c r="E7" s="130" t="s">
        <v>143</v>
      </c>
      <c r="F7" s="130" t="s">
        <v>144</v>
      </c>
      <c r="G7" s="130" t="s">
        <v>137</v>
      </c>
      <c r="I7" s="130" t="s">
        <v>138</v>
      </c>
      <c r="J7" s="130" t="s">
        <v>137</v>
      </c>
      <c r="K7" s="130" t="s">
        <v>143</v>
      </c>
      <c r="L7" s="130" t="s">
        <v>139</v>
      </c>
      <c r="M7" s="128">
        <v>10</v>
      </c>
      <c r="N7" s="128">
        <f t="shared" si="0"/>
        <v>0</v>
      </c>
      <c r="O7" s="130" t="s">
        <v>134</v>
      </c>
      <c r="P7" s="130" t="s">
        <v>134</v>
      </c>
      <c r="Q7" s="130" t="s">
        <v>139</v>
      </c>
      <c r="R7" s="128">
        <v>10</v>
      </c>
      <c r="S7" s="130" t="s">
        <v>140</v>
      </c>
    </row>
    <row r="8" spans="1:19" x14ac:dyDescent="0.25">
      <c r="A8" s="130" t="s">
        <v>155</v>
      </c>
      <c r="B8" s="130" t="s">
        <v>156</v>
      </c>
      <c r="C8" s="130" t="s">
        <v>134</v>
      </c>
      <c r="D8" s="130" t="s">
        <v>134</v>
      </c>
      <c r="E8" s="130" t="s">
        <v>143</v>
      </c>
      <c r="F8" s="130" t="s">
        <v>144</v>
      </c>
      <c r="G8" s="130" t="s">
        <v>137</v>
      </c>
      <c r="I8" s="130" t="s">
        <v>138</v>
      </c>
      <c r="J8" s="130" t="s">
        <v>137</v>
      </c>
      <c r="K8" s="130" t="s">
        <v>143</v>
      </c>
      <c r="L8" s="130" t="s">
        <v>139</v>
      </c>
      <c r="M8" s="128">
        <v>10</v>
      </c>
      <c r="N8" s="128">
        <f t="shared" si="0"/>
        <v>0</v>
      </c>
      <c r="O8" s="130" t="s">
        <v>134</v>
      </c>
      <c r="P8" s="130" t="s">
        <v>134</v>
      </c>
      <c r="Q8" s="130" t="s">
        <v>139</v>
      </c>
      <c r="R8" s="128">
        <v>10</v>
      </c>
      <c r="S8" s="130" t="s">
        <v>140</v>
      </c>
    </row>
    <row r="9" spans="1:19" x14ac:dyDescent="0.25">
      <c r="A9" s="130" t="s">
        <v>157</v>
      </c>
      <c r="B9" s="130" t="s">
        <v>158</v>
      </c>
      <c r="C9" s="130" t="s">
        <v>159</v>
      </c>
      <c r="D9" s="130" t="s">
        <v>159</v>
      </c>
      <c r="E9" s="130" t="s">
        <v>143</v>
      </c>
      <c r="F9" s="130" t="s">
        <v>144</v>
      </c>
      <c r="G9" s="130" t="s">
        <v>137</v>
      </c>
      <c r="I9" s="130" t="s">
        <v>138</v>
      </c>
      <c r="J9" s="130" t="s">
        <v>137</v>
      </c>
      <c r="K9" s="130" t="s">
        <v>143</v>
      </c>
      <c r="L9" s="130" t="s">
        <v>139</v>
      </c>
      <c r="M9" s="128">
        <v>10</v>
      </c>
      <c r="N9" s="128">
        <f t="shared" si="0"/>
        <v>0</v>
      </c>
      <c r="O9" s="130" t="s">
        <v>159</v>
      </c>
      <c r="P9" s="130" t="s">
        <v>159</v>
      </c>
      <c r="Q9" s="130" t="s">
        <v>160</v>
      </c>
      <c r="R9" s="128">
        <v>0</v>
      </c>
      <c r="S9" s="130" t="s">
        <v>140</v>
      </c>
    </row>
    <row r="10" spans="1:19" x14ac:dyDescent="0.25">
      <c r="A10" s="130" t="s">
        <v>161</v>
      </c>
      <c r="B10" s="130" t="s">
        <v>162</v>
      </c>
      <c r="C10" s="130" t="s">
        <v>159</v>
      </c>
      <c r="D10" s="130" t="s">
        <v>159</v>
      </c>
      <c r="E10" s="130" t="s">
        <v>143</v>
      </c>
      <c r="F10" s="130" t="s">
        <v>144</v>
      </c>
      <c r="G10" s="130" t="s">
        <v>137</v>
      </c>
      <c r="I10" s="130" t="s">
        <v>138</v>
      </c>
      <c r="J10" s="130" t="s">
        <v>137</v>
      </c>
      <c r="K10" s="130" t="s">
        <v>143</v>
      </c>
      <c r="L10" s="130" t="s">
        <v>139</v>
      </c>
      <c r="M10" s="128">
        <v>10</v>
      </c>
      <c r="N10" s="128">
        <f t="shared" si="0"/>
        <v>0</v>
      </c>
      <c r="O10" s="130" t="s">
        <v>159</v>
      </c>
      <c r="P10" s="130" t="s">
        <v>159</v>
      </c>
      <c r="Q10" s="130" t="s">
        <v>160</v>
      </c>
      <c r="R10" s="128">
        <v>0</v>
      </c>
      <c r="S10" s="130" t="s">
        <v>140</v>
      </c>
    </row>
    <row r="11" spans="1:19" x14ac:dyDescent="0.25">
      <c r="A11" s="130" t="s">
        <v>163</v>
      </c>
      <c r="B11" s="130" t="s">
        <v>164</v>
      </c>
      <c r="C11" s="130" t="s">
        <v>134</v>
      </c>
      <c r="D11" s="130" t="s">
        <v>134</v>
      </c>
      <c r="E11" s="130" t="s">
        <v>143</v>
      </c>
      <c r="F11" s="130" t="s">
        <v>144</v>
      </c>
      <c r="G11" s="130" t="s">
        <v>137</v>
      </c>
      <c r="I11" s="130" t="s">
        <v>138</v>
      </c>
      <c r="J11" s="130" t="s">
        <v>137</v>
      </c>
      <c r="K11" s="130" t="s">
        <v>143</v>
      </c>
      <c r="L11" s="130" t="s">
        <v>139</v>
      </c>
      <c r="M11" s="128">
        <v>10</v>
      </c>
      <c r="N11" s="128">
        <f t="shared" si="0"/>
        <v>0</v>
      </c>
      <c r="O11" s="130" t="s">
        <v>134</v>
      </c>
      <c r="P11" s="130" t="s">
        <v>134</v>
      </c>
      <c r="Q11" s="130" t="s">
        <v>139</v>
      </c>
      <c r="R11" s="128">
        <v>10</v>
      </c>
      <c r="S11" s="130" t="s">
        <v>140</v>
      </c>
    </row>
    <row r="12" spans="1:19" x14ac:dyDescent="0.25">
      <c r="A12" s="130" t="s">
        <v>143</v>
      </c>
      <c r="B12" s="130" t="s">
        <v>165</v>
      </c>
      <c r="C12" s="130" t="s">
        <v>134</v>
      </c>
      <c r="D12" s="130" t="s">
        <v>134</v>
      </c>
      <c r="E12" s="130" t="s">
        <v>143</v>
      </c>
      <c r="F12" s="130" t="s">
        <v>144</v>
      </c>
      <c r="G12" s="130" t="s">
        <v>137</v>
      </c>
      <c r="I12" s="130" t="s">
        <v>138</v>
      </c>
      <c r="J12" s="130" t="s">
        <v>137</v>
      </c>
      <c r="K12" s="130" t="s">
        <v>143</v>
      </c>
      <c r="L12" s="130" t="s">
        <v>139</v>
      </c>
      <c r="M12" s="128">
        <v>10</v>
      </c>
      <c r="N12" s="128">
        <f t="shared" si="0"/>
        <v>0</v>
      </c>
      <c r="O12" s="130" t="s">
        <v>134</v>
      </c>
      <c r="P12" s="130" t="s">
        <v>134</v>
      </c>
      <c r="Q12" s="130" t="s">
        <v>139</v>
      </c>
      <c r="R12" s="128">
        <v>10</v>
      </c>
      <c r="S12" s="130" t="s">
        <v>140</v>
      </c>
    </row>
    <row r="13" spans="1:19" x14ac:dyDescent="0.25">
      <c r="A13" s="130" t="s">
        <v>166</v>
      </c>
      <c r="B13" s="130" t="s">
        <v>167</v>
      </c>
      <c r="C13" s="130" t="s">
        <v>134</v>
      </c>
      <c r="D13" s="130" t="s">
        <v>134</v>
      </c>
      <c r="E13" s="130" t="s">
        <v>168</v>
      </c>
      <c r="F13" s="130" t="s">
        <v>169</v>
      </c>
      <c r="G13" s="130" t="s">
        <v>137</v>
      </c>
      <c r="I13" s="130" t="s">
        <v>138</v>
      </c>
      <c r="J13" s="130" t="s">
        <v>137</v>
      </c>
      <c r="K13" s="130" t="s">
        <v>168</v>
      </c>
      <c r="L13" s="130" t="s">
        <v>139</v>
      </c>
      <c r="M13" s="128">
        <v>10</v>
      </c>
      <c r="N13" s="128">
        <f t="shared" si="0"/>
        <v>0</v>
      </c>
      <c r="O13" s="130" t="s">
        <v>134</v>
      </c>
      <c r="P13" s="130" t="s">
        <v>134</v>
      </c>
      <c r="Q13" s="130" t="s">
        <v>139</v>
      </c>
      <c r="R13" s="128">
        <v>10</v>
      </c>
      <c r="S13" s="130" t="s">
        <v>140</v>
      </c>
    </row>
    <row r="14" spans="1:19" x14ac:dyDescent="0.25">
      <c r="A14" s="130" t="s">
        <v>170</v>
      </c>
      <c r="B14" s="130" t="s">
        <v>171</v>
      </c>
      <c r="C14" s="130" t="s">
        <v>134</v>
      </c>
      <c r="D14" s="130" t="s">
        <v>134</v>
      </c>
      <c r="E14" s="130" t="s">
        <v>170</v>
      </c>
      <c r="F14" s="130" t="s">
        <v>172</v>
      </c>
      <c r="G14" s="130" t="s">
        <v>137</v>
      </c>
      <c r="I14" s="130" t="s">
        <v>138</v>
      </c>
      <c r="J14" s="130" t="s">
        <v>137</v>
      </c>
      <c r="K14" s="130" t="s">
        <v>170</v>
      </c>
      <c r="L14" s="130" t="s">
        <v>139</v>
      </c>
      <c r="M14" s="128">
        <v>10</v>
      </c>
      <c r="N14" s="128">
        <f t="shared" si="0"/>
        <v>0</v>
      </c>
      <c r="O14" s="130" t="s">
        <v>134</v>
      </c>
      <c r="P14" s="130" t="s">
        <v>134</v>
      </c>
      <c r="Q14" s="130" t="s">
        <v>139</v>
      </c>
      <c r="R14" s="128">
        <v>10</v>
      </c>
      <c r="S14" s="130" t="s">
        <v>140</v>
      </c>
    </row>
    <row r="15" spans="1:19" x14ac:dyDescent="0.25">
      <c r="A15" s="130" t="s">
        <v>173</v>
      </c>
      <c r="B15" s="130" t="s">
        <v>174</v>
      </c>
      <c r="C15" s="130" t="s">
        <v>134</v>
      </c>
      <c r="D15" s="130" t="s">
        <v>134</v>
      </c>
      <c r="E15" s="130" t="s">
        <v>173</v>
      </c>
      <c r="F15" s="130" t="s">
        <v>174</v>
      </c>
      <c r="G15" s="130" t="s">
        <v>137</v>
      </c>
      <c r="I15" s="130" t="s">
        <v>138</v>
      </c>
      <c r="J15" s="130" t="s">
        <v>137</v>
      </c>
      <c r="K15" s="130" t="s">
        <v>173</v>
      </c>
      <c r="L15" s="130" t="s">
        <v>139</v>
      </c>
      <c r="M15" s="128">
        <v>10</v>
      </c>
      <c r="N15" s="128">
        <f t="shared" si="0"/>
        <v>0</v>
      </c>
      <c r="O15" s="130" t="s">
        <v>134</v>
      </c>
      <c r="P15" s="130" t="s">
        <v>134</v>
      </c>
      <c r="Q15" s="130" t="s">
        <v>139</v>
      </c>
      <c r="R15" s="128">
        <v>10</v>
      </c>
      <c r="S15" s="130" t="s">
        <v>140</v>
      </c>
    </row>
    <row r="16" spans="1:19" x14ac:dyDescent="0.25">
      <c r="A16" s="130" t="s">
        <v>175</v>
      </c>
      <c r="B16" s="130" t="s">
        <v>176</v>
      </c>
      <c r="C16" s="130" t="s">
        <v>134</v>
      </c>
      <c r="D16" s="130" t="s">
        <v>134</v>
      </c>
      <c r="E16" s="130" t="s">
        <v>175</v>
      </c>
      <c r="F16" s="130" t="s">
        <v>177</v>
      </c>
      <c r="G16" s="130" t="s">
        <v>137</v>
      </c>
      <c r="I16" s="130" t="s">
        <v>138</v>
      </c>
      <c r="J16" s="130" t="s">
        <v>137</v>
      </c>
      <c r="K16" s="130" t="s">
        <v>175</v>
      </c>
      <c r="L16" s="130" t="s">
        <v>139</v>
      </c>
      <c r="M16" s="128">
        <v>10</v>
      </c>
      <c r="N16" s="128">
        <f t="shared" si="0"/>
        <v>0</v>
      </c>
      <c r="O16" s="130" t="s">
        <v>134</v>
      </c>
      <c r="P16" s="130" t="s">
        <v>134</v>
      </c>
      <c r="Q16" s="130" t="s">
        <v>139</v>
      </c>
      <c r="R16" s="128">
        <v>10</v>
      </c>
      <c r="S16" s="130" t="s">
        <v>140</v>
      </c>
    </row>
    <row r="17" spans="1:19" x14ac:dyDescent="0.25">
      <c r="A17" s="130" t="s">
        <v>178</v>
      </c>
      <c r="B17" s="130" t="s">
        <v>179</v>
      </c>
      <c r="C17" s="130" t="s">
        <v>134</v>
      </c>
      <c r="D17" s="130" t="s">
        <v>134</v>
      </c>
      <c r="E17" s="130" t="s">
        <v>178</v>
      </c>
      <c r="F17" s="130" t="s">
        <v>179</v>
      </c>
      <c r="G17" s="130" t="s">
        <v>137</v>
      </c>
      <c r="I17" s="130" t="s">
        <v>138</v>
      </c>
      <c r="J17" s="130" t="s">
        <v>137</v>
      </c>
      <c r="K17" s="130" t="s">
        <v>178</v>
      </c>
      <c r="L17" s="130" t="s">
        <v>139</v>
      </c>
      <c r="M17" s="128">
        <v>10</v>
      </c>
      <c r="N17" s="128">
        <f t="shared" si="0"/>
        <v>0</v>
      </c>
      <c r="O17" s="130" t="s">
        <v>134</v>
      </c>
      <c r="P17" s="130" t="s">
        <v>134</v>
      </c>
      <c r="Q17" s="130" t="s">
        <v>139</v>
      </c>
      <c r="R17" s="128">
        <v>10</v>
      </c>
      <c r="S17" s="130" t="s">
        <v>140</v>
      </c>
    </row>
    <row r="18" spans="1:19" x14ac:dyDescent="0.25">
      <c r="A18" s="130" t="s">
        <v>180</v>
      </c>
      <c r="B18" s="130" t="s">
        <v>181</v>
      </c>
      <c r="C18" s="130" t="s">
        <v>134</v>
      </c>
      <c r="D18" s="130" t="s">
        <v>134</v>
      </c>
      <c r="E18" s="130" t="s">
        <v>180</v>
      </c>
      <c r="F18" s="130" t="s">
        <v>182</v>
      </c>
      <c r="G18" s="130" t="s">
        <v>137</v>
      </c>
      <c r="I18" s="130" t="s">
        <v>138</v>
      </c>
      <c r="J18" s="130" t="s">
        <v>137</v>
      </c>
      <c r="K18" s="130" t="s">
        <v>180</v>
      </c>
      <c r="L18" s="130" t="s">
        <v>139</v>
      </c>
      <c r="M18" s="128">
        <v>10</v>
      </c>
      <c r="N18" s="128">
        <f t="shared" si="0"/>
        <v>0</v>
      </c>
      <c r="O18" s="130" t="s">
        <v>134</v>
      </c>
      <c r="P18" s="130" t="s">
        <v>134</v>
      </c>
      <c r="Q18" s="130" t="s">
        <v>139</v>
      </c>
      <c r="R18" s="128">
        <v>10</v>
      </c>
      <c r="S18" s="130" t="s">
        <v>140</v>
      </c>
    </row>
    <row r="19" spans="1:19" x14ac:dyDescent="0.25">
      <c r="A19" s="130" t="s">
        <v>183</v>
      </c>
      <c r="B19" s="130" t="s">
        <v>184</v>
      </c>
      <c r="C19" s="130" t="s">
        <v>134</v>
      </c>
      <c r="D19" s="130" t="s">
        <v>134</v>
      </c>
      <c r="E19" s="130" t="s">
        <v>183</v>
      </c>
      <c r="F19" s="130" t="s">
        <v>184</v>
      </c>
      <c r="G19" s="130" t="s">
        <v>137</v>
      </c>
      <c r="I19" s="130" t="s">
        <v>138</v>
      </c>
      <c r="J19" s="130" t="s">
        <v>137</v>
      </c>
      <c r="K19" s="130" t="s">
        <v>183</v>
      </c>
      <c r="L19" s="130" t="s">
        <v>139</v>
      </c>
      <c r="M19" s="128">
        <v>10</v>
      </c>
      <c r="N19" s="128">
        <f t="shared" si="0"/>
        <v>0</v>
      </c>
      <c r="O19" s="130" t="s">
        <v>134</v>
      </c>
      <c r="P19" s="130" t="s">
        <v>134</v>
      </c>
      <c r="Q19" s="130" t="s">
        <v>139</v>
      </c>
      <c r="R19" s="128">
        <v>10</v>
      </c>
      <c r="S19" s="130" t="s">
        <v>140</v>
      </c>
    </row>
    <row r="20" spans="1:19" x14ac:dyDescent="0.25">
      <c r="A20" s="130" t="s">
        <v>185</v>
      </c>
      <c r="B20" s="130" t="s">
        <v>186</v>
      </c>
      <c r="C20" s="130" t="s">
        <v>134</v>
      </c>
      <c r="D20" s="130" t="s">
        <v>134</v>
      </c>
      <c r="E20" s="130" t="s">
        <v>185</v>
      </c>
      <c r="F20" s="130" t="s">
        <v>187</v>
      </c>
      <c r="G20" s="130" t="s">
        <v>137</v>
      </c>
      <c r="I20" s="130" t="s">
        <v>138</v>
      </c>
      <c r="J20" s="130" t="s">
        <v>137</v>
      </c>
      <c r="K20" s="130" t="s">
        <v>185</v>
      </c>
      <c r="L20" s="130" t="s">
        <v>139</v>
      </c>
      <c r="M20" s="128">
        <v>10</v>
      </c>
      <c r="N20" s="128">
        <f t="shared" si="0"/>
        <v>0</v>
      </c>
      <c r="O20" s="130" t="s">
        <v>134</v>
      </c>
      <c r="P20" s="130" t="s">
        <v>134</v>
      </c>
      <c r="Q20" s="130" t="s">
        <v>139</v>
      </c>
      <c r="R20" s="128">
        <v>10</v>
      </c>
      <c r="S20" s="130" t="s">
        <v>140</v>
      </c>
    </row>
    <row r="21" spans="1:19" x14ac:dyDescent="0.25">
      <c r="A21" s="130" t="s">
        <v>188</v>
      </c>
      <c r="B21" s="130" t="s">
        <v>189</v>
      </c>
      <c r="C21" s="130" t="s">
        <v>134</v>
      </c>
      <c r="D21" s="130" t="s">
        <v>134</v>
      </c>
      <c r="E21" s="130" t="s">
        <v>147</v>
      </c>
      <c r="F21" s="130" t="s">
        <v>148</v>
      </c>
      <c r="G21" s="130" t="s">
        <v>137</v>
      </c>
      <c r="I21" s="130" t="s">
        <v>138</v>
      </c>
      <c r="J21" s="130" t="s">
        <v>137</v>
      </c>
      <c r="K21" s="130" t="s">
        <v>147</v>
      </c>
      <c r="L21" s="130" t="s">
        <v>139</v>
      </c>
      <c r="M21" s="128">
        <v>10</v>
      </c>
      <c r="N21" s="128">
        <f t="shared" si="0"/>
        <v>0</v>
      </c>
      <c r="O21" s="130" t="s">
        <v>134</v>
      </c>
      <c r="P21" s="130" t="s">
        <v>134</v>
      </c>
      <c r="Q21" s="130" t="s">
        <v>139</v>
      </c>
      <c r="R21" s="128">
        <v>10</v>
      </c>
      <c r="S21" s="130" t="s">
        <v>140</v>
      </c>
    </row>
    <row r="22" spans="1:19" x14ac:dyDescent="0.25">
      <c r="A22" s="130" t="s">
        <v>190</v>
      </c>
      <c r="B22" s="130" t="s">
        <v>191</v>
      </c>
      <c r="C22" s="130" t="s">
        <v>134</v>
      </c>
      <c r="D22" s="130" t="s">
        <v>134</v>
      </c>
      <c r="E22" s="130" t="s">
        <v>147</v>
      </c>
      <c r="F22" s="130" t="s">
        <v>148</v>
      </c>
      <c r="G22" s="130" t="s">
        <v>137</v>
      </c>
      <c r="I22" s="130" t="s">
        <v>138</v>
      </c>
      <c r="J22" s="130" t="s">
        <v>137</v>
      </c>
      <c r="K22" s="130" t="s">
        <v>147</v>
      </c>
      <c r="L22" s="130" t="s">
        <v>139</v>
      </c>
      <c r="M22" s="128">
        <v>10</v>
      </c>
      <c r="N22" s="128">
        <f t="shared" si="0"/>
        <v>0</v>
      </c>
      <c r="O22" s="130" t="s">
        <v>134</v>
      </c>
      <c r="P22" s="130" t="s">
        <v>134</v>
      </c>
      <c r="Q22" s="130" t="s">
        <v>139</v>
      </c>
      <c r="R22" s="128">
        <v>10</v>
      </c>
      <c r="S22" s="130" t="s">
        <v>140</v>
      </c>
    </row>
    <row r="23" spans="1:19" x14ac:dyDescent="0.25">
      <c r="A23" s="130" t="s">
        <v>192</v>
      </c>
      <c r="B23" s="130" t="s">
        <v>193</v>
      </c>
      <c r="C23" s="130" t="s">
        <v>134</v>
      </c>
      <c r="D23" s="130" t="s">
        <v>134</v>
      </c>
      <c r="E23" s="130" t="s">
        <v>147</v>
      </c>
      <c r="F23" s="130" t="s">
        <v>148</v>
      </c>
      <c r="G23" s="130" t="s">
        <v>137</v>
      </c>
      <c r="I23" s="130" t="s">
        <v>138</v>
      </c>
      <c r="J23" s="130" t="s">
        <v>137</v>
      </c>
      <c r="K23" s="130" t="s">
        <v>147</v>
      </c>
      <c r="L23" s="130" t="s">
        <v>139</v>
      </c>
      <c r="M23" s="128">
        <v>10</v>
      </c>
      <c r="N23" s="128">
        <f t="shared" si="0"/>
        <v>0</v>
      </c>
      <c r="O23" s="130" t="s">
        <v>134</v>
      </c>
      <c r="P23" s="130" t="s">
        <v>134</v>
      </c>
      <c r="Q23" s="130" t="s">
        <v>139</v>
      </c>
      <c r="R23" s="128">
        <v>10</v>
      </c>
      <c r="S23" s="130" t="s">
        <v>140</v>
      </c>
    </row>
    <row r="24" spans="1:19" x14ac:dyDescent="0.25">
      <c r="A24" s="130" t="s">
        <v>194</v>
      </c>
      <c r="B24" s="130" t="s">
        <v>195</v>
      </c>
      <c r="C24" s="130" t="s">
        <v>134</v>
      </c>
      <c r="D24" s="130" t="s">
        <v>134</v>
      </c>
      <c r="E24" s="130" t="s">
        <v>147</v>
      </c>
      <c r="F24" s="130" t="s">
        <v>148</v>
      </c>
      <c r="G24" s="130" t="s">
        <v>137</v>
      </c>
      <c r="I24" s="130" t="s">
        <v>138</v>
      </c>
      <c r="J24" s="130" t="s">
        <v>137</v>
      </c>
      <c r="K24" s="130" t="s">
        <v>147</v>
      </c>
      <c r="L24" s="130" t="s">
        <v>139</v>
      </c>
      <c r="M24" s="128">
        <v>10</v>
      </c>
      <c r="N24" s="128">
        <f t="shared" si="0"/>
        <v>0</v>
      </c>
      <c r="O24" s="130" t="s">
        <v>134</v>
      </c>
      <c r="P24" s="130" t="s">
        <v>134</v>
      </c>
      <c r="Q24" s="130" t="s">
        <v>139</v>
      </c>
      <c r="R24" s="128">
        <v>10</v>
      </c>
      <c r="S24" s="130" t="s">
        <v>140</v>
      </c>
    </row>
    <row r="25" spans="1:19" x14ac:dyDescent="0.25">
      <c r="A25" s="130" t="s">
        <v>196</v>
      </c>
      <c r="B25" s="130" t="s">
        <v>197</v>
      </c>
      <c r="C25" s="130" t="s">
        <v>134</v>
      </c>
      <c r="D25" s="130" t="s">
        <v>134</v>
      </c>
      <c r="E25" s="130" t="s">
        <v>147</v>
      </c>
      <c r="F25" s="130" t="s">
        <v>148</v>
      </c>
      <c r="G25" s="130" t="s">
        <v>137</v>
      </c>
      <c r="I25" s="130" t="s">
        <v>138</v>
      </c>
      <c r="J25" s="130" t="s">
        <v>137</v>
      </c>
      <c r="K25" s="130" t="s">
        <v>147</v>
      </c>
      <c r="L25" s="130" t="s">
        <v>139</v>
      </c>
      <c r="M25" s="128">
        <v>10</v>
      </c>
      <c r="N25" s="128">
        <f t="shared" si="0"/>
        <v>0</v>
      </c>
      <c r="O25" s="130" t="s">
        <v>134</v>
      </c>
      <c r="P25" s="130" t="s">
        <v>134</v>
      </c>
      <c r="Q25" s="130" t="s">
        <v>139</v>
      </c>
      <c r="R25" s="128">
        <v>10</v>
      </c>
      <c r="S25" s="130" t="s">
        <v>140</v>
      </c>
    </row>
    <row r="26" spans="1:19" x14ac:dyDescent="0.25">
      <c r="A26" s="130" t="s">
        <v>198</v>
      </c>
      <c r="B26" s="130" t="s">
        <v>199</v>
      </c>
      <c r="C26" s="130" t="s">
        <v>134</v>
      </c>
      <c r="D26" s="130" t="s">
        <v>134</v>
      </c>
      <c r="E26" s="130" t="s">
        <v>147</v>
      </c>
      <c r="F26" s="130" t="s">
        <v>148</v>
      </c>
      <c r="G26" s="130" t="s">
        <v>137</v>
      </c>
      <c r="I26" s="130" t="s">
        <v>138</v>
      </c>
      <c r="J26" s="130" t="s">
        <v>137</v>
      </c>
      <c r="K26" s="130" t="s">
        <v>147</v>
      </c>
      <c r="L26" s="130" t="s">
        <v>139</v>
      </c>
      <c r="M26" s="128">
        <v>10</v>
      </c>
      <c r="N26" s="128">
        <f t="shared" si="0"/>
        <v>0</v>
      </c>
      <c r="O26" s="130" t="s">
        <v>134</v>
      </c>
      <c r="P26" s="130" t="s">
        <v>134</v>
      </c>
      <c r="Q26" s="130" t="s">
        <v>139</v>
      </c>
      <c r="R26" s="128">
        <v>10</v>
      </c>
      <c r="S26" s="130" t="s">
        <v>140</v>
      </c>
    </row>
    <row r="27" spans="1:19" x14ac:dyDescent="0.25">
      <c r="A27" s="130" t="s">
        <v>200</v>
      </c>
      <c r="B27" s="130" t="s">
        <v>201</v>
      </c>
      <c r="C27" s="130" t="s">
        <v>134</v>
      </c>
      <c r="D27" s="130" t="s">
        <v>134</v>
      </c>
      <c r="E27" s="130" t="s">
        <v>147</v>
      </c>
      <c r="F27" s="130" t="s">
        <v>148</v>
      </c>
      <c r="G27" s="130" t="s">
        <v>137</v>
      </c>
      <c r="I27" s="130" t="s">
        <v>138</v>
      </c>
      <c r="J27" s="130" t="s">
        <v>137</v>
      </c>
      <c r="K27" s="130" t="s">
        <v>147</v>
      </c>
      <c r="L27" s="130" t="s">
        <v>139</v>
      </c>
      <c r="M27" s="128">
        <v>10</v>
      </c>
      <c r="N27" s="128">
        <f t="shared" si="0"/>
        <v>0</v>
      </c>
      <c r="O27" s="130" t="s">
        <v>134</v>
      </c>
      <c r="P27" s="130" t="s">
        <v>134</v>
      </c>
      <c r="Q27" s="130" t="s">
        <v>139</v>
      </c>
      <c r="R27" s="128">
        <v>10</v>
      </c>
      <c r="S27" s="130" t="s">
        <v>140</v>
      </c>
    </row>
    <row r="28" spans="1:19" x14ac:dyDescent="0.25">
      <c r="A28" s="130" t="s">
        <v>202</v>
      </c>
      <c r="B28" s="130" t="s">
        <v>203</v>
      </c>
      <c r="C28" s="130" t="s">
        <v>134</v>
      </c>
      <c r="D28" s="130" t="s">
        <v>134</v>
      </c>
      <c r="E28" s="130" t="s">
        <v>147</v>
      </c>
      <c r="F28" s="130" t="s">
        <v>148</v>
      </c>
      <c r="G28" s="130" t="s">
        <v>159</v>
      </c>
      <c r="I28" s="130" t="s">
        <v>138</v>
      </c>
      <c r="J28" s="130" t="s">
        <v>137</v>
      </c>
      <c r="K28" s="130" t="s">
        <v>147</v>
      </c>
      <c r="L28" s="130" t="s">
        <v>139</v>
      </c>
      <c r="M28" s="128">
        <v>10</v>
      </c>
      <c r="N28" s="128">
        <f t="shared" si="0"/>
        <v>0</v>
      </c>
      <c r="O28" s="130" t="s">
        <v>134</v>
      </c>
      <c r="P28" s="130" t="s">
        <v>134</v>
      </c>
      <c r="Q28" s="130" t="s">
        <v>139</v>
      </c>
      <c r="R28" s="128">
        <v>10</v>
      </c>
      <c r="S28" s="130" t="s">
        <v>140</v>
      </c>
    </row>
    <row r="29" spans="1:19" x14ac:dyDescent="0.25">
      <c r="A29" s="130" t="s">
        <v>204</v>
      </c>
      <c r="B29" s="130" t="s">
        <v>205</v>
      </c>
      <c r="C29" s="130" t="s">
        <v>134</v>
      </c>
      <c r="D29" s="130" t="s">
        <v>134</v>
      </c>
      <c r="E29" s="130" t="s">
        <v>147</v>
      </c>
      <c r="F29" s="130" t="s">
        <v>148</v>
      </c>
      <c r="G29" s="130" t="s">
        <v>137</v>
      </c>
      <c r="I29" s="130" t="s">
        <v>138</v>
      </c>
      <c r="J29" s="130" t="s">
        <v>137</v>
      </c>
      <c r="K29" s="130" t="s">
        <v>147</v>
      </c>
      <c r="L29" s="130" t="s">
        <v>139</v>
      </c>
      <c r="M29" s="128">
        <v>10</v>
      </c>
      <c r="N29" s="128">
        <f t="shared" si="0"/>
        <v>0</v>
      </c>
      <c r="O29" s="130" t="s">
        <v>134</v>
      </c>
      <c r="P29" s="130" t="s">
        <v>134</v>
      </c>
      <c r="Q29" s="130" t="s">
        <v>139</v>
      </c>
      <c r="R29" s="128">
        <v>10</v>
      </c>
      <c r="S29" s="130" t="s">
        <v>140</v>
      </c>
    </row>
    <row r="30" spans="1:19" x14ac:dyDescent="0.25">
      <c r="A30" s="130" t="s">
        <v>206</v>
      </c>
      <c r="B30" s="130" t="s">
        <v>207</v>
      </c>
      <c r="C30" s="130" t="s">
        <v>134</v>
      </c>
      <c r="D30" s="130" t="s">
        <v>134</v>
      </c>
      <c r="E30" s="130" t="s">
        <v>147</v>
      </c>
      <c r="F30" s="130" t="s">
        <v>148</v>
      </c>
      <c r="G30" s="130" t="s">
        <v>137</v>
      </c>
      <c r="I30" s="130" t="s">
        <v>138</v>
      </c>
      <c r="J30" s="130" t="s">
        <v>137</v>
      </c>
      <c r="K30" s="130" t="s">
        <v>147</v>
      </c>
      <c r="L30" s="130" t="s">
        <v>139</v>
      </c>
      <c r="M30" s="128">
        <v>10</v>
      </c>
      <c r="N30" s="128">
        <f t="shared" si="0"/>
        <v>0</v>
      </c>
      <c r="O30" s="130" t="s">
        <v>134</v>
      </c>
      <c r="P30" s="130" t="s">
        <v>134</v>
      </c>
      <c r="Q30" s="130" t="s">
        <v>139</v>
      </c>
      <c r="R30" s="128">
        <v>10</v>
      </c>
      <c r="S30" s="130" t="s">
        <v>140</v>
      </c>
    </row>
    <row r="31" spans="1:19" x14ac:dyDescent="0.25">
      <c r="A31" s="130" t="s">
        <v>208</v>
      </c>
      <c r="B31" s="130" t="s">
        <v>209</v>
      </c>
      <c r="C31" s="130" t="s">
        <v>134</v>
      </c>
      <c r="D31" s="130" t="s">
        <v>134</v>
      </c>
      <c r="E31" s="130" t="s">
        <v>208</v>
      </c>
      <c r="F31" s="130" t="s">
        <v>210</v>
      </c>
      <c r="G31" s="130" t="s">
        <v>137</v>
      </c>
      <c r="I31" s="130" t="s">
        <v>138</v>
      </c>
      <c r="J31" s="130" t="s">
        <v>137</v>
      </c>
      <c r="K31" s="130" t="s">
        <v>208</v>
      </c>
      <c r="L31" s="130" t="s">
        <v>139</v>
      </c>
      <c r="M31" s="128">
        <v>10</v>
      </c>
      <c r="N31" s="128">
        <f t="shared" si="0"/>
        <v>0</v>
      </c>
      <c r="O31" s="130" t="s">
        <v>134</v>
      </c>
      <c r="P31" s="130" t="s">
        <v>134</v>
      </c>
      <c r="Q31" s="130" t="s">
        <v>139</v>
      </c>
      <c r="R31" s="128">
        <v>10</v>
      </c>
      <c r="S31" s="130" t="s">
        <v>140</v>
      </c>
    </row>
    <row r="32" spans="1:19" x14ac:dyDescent="0.25">
      <c r="A32" s="130" t="s">
        <v>211</v>
      </c>
      <c r="B32" s="130" t="s">
        <v>212</v>
      </c>
      <c r="C32" s="130" t="s">
        <v>134</v>
      </c>
      <c r="D32" s="130" t="s">
        <v>134</v>
      </c>
      <c r="E32" s="130" t="s">
        <v>147</v>
      </c>
      <c r="F32" s="130" t="s">
        <v>148</v>
      </c>
      <c r="G32" s="130" t="s">
        <v>137</v>
      </c>
      <c r="I32" s="130" t="s">
        <v>138</v>
      </c>
      <c r="J32" s="130" t="s">
        <v>137</v>
      </c>
      <c r="K32" s="130" t="s">
        <v>147</v>
      </c>
      <c r="L32" s="130" t="s">
        <v>139</v>
      </c>
      <c r="M32" s="128">
        <v>10</v>
      </c>
      <c r="N32" s="128">
        <f t="shared" si="0"/>
        <v>0</v>
      </c>
      <c r="O32" s="130" t="s">
        <v>134</v>
      </c>
      <c r="P32" s="130" t="s">
        <v>134</v>
      </c>
      <c r="Q32" s="130" t="s">
        <v>139</v>
      </c>
      <c r="R32" s="128">
        <v>10</v>
      </c>
      <c r="S32" s="130" t="s">
        <v>140</v>
      </c>
    </row>
    <row r="33" spans="1:19" x14ac:dyDescent="0.25">
      <c r="A33" s="130" t="s">
        <v>213</v>
      </c>
      <c r="B33" s="130" t="s">
        <v>214</v>
      </c>
      <c r="C33" s="130" t="s">
        <v>134</v>
      </c>
      <c r="D33" s="130" t="s">
        <v>134</v>
      </c>
      <c r="E33" s="130" t="s">
        <v>213</v>
      </c>
      <c r="F33" s="130" t="s">
        <v>214</v>
      </c>
      <c r="G33" s="130" t="s">
        <v>137</v>
      </c>
      <c r="I33" s="130" t="s">
        <v>138</v>
      </c>
      <c r="J33" s="130" t="s">
        <v>137</v>
      </c>
      <c r="K33" s="130" t="s">
        <v>213</v>
      </c>
      <c r="L33" s="130" t="s">
        <v>139</v>
      </c>
      <c r="M33" s="128">
        <v>10</v>
      </c>
      <c r="N33" s="128">
        <f t="shared" si="0"/>
        <v>0</v>
      </c>
      <c r="O33" s="130" t="s">
        <v>134</v>
      </c>
      <c r="P33" s="130" t="s">
        <v>134</v>
      </c>
      <c r="Q33" s="130" t="s">
        <v>139</v>
      </c>
      <c r="R33" s="128">
        <v>10</v>
      </c>
      <c r="S33" s="130" t="s">
        <v>140</v>
      </c>
    </row>
    <row r="34" spans="1:19" x14ac:dyDescent="0.25">
      <c r="A34" s="130" t="s">
        <v>215</v>
      </c>
      <c r="B34" s="130" t="s">
        <v>216</v>
      </c>
      <c r="C34" s="130" t="s">
        <v>134</v>
      </c>
      <c r="D34" s="130" t="s">
        <v>134</v>
      </c>
      <c r="E34" s="130" t="s">
        <v>217</v>
      </c>
      <c r="F34" s="130" t="s">
        <v>218</v>
      </c>
      <c r="G34" s="130" t="s">
        <v>137</v>
      </c>
      <c r="I34" s="130" t="s">
        <v>138</v>
      </c>
      <c r="J34" s="130" t="s">
        <v>137</v>
      </c>
      <c r="K34" s="130" t="s">
        <v>217</v>
      </c>
      <c r="L34" s="130" t="s">
        <v>139</v>
      </c>
      <c r="M34" s="128">
        <v>10</v>
      </c>
      <c r="N34" s="128">
        <f t="shared" si="0"/>
        <v>0</v>
      </c>
      <c r="O34" s="130" t="s">
        <v>134</v>
      </c>
      <c r="P34" s="130" t="s">
        <v>134</v>
      </c>
      <c r="Q34" s="130" t="s">
        <v>139</v>
      </c>
      <c r="R34" s="128">
        <v>10</v>
      </c>
      <c r="S34" s="130" t="s">
        <v>140</v>
      </c>
    </row>
    <row r="35" spans="1:19" x14ac:dyDescent="0.25">
      <c r="A35" s="130" t="s">
        <v>219</v>
      </c>
      <c r="B35" s="130" t="s">
        <v>220</v>
      </c>
      <c r="C35" s="130" t="s">
        <v>134</v>
      </c>
      <c r="D35" s="130" t="s">
        <v>134</v>
      </c>
      <c r="E35" s="130" t="s">
        <v>221</v>
      </c>
      <c r="F35" s="130" t="s">
        <v>222</v>
      </c>
      <c r="G35" s="130" t="s">
        <v>137</v>
      </c>
      <c r="I35" s="130" t="s">
        <v>138</v>
      </c>
      <c r="J35" s="130" t="s">
        <v>137</v>
      </c>
      <c r="K35" s="130" t="s">
        <v>221</v>
      </c>
      <c r="L35" s="130" t="s">
        <v>139</v>
      </c>
      <c r="M35" s="128">
        <v>10</v>
      </c>
      <c r="N35" s="128">
        <f t="shared" si="0"/>
        <v>0</v>
      </c>
      <c r="O35" s="130" t="s">
        <v>134</v>
      </c>
      <c r="P35" s="130" t="s">
        <v>134</v>
      </c>
      <c r="Q35" s="130" t="s">
        <v>139</v>
      </c>
      <c r="R35" s="128">
        <v>10</v>
      </c>
      <c r="S35" s="130" t="s">
        <v>140</v>
      </c>
    </row>
    <row r="36" spans="1:19" x14ac:dyDescent="0.25">
      <c r="A36" s="130" t="s">
        <v>223</v>
      </c>
      <c r="B36" s="130" t="s">
        <v>224</v>
      </c>
      <c r="C36" s="130" t="s">
        <v>134</v>
      </c>
      <c r="D36" s="130" t="s">
        <v>134</v>
      </c>
      <c r="E36" s="130" t="s">
        <v>225</v>
      </c>
      <c r="F36" s="130" t="s">
        <v>226</v>
      </c>
      <c r="G36" s="130" t="s">
        <v>159</v>
      </c>
      <c r="I36" s="130" t="s">
        <v>138</v>
      </c>
      <c r="J36" s="130" t="s">
        <v>137</v>
      </c>
      <c r="K36" s="130" t="s">
        <v>225</v>
      </c>
      <c r="L36" s="130" t="s">
        <v>139</v>
      </c>
      <c r="M36" s="128">
        <v>10</v>
      </c>
      <c r="N36" s="128">
        <f t="shared" si="0"/>
        <v>0</v>
      </c>
      <c r="O36" s="130" t="s">
        <v>134</v>
      </c>
      <c r="P36" s="130" t="s">
        <v>134</v>
      </c>
      <c r="Q36" s="130" t="s">
        <v>139</v>
      </c>
      <c r="R36" s="128">
        <v>10</v>
      </c>
      <c r="S36" s="130" t="s">
        <v>140</v>
      </c>
    </row>
    <row r="37" spans="1:19" x14ac:dyDescent="0.25">
      <c r="A37" s="130" t="s">
        <v>227</v>
      </c>
      <c r="B37" s="130" t="s">
        <v>228</v>
      </c>
      <c r="C37" s="130" t="s">
        <v>134</v>
      </c>
      <c r="D37" s="130" t="s">
        <v>134</v>
      </c>
      <c r="E37" s="130" t="s">
        <v>229</v>
      </c>
      <c r="F37" s="130" t="s">
        <v>230</v>
      </c>
      <c r="G37" s="130" t="s">
        <v>137</v>
      </c>
      <c r="I37" s="130" t="s">
        <v>138</v>
      </c>
      <c r="J37" s="130" t="s">
        <v>137</v>
      </c>
      <c r="K37" s="130" t="s">
        <v>229</v>
      </c>
      <c r="L37" s="130" t="s">
        <v>139</v>
      </c>
      <c r="M37" s="128">
        <v>10</v>
      </c>
      <c r="N37" s="128">
        <f t="shared" si="0"/>
        <v>0</v>
      </c>
      <c r="O37" s="130" t="s">
        <v>134</v>
      </c>
      <c r="P37" s="130" t="s">
        <v>134</v>
      </c>
      <c r="Q37" s="130" t="s">
        <v>139</v>
      </c>
      <c r="R37" s="128">
        <v>10</v>
      </c>
      <c r="S37" s="130" t="s">
        <v>140</v>
      </c>
    </row>
    <row r="38" spans="1:19" x14ac:dyDescent="0.25">
      <c r="A38" s="130" t="s">
        <v>231</v>
      </c>
      <c r="B38" s="130" t="s">
        <v>232</v>
      </c>
      <c r="C38" s="130" t="s">
        <v>134</v>
      </c>
      <c r="D38" s="130" t="s">
        <v>134</v>
      </c>
      <c r="E38" s="130" t="s">
        <v>233</v>
      </c>
      <c r="F38" s="130" t="s">
        <v>234</v>
      </c>
      <c r="G38" s="130" t="s">
        <v>137</v>
      </c>
      <c r="I38" s="130" t="s">
        <v>138</v>
      </c>
      <c r="J38" s="130" t="s">
        <v>137</v>
      </c>
      <c r="K38" s="130" t="s">
        <v>233</v>
      </c>
      <c r="L38" s="130" t="s">
        <v>139</v>
      </c>
      <c r="M38" s="128">
        <v>10</v>
      </c>
      <c r="N38" s="128">
        <f t="shared" si="0"/>
        <v>0</v>
      </c>
      <c r="O38" s="130" t="s">
        <v>134</v>
      </c>
      <c r="P38" s="130" t="s">
        <v>134</v>
      </c>
      <c r="Q38" s="130" t="s">
        <v>139</v>
      </c>
      <c r="R38" s="128">
        <v>10</v>
      </c>
      <c r="S38" s="130" t="s">
        <v>140</v>
      </c>
    </row>
    <row r="39" spans="1:19" x14ac:dyDescent="0.25">
      <c r="A39" s="130" t="s">
        <v>235</v>
      </c>
      <c r="B39" s="130" t="s">
        <v>236</v>
      </c>
      <c r="C39" s="130" t="s">
        <v>134</v>
      </c>
      <c r="D39" s="130" t="s">
        <v>134</v>
      </c>
      <c r="E39" s="130" t="s">
        <v>233</v>
      </c>
      <c r="F39" s="130" t="s">
        <v>234</v>
      </c>
      <c r="G39" s="130" t="s">
        <v>137</v>
      </c>
      <c r="I39" s="130" t="s">
        <v>138</v>
      </c>
      <c r="J39" s="130" t="s">
        <v>137</v>
      </c>
      <c r="K39" s="130" t="s">
        <v>233</v>
      </c>
      <c r="L39" s="130" t="s">
        <v>139</v>
      </c>
      <c r="M39" s="128">
        <v>10</v>
      </c>
      <c r="N39" s="128">
        <f t="shared" si="0"/>
        <v>0</v>
      </c>
      <c r="O39" s="130" t="s">
        <v>134</v>
      </c>
      <c r="P39" s="130" t="s">
        <v>134</v>
      </c>
      <c r="Q39" s="130" t="s">
        <v>139</v>
      </c>
      <c r="R39" s="128">
        <v>10</v>
      </c>
      <c r="S39" s="130" t="s">
        <v>140</v>
      </c>
    </row>
    <row r="40" spans="1:19" x14ac:dyDescent="0.25">
      <c r="A40" s="130" t="s">
        <v>237</v>
      </c>
      <c r="B40" s="130" t="s">
        <v>238</v>
      </c>
      <c r="C40" s="130" t="s">
        <v>134</v>
      </c>
      <c r="D40" s="130" t="s">
        <v>134</v>
      </c>
      <c r="E40" s="130" t="s">
        <v>233</v>
      </c>
      <c r="F40" s="130" t="s">
        <v>234</v>
      </c>
      <c r="G40" s="130" t="s">
        <v>137</v>
      </c>
      <c r="I40" s="130" t="s">
        <v>138</v>
      </c>
      <c r="J40" s="130" t="s">
        <v>137</v>
      </c>
      <c r="K40" s="130" t="s">
        <v>233</v>
      </c>
      <c r="L40" s="130" t="s">
        <v>139</v>
      </c>
      <c r="M40" s="128">
        <v>10</v>
      </c>
      <c r="N40" s="128">
        <f t="shared" si="0"/>
        <v>0</v>
      </c>
      <c r="O40" s="130" t="s">
        <v>134</v>
      </c>
      <c r="P40" s="130" t="s">
        <v>134</v>
      </c>
      <c r="Q40" s="130" t="s">
        <v>139</v>
      </c>
      <c r="R40" s="128">
        <v>10</v>
      </c>
      <c r="S40" s="130" t="s">
        <v>140</v>
      </c>
    </row>
    <row r="41" spans="1:19" x14ac:dyDescent="0.25">
      <c r="A41" s="130" t="s">
        <v>239</v>
      </c>
      <c r="B41" s="130" t="s">
        <v>240</v>
      </c>
      <c r="C41" s="130" t="s">
        <v>134</v>
      </c>
      <c r="D41" s="130" t="s">
        <v>134</v>
      </c>
      <c r="E41" s="130" t="s">
        <v>233</v>
      </c>
      <c r="F41" s="130" t="s">
        <v>234</v>
      </c>
      <c r="G41" s="130" t="s">
        <v>137</v>
      </c>
      <c r="I41" s="130" t="s">
        <v>138</v>
      </c>
      <c r="J41" s="130" t="s">
        <v>137</v>
      </c>
      <c r="K41" s="130" t="s">
        <v>233</v>
      </c>
      <c r="L41" s="130" t="s">
        <v>139</v>
      </c>
      <c r="M41" s="128">
        <v>10</v>
      </c>
      <c r="N41" s="128">
        <f t="shared" si="0"/>
        <v>0</v>
      </c>
      <c r="O41" s="130" t="s">
        <v>134</v>
      </c>
      <c r="P41" s="130" t="s">
        <v>134</v>
      </c>
      <c r="Q41" s="130" t="s">
        <v>139</v>
      </c>
      <c r="R41" s="128">
        <v>10</v>
      </c>
      <c r="S41" s="130" t="s">
        <v>140</v>
      </c>
    </row>
    <row r="42" spans="1:19" x14ac:dyDescent="0.25">
      <c r="A42" s="130" t="s">
        <v>241</v>
      </c>
      <c r="B42" s="130" t="s">
        <v>242</v>
      </c>
      <c r="C42" s="130" t="s">
        <v>134</v>
      </c>
      <c r="D42" s="130" t="s">
        <v>134</v>
      </c>
      <c r="E42" s="130" t="s">
        <v>233</v>
      </c>
      <c r="F42" s="130" t="s">
        <v>234</v>
      </c>
      <c r="G42" s="130" t="s">
        <v>137</v>
      </c>
      <c r="I42" s="130" t="s">
        <v>138</v>
      </c>
      <c r="J42" s="130" t="s">
        <v>137</v>
      </c>
      <c r="K42" s="130" t="s">
        <v>233</v>
      </c>
      <c r="L42" s="130" t="s">
        <v>139</v>
      </c>
      <c r="M42" s="128">
        <v>10</v>
      </c>
      <c r="N42" s="128">
        <f t="shared" si="0"/>
        <v>0</v>
      </c>
      <c r="O42" s="130" t="s">
        <v>134</v>
      </c>
      <c r="P42" s="130" t="s">
        <v>134</v>
      </c>
      <c r="Q42" s="130" t="s">
        <v>139</v>
      </c>
      <c r="R42" s="128">
        <v>10</v>
      </c>
      <c r="S42" s="130" t="s">
        <v>140</v>
      </c>
    </row>
    <row r="43" spans="1:19" x14ac:dyDescent="0.25">
      <c r="A43" s="130" t="s">
        <v>243</v>
      </c>
      <c r="B43" s="130" t="s">
        <v>244</v>
      </c>
      <c r="C43" s="130" t="s">
        <v>134</v>
      </c>
      <c r="D43" s="130" t="s">
        <v>134</v>
      </c>
      <c r="E43" s="130" t="s">
        <v>233</v>
      </c>
      <c r="F43" s="130" t="s">
        <v>234</v>
      </c>
      <c r="G43" s="130" t="s">
        <v>137</v>
      </c>
      <c r="I43" s="130" t="s">
        <v>138</v>
      </c>
      <c r="J43" s="130" t="s">
        <v>137</v>
      </c>
      <c r="K43" s="130" t="s">
        <v>233</v>
      </c>
      <c r="L43" s="130" t="s">
        <v>139</v>
      </c>
      <c r="M43" s="128">
        <v>10</v>
      </c>
      <c r="N43" s="128">
        <f t="shared" si="0"/>
        <v>0</v>
      </c>
      <c r="O43" s="130" t="s">
        <v>134</v>
      </c>
      <c r="P43" s="130" t="s">
        <v>134</v>
      </c>
      <c r="Q43" s="130" t="s">
        <v>139</v>
      </c>
      <c r="R43" s="128">
        <v>10</v>
      </c>
      <c r="S43" s="130" t="s">
        <v>140</v>
      </c>
    </row>
    <row r="44" spans="1:19" x14ac:dyDescent="0.25">
      <c r="A44" s="130" t="s">
        <v>245</v>
      </c>
      <c r="B44" s="130" t="s">
        <v>246</v>
      </c>
      <c r="C44" s="130" t="s">
        <v>134</v>
      </c>
      <c r="D44" s="130" t="s">
        <v>134</v>
      </c>
      <c r="E44" s="130" t="s">
        <v>233</v>
      </c>
      <c r="F44" s="130" t="s">
        <v>234</v>
      </c>
      <c r="G44" s="130" t="s">
        <v>137</v>
      </c>
      <c r="I44" s="130" t="s">
        <v>138</v>
      </c>
      <c r="J44" s="130" t="s">
        <v>137</v>
      </c>
      <c r="K44" s="130" t="s">
        <v>233</v>
      </c>
      <c r="L44" s="130" t="s">
        <v>139</v>
      </c>
      <c r="M44" s="128">
        <v>10</v>
      </c>
      <c r="N44" s="128">
        <f t="shared" si="0"/>
        <v>0</v>
      </c>
      <c r="O44" s="130" t="s">
        <v>134</v>
      </c>
      <c r="P44" s="130" t="s">
        <v>134</v>
      </c>
      <c r="Q44" s="130" t="s">
        <v>139</v>
      </c>
      <c r="R44" s="128">
        <v>10</v>
      </c>
      <c r="S44" s="130" t="s">
        <v>140</v>
      </c>
    </row>
    <row r="45" spans="1:19" x14ac:dyDescent="0.25">
      <c r="A45" s="130" t="s">
        <v>247</v>
      </c>
      <c r="B45" s="130" t="s">
        <v>248</v>
      </c>
      <c r="C45" s="130" t="s">
        <v>134</v>
      </c>
      <c r="D45" s="130" t="s">
        <v>134</v>
      </c>
      <c r="E45" s="130" t="s">
        <v>233</v>
      </c>
      <c r="F45" s="130" t="s">
        <v>234</v>
      </c>
      <c r="G45" s="130" t="s">
        <v>137</v>
      </c>
      <c r="I45" s="130" t="s">
        <v>138</v>
      </c>
      <c r="J45" s="130" t="s">
        <v>137</v>
      </c>
      <c r="K45" s="130" t="s">
        <v>233</v>
      </c>
      <c r="L45" s="130" t="s">
        <v>139</v>
      </c>
      <c r="M45" s="128">
        <v>10</v>
      </c>
      <c r="N45" s="128">
        <f t="shared" si="0"/>
        <v>0</v>
      </c>
      <c r="O45" s="130" t="s">
        <v>134</v>
      </c>
      <c r="P45" s="130" t="s">
        <v>134</v>
      </c>
      <c r="Q45" s="130" t="s">
        <v>139</v>
      </c>
      <c r="R45" s="128">
        <v>10</v>
      </c>
      <c r="S45" s="130" t="s">
        <v>140</v>
      </c>
    </row>
    <row r="46" spans="1:19" x14ac:dyDescent="0.25">
      <c r="A46" s="130" t="s">
        <v>249</v>
      </c>
      <c r="B46" s="130" t="s">
        <v>250</v>
      </c>
      <c r="C46" s="130" t="s">
        <v>134</v>
      </c>
      <c r="D46" s="130" t="s">
        <v>134</v>
      </c>
      <c r="E46" s="130" t="s">
        <v>233</v>
      </c>
      <c r="F46" s="130" t="s">
        <v>234</v>
      </c>
      <c r="G46" s="130" t="s">
        <v>137</v>
      </c>
      <c r="I46" s="130" t="s">
        <v>138</v>
      </c>
      <c r="J46" s="130" t="s">
        <v>137</v>
      </c>
      <c r="K46" s="130" t="s">
        <v>233</v>
      </c>
      <c r="L46" s="130" t="s">
        <v>139</v>
      </c>
      <c r="M46" s="128">
        <v>10</v>
      </c>
      <c r="N46" s="128">
        <f t="shared" si="0"/>
        <v>0</v>
      </c>
      <c r="O46" s="130" t="s">
        <v>134</v>
      </c>
      <c r="P46" s="130" t="s">
        <v>134</v>
      </c>
      <c r="Q46" s="130" t="s">
        <v>139</v>
      </c>
      <c r="R46" s="128">
        <v>10</v>
      </c>
      <c r="S46" s="130" t="s">
        <v>140</v>
      </c>
    </row>
    <row r="47" spans="1:19" x14ac:dyDescent="0.25">
      <c r="A47" s="130" t="s">
        <v>251</v>
      </c>
      <c r="B47" s="130" t="s">
        <v>252</v>
      </c>
      <c r="C47" s="130" t="s">
        <v>134</v>
      </c>
      <c r="D47" s="130" t="s">
        <v>134</v>
      </c>
      <c r="E47" s="130" t="s">
        <v>233</v>
      </c>
      <c r="F47" s="130" t="s">
        <v>234</v>
      </c>
      <c r="G47" s="130" t="s">
        <v>137</v>
      </c>
      <c r="I47" s="130" t="s">
        <v>138</v>
      </c>
      <c r="J47" s="130" t="s">
        <v>137</v>
      </c>
      <c r="K47" s="130" t="s">
        <v>233</v>
      </c>
      <c r="L47" s="130" t="s">
        <v>139</v>
      </c>
      <c r="M47" s="128">
        <v>10</v>
      </c>
      <c r="N47" s="128">
        <f t="shared" si="0"/>
        <v>0</v>
      </c>
      <c r="O47" s="130" t="s">
        <v>134</v>
      </c>
      <c r="P47" s="130" t="s">
        <v>134</v>
      </c>
      <c r="Q47" s="130" t="s">
        <v>139</v>
      </c>
      <c r="R47" s="128">
        <v>10</v>
      </c>
      <c r="S47" s="130" t="s">
        <v>140</v>
      </c>
    </row>
    <row r="48" spans="1:19" x14ac:dyDescent="0.25">
      <c r="A48" s="130" t="s">
        <v>253</v>
      </c>
      <c r="B48" s="130" t="s">
        <v>254</v>
      </c>
      <c r="C48" s="130" t="s">
        <v>134</v>
      </c>
      <c r="D48" s="130" t="s">
        <v>134</v>
      </c>
      <c r="E48" s="130" t="s">
        <v>253</v>
      </c>
      <c r="F48" s="130" t="s">
        <v>255</v>
      </c>
      <c r="G48" s="130" t="s">
        <v>137</v>
      </c>
      <c r="I48" s="130" t="s">
        <v>138</v>
      </c>
      <c r="J48" s="130" t="s">
        <v>137</v>
      </c>
      <c r="K48" s="130" t="s">
        <v>253</v>
      </c>
      <c r="L48" s="130" t="s">
        <v>139</v>
      </c>
      <c r="M48" s="128">
        <v>10</v>
      </c>
      <c r="N48" s="128">
        <f t="shared" si="0"/>
        <v>0</v>
      </c>
      <c r="O48" s="130" t="s">
        <v>134</v>
      </c>
      <c r="P48" s="130" t="s">
        <v>134</v>
      </c>
      <c r="Q48" s="130" t="s">
        <v>139</v>
      </c>
      <c r="R48" s="128">
        <v>10</v>
      </c>
      <c r="S48" s="130" t="s">
        <v>140</v>
      </c>
    </row>
    <row r="49" spans="1:19" x14ac:dyDescent="0.25">
      <c r="A49" s="130" t="s">
        <v>256</v>
      </c>
      <c r="B49" s="130" t="s">
        <v>257</v>
      </c>
      <c r="C49" s="130" t="s">
        <v>134</v>
      </c>
      <c r="D49" s="130" t="s">
        <v>134</v>
      </c>
      <c r="E49" s="130" t="s">
        <v>253</v>
      </c>
      <c r="F49" s="130" t="s">
        <v>255</v>
      </c>
      <c r="G49" s="130" t="s">
        <v>137</v>
      </c>
      <c r="I49" s="130" t="s">
        <v>138</v>
      </c>
      <c r="J49" s="130" t="s">
        <v>137</v>
      </c>
      <c r="K49" s="130" t="s">
        <v>253</v>
      </c>
      <c r="L49" s="130" t="s">
        <v>139</v>
      </c>
      <c r="M49" s="128">
        <v>10</v>
      </c>
      <c r="N49" s="128">
        <f t="shared" si="0"/>
        <v>0</v>
      </c>
      <c r="O49" s="130" t="s">
        <v>134</v>
      </c>
      <c r="P49" s="130" t="s">
        <v>134</v>
      </c>
      <c r="Q49" s="130" t="s">
        <v>139</v>
      </c>
      <c r="R49" s="128">
        <v>10</v>
      </c>
      <c r="S49" s="130" t="s">
        <v>140</v>
      </c>
    </row>
    <row r="50" spans="1:19" x14ac:dyDescent="0.25">
      <c r="A50" s="130" t="s">
        <v>258</v>
      </c>
      <c r="B50" s="130" t="s">
        <v>259</v>
      </c>
      <c r="C50" s="130" t="s">
        <v>134</v>
      </c>
      <c r="D50" s="130" t="s">
        <v>134</v>
      </c>
      <c r="E50" s="130" t="s">
        <v>253</v>
      </c>
      <c r="F50" s="130" t="s">
        <v>255</v>
      </c>
      <c r="G50" s="130" t="s">
        <v>137</v>
      </c>
      <c r="I50" s="130" t="s">
        <v>138</v>
      </c>
      <c r="J50" s="130" t="s">
        <v>137</v>
      </c>
      <c r="K50" s="130" t="s">
        <v>253</v>
      </c>
      <c r="L50" s="130" t="s">
        <v>139</v>
      </c>
      <c r="M50" s="128">
        <v>10</v>
      </c>
      <c r="N50" s="128">
        <f t="shared" si="0"/>
        <v>0</v>
      </c>
      <c r="O50" s="130" t="s">
        <v>134</v>
      </c>
      <c r="P50" s="130" t="s">
        <v>134</v>
      </c>
      <c r="Q50" s="130" t="s">
        <v>139</v>
      </c>
      <c r="R50" s="128">
        <v>10</v>
      </c>
      <c r="S50" s="130" t="s">
        <v>140</v>
      </c>
    </row>
    <row r="51" spans="1:19" x14ac:dyDescent="0.25">
      <c r="A51" s="130" t="s">
        <v>260</v>
      </c>
      <c r="B51" s="130" t="s">
        <v>261</v>
      </c>
      <c r="C51" s="130" t="s">
        <v>159</v>
      </c>
      <c r="D51" s="130" t="s">
        <v>159</v>
      </c>
      <c r="E51" s="130" t="s">
        <v>253</v>
      </c>
      <c r="F51" s="130" t="s">
        <v>255</v>
      </c>
      <c r="G51" s="130" t="s">
        <v>137</v>
      </c>
      <c r="I51" s="130" t="s">
        <v>138</v>
      </c>
      <c r="J51" s="130" t="s">
        <v>137</v>
      </c>
      <c r="K51" s="130" t="s">
        <v>253</v>
      </c>
      <c r="L51" s="130" t="s">
        <v>139</v>
      </c>
      <c r="M51" s="128">
        <v>10</v>
      </c>
      <c r="N51" s="128">
        <f t="shared" si="0"/>
        <v>0</v>
      </c>
      <c r="O51" s="130" t="s">
        <v>159</v>
      </c>
      <c r="P51" s="130" t="s">
        <v>159</v>
      </c>
      <c r="Q51" s="130" t="s">
        <v>160</v>
      </c>
      <c r="R51" s="128">
        <v>0</v>
      </c>
      <c r="S51" s="130" t="s">
        <v>140</v>
      </c>
    </row>
    <row r="52" spans="1:19" x14ac:dyDescent="0.25">
      <c r="A52" s="130" t="s">
        <v>262</v>
      </c>
      <c r="B52" s="130" t="s">
        <v>263</v>
      </c>
      <c r="C52" s="130" t="s">
        <v>134</v>
      </c>
      <c r="D52" s="130" t="s">
        <v>134</v>
      </c>
      <c r="E52" s="130" t="s">
        <v>253</v>
      </c>
      <c r="F52" s="130" t="s">
        <v>255</v>
      </c>
      <c r="G52" s="130" t="s">
        <v>137</v>
      </c>
      <c r="I52" s="130" t="s">
        <v>138</v>
      </c>
      <c r="J52" s="130" t="s">
        <v>137</v>
      </c>
      <c r="K52" s="130" t="s">
        <v>253</v>
      </c>
      <c r="L52" s="130" t="s">
        <v>139</v>
      </c>
      <c r="M52" s="128">
        <v>10</v>
      </c>
      <c r="N52" s="128">
        <f t="shared" si="0"/>
        <v>0</v>
      </c>
      <c r="O52" s="130" t="s">
        <v>134</v>
      </c>
      <c r="P52" s="130" t="s">
        <v>134</v>
      </c>
      <c r="Q52" s="130" t="s">
        <v>139</v>
      </c>
      <c r="R52" s="128">
        <v>10</v>
      </c>
      <c r="S52" s="130" t="s">
        <v>140</v>
      </c>
    </row>
    <row r="53" spans="1:19" x14ac:dyDescent="0.25">
      <c r="A53" s="130" t="s">
        <v>264</v>
      </c>
      <c r="B53" s="130" t="s">
        <v>265</v>
      </c>
      <c r="C53" s="130" t="s">
        <v>134</v>
      </c>
      <c r="D53" s="130" t="s">
        <v>134</v>
      </c>
      <c r="E53" s="130" t="s">
        <v>253</v>
      </c>
      <c r="F53" s="130" t="s">
        <v>255</v>
      </c>
      <c r="G53" s="130" t="s">
        <v>137</v>
      </c>
      <c r="I53" s="130" t="s">
        <v>138</v>
      </c>
      <c r="J53" s="130" t="s">
        <v>137</v>
      </c>
      <c r="K53" s="130" t="s">
        <v>253</v>
      </c>
      <c r="L53" s="130" t="s">
        <v>139</v>
      </c>
      <c r="M53" s="128">
        <v>10</v>
      </c>
      <c r="N53" s="128">
        <f t="shared" si="0"/>
        <v>0</v>
      </c>
      <c r="O53" s="130" t="s">
        <v>134</v>
      </c>
      <c r="P53" s="130" t="s">
        <v>134</v>
      </c>
      <c r="Q53" s="130" t="s">
        <v>139</v>
      </c>
      <c r="R53" s="128">
        <v>10</v>
      </c>
      <c r="S53" s="130" t="s">
        <v>140</v>
      </c>
    </row>
    <row r="54" spans="1:19" x14ac:dyDescent="0.25">
      <c r="A54" s="130" t="s">
        <v>266</v>
      </c>
      <c r="B54" s="130" t="s">
        <v>267</v>
      </c>
      <c r="C54" s="130" t="s">
        <v>134</v>
      </c>
      <c r="D54" s="130" t="s">
        <v>134</v>
      </c>
      <c r="E54" s="130" t="s">
        <v>253</v>
      </c>
      <c r="F54" s="130" t="s">
        <v>255</v>
      </c>
      <c r="G54" s="130" t="s">
        <v>137</v>
      </c>
      <c r="I54" s="130" t="s">
        <v>138</v>
      </c>
      <c r="J54" s="130" t="s">
        <v>137</v>
      </c>
      <c r="K54" s="130" t="s">
        <v>253</v>
      </c>
      <c r="L54" s="130" t="s">
        <v>139</v>
      </c>
      <c r="M54" s="128">
        <v>10</v>
      </c>
      <c r="N54" s="128">
        <f t="shared" si="0"/>
        <v>0</v>
      </c>
      <c r="O54" s="130" t="s">
        <v>134</v>
      </c>
      <c r="P54" s="130" t="s">
        <v>134</v>
      </c>
      <c r="Q54" s="130" t="s">
        <v>139</v>
      </c>
      <c r="R54" s="128">
        <v>10</v>
      </c>
      <c r="S54" s="130" t="s">
        <v>140</v>
      </c>
    </row>
    <row r="55" spans="1:19" x14ac:dyDescent="0.25">
      <c r="A55" s="130" t="s">
        <v>268</v>
      </c>
      <c r="B55" s="130" t="s">
        <v>269</v>
      </c>
      <c r="C55" s="130" t="s">
        <v>159</v>
      </c>
      <c r="D55" s="130" t="s">
        <v>159</v>
      </c>
      <c r="E55" s="130" t="s">
        <v>253</v>
      </c>
      <c r="F55" s="130" t="s">
        <v>255</v>
      </c>
      <c r="G55" s="130" t="s">
        <v>137</v>
      </c>
      <c r="I55" s="130" t="s">
        <v>138</v>
      </c>
      <c r="J55" s="130" t="s">
        <v>137</v>
      </c>
      <c r="K55" s="130" t="s">
        <v>253</v>
      </c>
      <c r="L55" s="130" t="s">
        <v>139</v>
      </c>
      <c r="M55" s="128">
        <v>10</v>
      </c>
      <c r="N55" s="128">
        <f t="shared" si="0"/>
        <v>0</v>
      </c>
      <c r="O55" s="130" t="s">
        <v>159</v>
      </c>
      <c r="P55" s="130" t="s">
        <v>159</v>
      </c>
      <c r="Q55" s="130" t="s">
        <v>160</v>
      </c>
      <c r="R55" s="128">
        <v>0</v>
      </c>
      <c r="S55" s="130" t="s">
        <v>140</v>
      </c>
    </row>
    <row r="56" spans="1:19" x14ac:dyDescent="0.25">
      <c r="A56" s="130" t="s">
        <v>270</v>
      </c>
      <c r="B56" s="130" t="s">
        <v>271</v>
      </c>
      <c r="C56" s="130" t="s">
        <v>159</v>
      </c>
      <c r="D56" s="130" t="s">
        <v>159</v>
      </c>
      <c r="E56" s="130" t="s">
        <v>253</v>
      </c>
      <c r="F56" s="130" t="s">
        <v>255</v>
      </c>
      <c r="G56" s="130" t="s">
        <v>137</v>
      </c>
      <c r="I56" s="130" t="s">
        <v>138</v>
      </c>
      <c r="J56" s="130" t="s">
        <v>137</v>
      </c>
      <c r="K56" s="130" t="s">
        <v>253</v>
      </c>
      <c r="L56" s="130" t="s">
        <v>139</v>
      </c>
      <c r="M56" s="128">
        <v>10</v>
      </c>
      <c r="N56" s="128">
        <f t="shared" si="0"/>
        <v>0</v>
      </c>
      <c r="O56" s="130" t="s">
        <v>159</v>
      </c>
      <c r="P56" s="130" t="s">
        <v>159</v>
      </c>
      <c r="Q56" s="130" t="s">
        <v>160</v>
      </c>
      <c r="R56" s="128">
        <v>0</v>
      </c>
      <c r="S56" s="130" t="s">
        <v>140</v>
      </c>
    </row>
    <row r="57" spans="1:19" x14ac:dyDescent="0.25">
      <c r="A57" s="130" t="s">
        <v>272</v>
      </c>
      <c r="B57" s="130" t="s">
        <v>273</v>
      </c>
      <c r="C57" s="130" t="s">
        <v>159</v>
      </c>
      <c r="D57" s="130" t="s">
        <v>159</v>
      </c>
      <c r="E57" s="130" t="s">
        <v>253</v>
      </c>
      <c r="F57" s="130" t="s">
        <v>255</v>
      </c>
      <c r="G57" s="130" t="s">
        <v>137</v>
      </c>
      <c r="I57" s="130" t="s">
        <v>138</v>
      </c>
      <c r="J57" s="130" t="s">
        <v>137</v>
      </c>
      <c r="K57" s="130" t="s">
        <v>253</v>
      </c>
      <c r="L57" s="130" t="s">
        <v>139</v>
      </c>
      <c r="M57" s="128">
        <v>10</v>
      </c>
      <c r="N57" s="128">
        <f t="shared" si="0"/>
        <v>0</v>
      </c>
      <c r="O57" s="130" t="s">
        <v>159</v>
      </c>
      <c r="P57" s="130" t="s">
        <v>159</v>
      </c>
      <c r="Q57" s="130" t="s">
        <v>160</v>
      </c>
      <c r="R57" s="128">
        <v>0</v>
      </c>
      <c r="S57" s="130" t="s">
        <v>140</v>
      </c>
    </row>
    <row r="58" spans="1:19" x14ac:dyDescent="0.25">
      <c r="A58" s="130" t="s">
        <v>274</v>
      </c>
      <c r="B58" s="130" t="s">
        <v>275</v>
      </c>
      <c r="C58" s="130" t="s">
        <v>159</v>
      </c>
      <c r="D58" s="130" t="s">
        <v>159</v>
      </c>
      <c r="E58" s="130" t="s">
        <v>253</v>
      </c>
      <c r="F58" s="130" t="s">
        <v>255</v>
      </c>
      <c r="G58" s="130" t="s">
        <v>137</v>
      </c>
      <c r="I58" s="130" t="s">
        <v>138</v>
      </c>
      <c r="J58" s="130" t="s">
        <v>137</v>
      </c>
      <c r="K58" s="130" t="s">
        <v>253</v>
      </c>
      <c r="L58" s="130" t="s">
        <v>139</v>
      </c>
      <c r="M58" s="128">
        <v>10</v>
      </c>
      <c r="N58" s="128">
        <f t="shared" si="0"/>
        <v>0</v>
      </c>
      <c r="O58" s="130" t="s">
        <v>159</v>
      </c>
      <c r="P58" s="130" t="s">
        <v>159</v>
      </c>
      <c r="Q58" s="130" t="s">
        <v>160</v>
      </c>
      <c r="R58" s="128">
        <v>0</v>
      </c>
      <c r="S58" s="130" t="s">
        <v>140</v>
      </c>
    </row>
    <row r="59" spans="1:19" x14ac:dyDescent="0.25">
      <c r="A59" s="130" t="s">
        <v>276</v>
      </c>
      <c r="B59" s="130" t="s">
        <v>277</v>
      </c>
      <c r="C59" s="130" t="s">
        <v>134</v>
      </c>
      <c r="D59" s="130" t="s">
        <v>134</v>
      </c>
      <c r="E59" s="130" t="s">
        <v>253</v>
      </c>
      <c r="F59" s="130" t="s">
        <v>255</v>
      </c>
      <c r="G59" s="130" t="s">
        <v>137</v>
      </c>
      <c r="I59" s="130" t="s">
        <v>138</v>
      </c>
      <c r="J59" s="130" t="s">
        <v>137</v>
      </c>
      <c r="K59" s="130" t="s">
        <v>253</v>
      </c>
      <c r="L59" s="130" t="s">
        <v>139</v>
      </c>
      <c r="M59" s="128">
        <v>10</v>
      </c>
      <c r="N59" s="128">
        <f t="shared" si="0"/>
        <v>0</v>
      </c>
      <c r="O59" s="130" t="s">
        <v>134</v>
      </c>
      <c r="P59" s="130" t="s">
        <v>134</v>
      </c>
      <c r="Q59" s="130" t="s">
        <v>139</v>
      </c>
      <c r="R59" s="128">
        <v>10</v>
      </c>
      <c r="S59" s="130" t="s">
        <v>140</v>
      </c>
    </row>
    <row r="60" spans="1:19" x14ac:dyDescent="0.25">
      <c r="A60" s="130" t="s">
        <v>278</v>
      </c>
      <c r="B60" s="130" t="s">
        <v>279</v>
      </c>
      <c r="C60" s="130" t="s">
        <v>159</v>
      </c>
      <c r="D60" s="130" t="s">
        <v>159</v>
      </c>
      <c r="E60" s="130" t="s">
        <v>278</v>
      </c>
      <c r="F60" s="130" t="s">
        <v>279</v>
      </c>
      <c r="G60" s="130" t="s">
        <v>137</v>
      </c>
      <c r="I60" s="130" t="s">
        <v>138</v>
      </c>
      <c r="J60" s="130" t="s">
        <v>137</v>
      </c>
      <c r="K60" s="130" t="s">
        <v>278</v>
      </c>
      <c r="L60" s="130" t="s">
        <v>139</v>
      </c>
      <c r="M60" s="128">
        <v>10</v>
      </c>
      <c r="N60" s="128">
        <f t="shared" si="0"/>
        <v>0</v>
      </c>
      <c r="O60" s="130" t="s">
        <v>159</v>
      </c>
      <c r="P60" s="130" t="s">
        <v>159</v>
      </c>
      <c r="Q60" s="130" t="s">
        <v>160</v>
      </c>
      <c r="R60" s="128">
        <v>0</v>
      </c>
      <c r="S60" s="130" t="s">
        <v>140</v>
      </c>
    </row>
    <row r="61" spans="1:19" x14ac:dyDescent="0.25">
      <c r="A61" s="130" t="s">
        <v>280</v>
      </c>
      <c r="B61" s="130" t="s">
        <v>281</v>
      </c>
      <c r="C61" s="130" t="s">
        <v>159</v>
      </c>
      <c r="D61" s="130" t="s">
        <v>159</v>
      </c>
      <c r="E61" s="130" t="s">
        <v>253</v>
      </c>
      <c r="F61" s="130" t="s">
        <v>255</v>
      </c>
      <c r="G61" s="130" t="s">
        <v>137</v>
      </c>
      <c r="I61" s="130" t="s">
        <v>138</v>
      </c>
      <c r="J61" s="130" t="s">
        <v>137</v>
      </c>
      <c r="K61" s="130" t="s">
        <v>253</v>
      </c>
      <c r="L61" s="130" t="s">
        <v>139</v>
      </c>
      <c r="M61" s="128">
        <v>10</v>
      </c>
      <c r="N61" s="128">
        <f t="shared" si="0"/>
        <v>0</v>
      </c>
      <c r="O61" s="130" t="s">
        <v>159</v>
      </c>
      <c r="P61" s="130" t="s">
        <v>159</v>
      </c>
      <c r="Q61" s="130" t="s">
        <v>160</v>
      </c>
      <c r="R61" s="128">
        <v>0</v>
      </c>
      <c r="S61" s="130" t="s">
        <v>140</v>
      </c>
    </row>
    <row r="62" spans="1:19" x14ac:dyDescent="0.25">
      <c r="A62" s="130" t="s">
        <v>282</v>
      </c>
      <c r="B62" s="130" t="s">
        <v>283</v>
      </c>
      <c r="C62" s="130" t="s">
        <v>159</v>
      </c>
      <c r="D62" s="130" t="s">
        <v>159</v>
      </c>
      <c r="E62" s="130" t="s">
        <v>284</v>
      </c>
      <c r="F62" s="130" t="s">
        <v>285</v>
      </c>
      <c r="G62" s="130" t="s">
        <v>159</v>
      </c>
      <c r="I62" s="130" t="s">
        <v>138</v>
      </c>
      <c r="J62" s="130" t="s">
        <v>137</v>
      </c>
      <c r="K62" s="130" t="s">
        <v>284</v>
      </c>
      <c r="L62" s="130" t="s">
        <v>139</v>
      </c>
      <c r="M62" s="128">
        <v>10</v>
      </c>
      <c r="N62" s="128">
        <f t="shared" si="0"/>
        <v>0</v>
      </c>
      <c r="O62" s="130" t="s">
        <v>159</v>
      </c>
      <c r="P62" s="130" t="s">
        <v>159</v>
      </c>
      <c r="Q62" s="130" t="s">
        <v>160</v>
      </c>
      <c r="R62" s="128">
        <v>0</v>
      </c>
      <c r="S62" s="130" t="s">
        <v>140</v>
      </c>
    </row>
    <row r="63" spans="1:19" x14ac:dyDescent="0.25">
      <c r="A63" s="130" t="s">
        <v>286</v>
      </c>
      <c r="B63" s="130" t="s">
        <v>287</v>
      </c>
      <c r="C63" s="130" t="s">
        <v>134</v>
      </c>
      <c r="D63" s="130" t="s">
        <v>134</v>
      </c>
      <c r="E63" s="130" t="s">
        <v>288</v>
      </c>
      <c r="F63" s="130" t="s">
        <v>289</v>
      </c>
      <c r="G63" s="130" t="s">
        <v>137</v>
      </c>
      <c r="I63" s="130" t="s">
        <v>138</v>
      </c>
      <c r="J63" s="130" t="s">
        <v>137</v>
      </c>
      <c r="K63" s="130" t="s">
        <v>288</v>
      </c>
      <c r="L63" s="130" t="s">
        <v>139</v>
      </c>
      <c r="M63" s="128">
        <v>6</v>
      </c>
      <c r="N63" s="128">
        <f t="shared" si="0"/>
        <v>-4</v>
      </c>
      <c r="O63" s="130" t="s">
        <v>134</v>
      </c>
      <c r="P63" s="130" t="s">
        <v>134</v>
      </c>
      <c r="Q63" s="130" t="s">
        <v>139</v>
      </c>
      <c r="R63" s="128">
        <v>6</v>
      </c>
      <c r="S63" s="130" t="s">
        <v>290</v>
      </c>
    </row>
    <row r="64" spans="1:19" x14ac:dyDescent="0.25">
      <c r="A64" s="130" t="s">
        <v>291</v>
      </c>
      <c r="B64" s="130" t="s">
        <v>292</v>
      </c>
      <c r="C64" s="130" t="s">
        <v>134</v>
      </c>
      <c r="D64" s="130" t="s">
        <v>134</v>
      </c>
      <c r="E64" s="130" t="s">
        <v>288</v>
      </c>
      <c r="F64" s="130" t="s">
        <v>289</v>
      </c>
      <c r="G64" s="130" t="s">
        <v>137</v>
      </c>
      <c r="I64" s="130" t="s">
        <v>138</v>
      </c>
      <c r="J64" s="130" t="s">
        <v>137</v>
      </c>
      <c r="K64" s="130" t="s">
        <v>288</v>
      </c>
      <c r="L64" s="130" t="s">
        <v>139</v>
      </c>
      <c r="M64" s="128">
        <v>6</v>
      </c>
      <c r="N64" s="128">
        <f t="shared" si="0"/>
        <v>-4</v>
      </c>
      <c r="O64" s="130" t="s">
        <v>134</v>
      </c>
      <c r="P64" s="130" t="s">
        <v>134</v>
      </c>
      <c r="Q64" s="130" t="s">
        <v>139</v>
      </c>
      <c r="R64" s="128">
        <v>6</v>
      </c>
      <c r="S64" s="130" t="s">
        <v>290</v>
      </c>
    </row>
    <row r="65" spans="1:19" x14ac:dyDescent="0.25">
      <c r="A65" s="130" t="s">
        <v>293</v>
      </c>
      <c r="B65" s="130" t="s">
        <v>294</v>
      </c>
      <c r="C65" s="130" t="s">
        <v>134</v>
      </c>
      <c r="D65" s="130" t="s">
        <v>134</v>
      </c>
      <c r="E65" s="130" t="s">
        <v>288</v>
      </c>
      <c r="F65" s="130" t="s">
        <v>289</v>
      </c>
      <c r="G65" s="130" t="s">
        <v>137</v>
      </c>
      <c r="I65" s="130" t="s">
        <v>138</v>
      </c>
      <c r="J65" s="130" t="s">
        <v>137</v>
      </c>
      <c r="K65" s="130" t="s">
        <v>288</v>
      </c>
      <c r="L65" s="130" t="s">
        <v>139</v>
      </c>
      <c r="M65" s="128">
        <v>6</v>
      </c>
      <c r="N65" s="128">
        <f t="shared" si="0"/>
        <v>-4</v>
      </c>
      <c r="O65" s="130" t="s">
        <v>134</v>
      </c>
      <c r="P65" s="130" t="s">
        <v>134</v>
      </c>
      <c r="Q65" s="130" t="s">
        <v>139</v>
      </c>
      <c r="R65" s="128">
        <v>6</v>
      </c>
      <c r="S65" s="130" t="s">
        <v>290</v>
      </c>
    </row>
    <row r="66" spans="1:19" x14ac:dyDescent="0.25">
      <c r="A66" s="130" t="s">
        <v>288</v>
      </c>
      <c r="B66" s="130" t="s">
        <v>295</v>
      </c>
      <c r="C66" s="130" t="s">
        <v>134</v>
      </c>
      <c r="D66" s="130" t="s">
        <v>134</v>
      </c>
      <c r="E66" s="130" t="s">
        <v>288</v>
      </c>
      <c r="F66" s="130" t="s">
        <v>289</v>
      </c>
      <c r="G66" s="130" t="s">
        <v>137</v>
      </c>
      <c r="I66" s="130" t="s">
        <v>138</v>
      </c>
      <c r="J66" s="130" t="s">
        <v>137</v>
      </c>
      <c r="K66" s="130" t="s">
        <v>288</v>
      </c>
      <c r="L66" s="130" t="s">
        <v>139</v>
      </c>
      <c r="M66" s="128">
        <v>6</v>
      </c>
      <c r="N66" s="128">
        <f t="shared" si="0"/>
        <v>-4</v>
      </c>
      <c r="O66" s="130" t="s">
        <v>134</v>
      </c>
      <c r="P66" s="130" t="s">
        <v>134</v>
      </c>
      <c r="Q66" s="130" t="s">
        <v>139</v>
      </c>
      <c r="R66" s="128">
        <v>6</v>
      </c>
      <c r="S66" s="130" t="s">
        <v>290</v>
      </c>
    </row>
    <row r="67" spans="1:19" x14ac:dyDescent="0.25">
      <c r="A67" s="130" t="s">
        <v>296</v>
      </c>
      <c r="B67" s="130" t="s">
        <v>297</v>
      </c>
      <c r="C67" s="130" t="s">
        <v>159</v>
      </c>
      <c r="D67" s="130" t="s">
        <v>159</v>
      </c>
      <c r="E67" s="130" t="s">
        <v>298</v>
      </c>
      <c r="F67" s="130" t="s">
        <v>297</v>
      </c>
      <c r="G67" s="130" t="s">
        <v>137</v>
      </c>
      <c r="I67" s="130" t="s">
        <v>138</v>
      </c>
      <c r="J67" s="130" t="s">
        <v>137</v>
      </c>
      <c r="K67" s="130" t="s">
        <v>298</v>
      </c>
      <c r="L67" s="130" t="s">
        <v>139</v>
      </c>
      <c r="M67" s="128">
        <v>6</v>
      </c>
      <c r="N67" s="128">
        <f t="shared" ref="N67:N130" si="1">M67-L67</f>
        <v>-4</v>
      </c>
      <c r="O67" s="130" t="s">
        <v>159</v>
      </c>
      <c r="P67" s="130" t="s">
        <v>159</v>
      </c>
      <c r="Q67" s="130" t="s">
        <v>160</v>
      </c>
      <c r="R67" s="128">
        <v>0</v>
      </c>
      <c r="S67" s="130" t="s">
        <v>290</v>
      </c>
    </row>
    <row r="68" spans="1:19" x14ac:dyDescent="0.25">
      <c r="A68" s="130" t="s">
        <v>299</v>
      </c>
      <c r="B68" s="130" t="s">
        <v>300</v>
      </c>
      <c r="C68" s="130" t="s">
        <v>159</v>
      </c>
      <c r="D68" s="130" t="s">
        <v>159</v>
      </c>
      <c r="E68" s="130" t="s">
        <v>299</v>
      </c>
      <c r="F68" s="130" t="s">
        <v>300</v>
      </c>
      <c r="G68" s="130" t="s">
        <v>137</v>
      </c>
      <c r="I68" s="130" t="s">
        <v>138</v>
      </c>
      <c r="J68" s="130" t="s">
        <v>137</v>
      </c>
      <c r="K68" s="130" t="s">
        <v>299</v>
      </c>
      <c r="L68" s="130" t="s">
        <v>139</v>
      </c>
      <c r="M68" s="128">
        <v>6</v>
      </c>
      <c r="N68" s="128">
        <f t="shared" si="1"/>
        <v>-4</v>
      </c>
      <c r="O68" s="130" t="s">
        <v>159</v>
      </c>
      <c r="P68" s="130" t="s">
        <v>159</v>
      </c>
      <c r="Q68" s="130" t="s">
        <v>160</v>
      </c>
      <c r="R68" s="128">
        <v>0</v>
      </c>
      <c r="S68" s="130" t="s">
        <v>290</v>
      </c>
    </row>
    <row r="69" spans="1:19" x14ac:dyDescent="0.25">
      <c r="A69" s="130" t="s">
        <v>301</v>
      </c>
      <c r="B69" s="130" t="s">
        <v>302</v>
      </c>
      <c r="C69" s="130" t="s">
        <v>159</v>
      </c>
      <c r="D69" s="130" t="s">
        <v>159</v>
      </c>
      <c r="E69" s="130" t="s">
        <v>301</v>
      </c>
      <c r="F69" s="130" t="s">
        <v>302</v>
      </c>
      <c r="G69" s="130" t="s">
        <v>137</v>
      </c>
      <c r="I69" s="130" t="s">
        <v>138</v>
      </c>
      <c r="J69" s="130" t="s">
        <v>137</v>
      </c>
      <c r="K69" s="130" t="s">
        <v>301</v>
      </c>
      <c r="L69" s="130" t="s">
        <v>139</v>
      </c>
      <c r="M69" s="128">
        <v>6</v>
      </c>
      <c r="N69" s="128">
        <f t="shared" si="1"/>
        <v>-4</v>
      </c>
      <c r="O69" s="130" t="s">
        <v>159</v>
      </c>
      <c r="P69" s="130" t="s">
        <v>159</v>
      </c>
      <c r="Q69" s="130" t="s">
        <v>160</v>
      </c>
      <c r="R69" s="128">
        <v>0</v>
      </c>
      <c r="S69" s="130" t="s">
        <v>290</v>
      </c>
    </row>
    <row r="70" spans="1:19" x14ac:dyDescent="0.25">
      <c r="A70" s="131" t="s">
        <v>303</v>
      </c>
      <c r="B70" s="131" t="s">
        <v>304</v>
      </c>
      <c r="C70" s="130" t="s">
        <v>159</v>
      </c>
      <c r="D70" s="130" t="s">
        <v>159</v>
      </c>
      <c r="E70" s="130" t="s">
        <v>303</v>
      </c>
      <c r="F70" s="130" t="s">
        <v>305</v>
      </c>
      <c r="G70" s="130" t="s">
        <v>137</v>
      </c>
      <c r="I70" s="130" t="s">
        <v>138</v>
      </c>
      <c r="J70" s="130" t="s">
        <v>137</v>
      </c>
      <c r="K70" s="130" t="s">
        <v>303</v>
      </c>
      <c r="L70" s="130" t="s">
        <v>139</v>
      </c>
      <c r="M70" s="128">
        <v>10</v>
      </c>
      <c r="N70" s="128">
        <f t="shared" si="1"/>
        <v>0</v>
      </c>
      <c r="O70" s="130" t="s">
        <v>159</v>
      </c>
      <c r="P70" s="130" t="s">
        <v>159</v>
      </c>
      <c r="Q70" s="130" t="s">
        <v>160</v>
      </c>
      <c r="R70" s="128">
        <v>0</v>
      </c>
      <c r="S70" s="130" t="s">
        <v>306</v>
      </c>
    </row>
    <row r="71" spans="1:19" x14ac:dyDescent="0.25">
      <c r="A71" s="130" t="s">
        <v>307</v>
      </c>
      <c r="B71" s="130" t="s">
        <v>308</v>
      </c>
      <c r="C71" s="130" t="s">
        <v>159</v>
      </c>
      <c r="D71" s="130" t="s">
        <v>159</v>
      </c>
      <c r="E71" s="130" t="s">
        <v>303</v>
      </c>
      <c r="F71" s="130" t="s">
        <v>305</v>
      </c>
      <c r="G71" s="130" t="s">
        <v>137</v>
      </c>
      <c r="I71" s="130" t="s">
        <v>138</v>
      </c>
      <c r="J71" s="130" t="s">
        <v>137</v>
      </c>
      <c r="K71" s="130" t="s">
        <v>303</v>
      </c>
      <c r="L71" s="130" t="s">
        <v>139</v>
      </c>
      <c r="M71" s="128">
        <v>10</v>
      </c>
      <c r="N71" s="128">
        <f t="shared" si="1"/>
        <v>0</v>
      </c>
      <c r="O71" s="130" t="s">
        <v>159</v>
      </c>
      <c r="P71" s="130" t="s">
        <v>159</v>
      </c>
      <c r="Q71" s="130" t="s">
        <v>160</v>
      </c>
      <c r="R71" s="128">
        <v>0</v>
      </c>
      <c r="S71" s="130" t="s">
        <v>306</v>
      </c>
    </row>
    <row r="72" spans="1:19" x14ac:dyDescent="0.25">
      <c r="A72" s="130" t="s">
        <v>309</v>
      </c>
      <c r="B72" s="130" t="s">
        <v>310</v>
      </c>
      <c r="C72" s="130" t="s">
        <v>159</v>
      </c>
      <c r="D72" s="130" t="s">
        <v>159</v>
      </c>
      <c r="E72" s="130" t="s">
        <v>303</v>
      </c>
      <c r="F72" s="130" t="s">
        <v>305</v>
      </c>
      <c r="G72" s="130" t="s">
        <v>137</v>
      </c>
      <c r="I72" s="130" t="s">
        <v>138</v>
      </c>
      <c r="J72" s="130" t="s">
        <v>137</v>
      </c>
      <c r="K72" s="130" t="s">
        <v>303</v>
      </c>
      <c r="L72" s="130" t="s">
        <v>139</v>
      </c>
      <c r="M72" s="128">
        <v>10</v>
      </c>
      <c r="N72" s="128">
        <f t="shared" si="1"/>
        <v>0</v>
      </c>
      <c r="O72" s="130" t="s">
        <v>159</v>
      </c>
      <c r="P72" s="130" t="s">
        <v>159</v>
      </c>
      <c r="Q72" s="130" t="s">
        <v>160</v>
      </c>
      <c r="R72" s="128">
        <v>0</v>
      </c>
      <c r="S72" s="130" t="s">
        <v>306</v>
      </c>
    </row>
    <row r="73" spans="1:19" x14ac:dyDescent="0.25">
      <c r="A73" s="130" t="s">
        <v>311</v>
      </c>
      <c r="B73" s="130" t="s">
        <v>312</v>
      </c>
      <c r="C73" s="130" t="s">
        <v>159</v>
      </c>
      <c r="D73" s="130" t="s">
        <v>159</v>
      </c>
      <c r="E73" s="130" t="s">
        <v>303</v>
      </c>
      <c r="F73" s="130" t="s">
        <v>305</v>
      </c>
      <c r="G73" s="130" t="s">
        <v>137</v>
      </c>
      <c r="I73" s="130" t="s">
        <v>138</v>
      </c>
      <c r="J73" s="130" t="s">
        <v>137</v>
      </c>
      <c r="K73" s="130" t="s">
        <v>303</v>
      </c>
      <c r="L73" s="130" t="s">
        <v>139</v>
      </c>
      <c r="M73" s="128">
        <v>10</v>
      </c>
      <c r="N73" s="128">
        <f t="shared" si="1"/>
        <v>0</v>
      </c>
      <c r="O73" s="130" t="s">
        <v>159</v>
      </c>
      <c r="P73" s="130" t="s">
        <v>159</v>
      </c>
      <c r="Q73" s="130" t="s">
        <v>160</v>
      </c>
      <c r="R73" s="128">
        <v>0</v>
      </c>
      <c r="S73" s="130" t="s">
        <v>306</v>
      </c>
    </row>
    <row r="74" spans="1:19" x14ac:dyDescent="0.25">
      <c r="A74" s="130" t="s">
        <v>313</v>
      </c>
      <c r="B74" s="130" t="s">
        <v>314</v>
      </c>
      <c r="C74" s="130" t="s">
        <v>159</v>
      </c>
      <c r="D74" s="130" t="s">
        <v>159</v>
      </c>
      <c r="E74" s="130" t="s">
        <v>303</v>
      </c>
      <c r="F74" s="130" t="s">
        <v>305</v>
      </c>
      <c r="G74" s="130" t="s">
        <v>137</v>
      </c>
      <c r="I74" s="130" t="s">
        <v>138</v>
      </c>
      <c r="J74" s="130" t="s">
        <v>137</v>
      </c>
      <c r="K74" s="130" t="s">
        <v>303</v>
      </c>
      <c r="L74" s="130" t="s">
        <v>139</v>
      </c>
      <c r="M74" s="128">
        <v>10</v>
      </c>
      <c r="N74" s="128">
        <f t="shared" si="1"/>
        <v>0</v>
      </c>
      <c r="O74" s="130" t="s">
        <v>159</v>
      </c>
      <c r="P74" s="130" t="s">
        <v>159</v>
      </c>
      <c r="Q74" s="130" t="s">
        <v>160</v>
      </c>
      <c r="R74" s="128">
        <v>0</v>
      </c>
      <c r="S74" s="130" t="s">
        <v>306</v>
      </c>
    </row>
    <row r="75" spans="1:19" x14ac:dyDescent="0.25">
      <c r="A75" s="131" t="s">
        <v>303</v>
      </c>
      <c r="B75" s="131" t="s">
        <v>315</v>
      </c>
      <c r="C75" s="130" t="s">
        <v>159</v>
      </c>
      <c r="D75" s="130" t="s">
        <v>159</v>
      </c>
      <c r="E75" s="130" t="s">
        <v>303</v>
      </c>
      <c r="F75" s="130" t="s">
        <v>305</v>
      </c>
      <c r="G75" s="130" t="s">
        <v>137</v>
      </c>
      <c r="I75" s="130" t="s">
        <v>138</v>
      </c>
      <c r="J75" s="130" t="s">
        <v>137</v>
      </c>
      <c r="K75" s="130" t="s">
        <v>303</v>
      </c>
      <c r="L75" s="130" t="s">
        <v>139</v>
      </c>
      <c r="M75" s="128">
        <v>10</v>
      </c>
      <c r="N75" s="128">
        <f t="shared" si="1"/>
        <v>0</v>
      </c>
      <c r="O75" s="130" t="s">
        <v>159</v>
      </c>
      <c r="P75" s="130" t="s">
        <v>159</v>
      </c>
      <c r="Q75" s="130" t="s">
        <v>160</v>
      </c>
      <c r="R75" s="128">
        <v>0</v>
      </c>
      <c r="S75" s="130" t="s">
        <v>306</v>
      </c>
    </row>
    <row r="76" spans="1:19" x14ac:dyDescent="0.25">
      <c r="A76" s="130" t="s">
        <v>316</v>
      </c>
      <c r="B76" s="130" t="s">
        <v>317</v>
      </c>
      <c r="C76" s="130" t="s">
        <v>134</v>
      </c>
      <c r="D76" s="130" t="s">
        <v>134</v>
      </c>
      <c r="E76" s="130" t="s">
        <v>318</v>
      </c>
      <c r="F76" s="130" t="s">
        <v>319</v>
      </c>
      <c r="G76" s="130" t="s">
        <v>137</v>
      </c>
      <c r="I76" s="130" t="s">
        <v>138</v>
      </c>
      <c r="J76" s="130" t="s">
        <v>137</v>
      </c>
      <c r="K76" s="130" t="s">
        <v>318</v>
      </c>
      <c r="L76" s="130" t="s">
        <v>139</v>
      </c>
      <c r="M76" s="128">
        <v>10</v>
      </c>
      <c r="N76" s="128">
        <f t="shared" si="1"/>
        <v>0</v>
      </c>
      <c r="O76" s="130" t="s">
        <v>134</v>
      </c>
      <c r="P76" s="130" t="s">
        <v>134</v>
      </c>
      <c r="Q76" s="130" t="s">
        <v>139</v>
      </c>
      <c r="R76" s="128">
        <v>10</v>
      </c>
      <c r="S76" s="130" t="s">
        <v>306</v>
      </c>
    </row>
    <row r="77" spans="1:19" x14ac:dyDescent="0.25">
      <c r="A77" s="130" t="s">
        <v>320</v>
      </c>
      <c r="B77" s="130" t="s">
        <v>321</v>
      </c>
      <c r="C77" s="130" t="s">
        <v>159</v>
      </c>
      <c r="D77" s="130" t="s">
        <v>159</v>
      </c>
      <c r="E77" s="130" t="s">
        <v>320</v>
      </c>
      <c r="F77" s="130" t="s">
        <v>322</v>
      </c>
      <c r="G77" s="130" t="s">
        <v>137</v>
      </c>
      <c r="I77" s="130" t="s">
        <v>323</v>
      </c>
      <c r="J77" s="130" t="s">
        <v>159</v>
      </c>
      <c r="K77" s="130" t="s">
        <v>320</v>
      </c>
      <c r="L77" s="130" t="s">
        <v>160</v>
      </c>
      <c r="M77" s="128">
        <v>0</v>
      </c>
      <c r="N77" s="128">
        <f t="shared" si="1"/>
        <v>0</v>
      </c>
      <c r="O77" s="130" t="s">
        <v>159</v>
      </c>
      <c r="P77" s="130" t="s">
        <v>159</v>
      </c>
      <c r="Q77" s="130" t="s">
        <v>160</v>
      </c>
      <c r="R77" s="128">
        <v>0</v>
      </c>
      <c r="S77" s="130" t="s">
        <v>324</v>
      </c>
    </row>
    <row r="78" spans="1:19" x14ac:dyDescent="0.25">
      <c r="A78" s="130" t="s">
        <v>325</v>
      </c>
      <c r="B78" s="130" t="s">
        <v>326</v>
      </c>
      <c r="C78" s="130" t="s">
        <v>159</v>
      </c>
      <c r="D78" s="130" t="s">
        <v>159</v>
      </c>
      <c r="E78" s="130" t="s">
        <v>327</v>
      </c>
      <c r="F78" s="130" t="s">
        <v>328</v>
      </c>
      <c r="G78" s="130" t="s">
        <v>137</v>
      </c>
      <c r="I78" s="130" t="s">
        <v>323</v>
      </c>
      <c r="J78" s="130" t="s">
        <v>159</v>
      </c>
      <c r="K78" s="130" t="s">
        <v>327</v>
      </c>
      <c r="L78" s="130" t="s">
        <v>160</v>
      </c>
      <c r="M78" s="128">
        <v>0</v>
      </c>
      <c r="N78" s="128">
        <f t="shared" si="1"/>
        <v>0</v>
      </c>
      <c r="O78" s="130" t="s">
        <v>159</v>
      </c>
      <c r="P78" s="130" t="s">
        <v>159</v>
      </c>
      <c r="Q78" s="130" t="s">
        <v>160</v>
      </c>
      <c r="R78" s="128">
        <v>0</v>
      </c>
      <c r="S78" s="130" t="s">
        <v>324</v>
      </c>
    </row>
    <row r="79" spans="1:19" x14ac:dyDescent="0.25">
      <c r="A79" s="130" t="s">
        <v>329</v>
      </c>
      <c r="B79" s="130" t="s">
        <v>330</v>
      </c>
      <c r="C79" s="130" t="s">
        <v>159</v>
      </c>
      <c r="D79" s="130" t="s">
        <v>159</v>
      </c>
      <c r="E79" s="130" t="s">
        <v>331</v>
      </c>
      <c r="F79" s="130" t="s">
        <v>332</v>
      </c>
      <c r="G79" s="130" t="s">
        <v>137</v>
      </c>
      <c r="I79" s="130" t="s">
        <v>323</v>
      </c>
      <c r="J79" s="130" t="s">
        <v>159</v>
      </c>
      <c r="K79" s="130" t="s">
        <v>331</v>
      </c>
      <c r="L79" s="130" t="s">
        <v>160</v>
      </c>
      <c r="M79" s="128">
        <v>0</v>
      </c>
      <c r="N79" s="128">
        <f t="shared" si="1"/>
        <v>0</v>
      </c>
      <c r="O79" s="130" t="s">
        <v>159</v>
      </c>
      <c r="P79" s="130" t="s">
        <v>159</v>
      </c>
      <c r="Q79" s="130" t="s">
        <v>160</v>
      </c>
      <c r="R79" s="128">
        <v>0</v>
      </c>
      <c r="S79" s="130" t="s">
        <v>324</v>
      </c>
    </row>
    <row r="80" spans="1:19" x14ac:dyDescent="0.25">
      <c r="A80" s="130" t="s">
        <v>333</v>
      </c>
      <c r="B80" s="130" t="s">
        <v>334</v>
      </c>
      <c r="C80" s="130" t="s">
        <v>134</v>
      </c>
      <c r="D80" s="130" t="s">
        <v>134</v>
      </c>
      <c r="E80" s="130" t="s">
        <v>335</v>
      </c>
      <c r="F80" s="130" t="s">
        <v>336</v>
      </c>
      <c r="G80" s="130" t="s">
        <v>137</v>
      </c>
      <c r="H80" s="130" t="s">
        <v>159</v>
      </c>
      <c r="I80" s="130" t="s">
        <v>323</v>
      </c>
      <c r="J80" s="130" t="s">
        <v>159</v>
      </c>
      <c r="K80" s="130" t="s">
        <v>335</v>
      </c>
      <c r="L80" s="130" t="s">
        <v>160</v>
      </c>
      <c r="M80" s="128">
        <v>0</v>
      </c>
      <c r="N80" s="128">
        <f t="shared" si="1"/>
        <v>0</v>
      </c>
      <c r="O80" s="130" t="s">
        <v>134</v>
      </c>
      <c r="P80" s="130" t="s">
        <v>134</v>
      </c>
      <c r="Q80" s="130" t="s">
        <v>160</v>
      </c>
      <c r="R80" s="128">
        <v>0</v>
      </c>
      <c r="S80" s="130" t="s">
        <v>324</v>
      </c>
    </row>
    <row r="81" spans="1:19" x14ac:dyDescent="0.25">
      <c r="A81" s="130" t="s">
        <v>337</v>
      </c>
      <c r="B81" s="130" t="s">
        <v>338</v>
      </c>
      <c r="C81" s="130" t="s">
        <v>134</v>
      </c>
      <c r="D81" s="130" t="s">
        <v>134</v>
      </c>
      <c r="E81" s="130" t="s">
        <v>335</v>
      </c>
      <c r="F81" s="130" t="s">
        <v>336</v>
      </c>
      <c r="G81" s="130" t="s">
        <v>137</v>
      </c>
      <c r="H81" s="130" t="s">
        <v>159</v>
      </c>
      <c r="I81" s="130" t="s">
        <v>323</v>
      </c>
      <c r="J81" s="130" t="s">
        <v>159</v>
      </c>
      <c r="K81" s="130" t="s">
        <v>335</v>
      </c>
      <c r="L81" s="130" t="s">
        <v>160</v>
      </c>
      <c r="M81" s="128">
        <v>0</v>
      </c>
      <c r="N81" s="128">
        <f t="shared" si="1"/>
        <v>0</v>
      </c>
      <c r="O81" s="130" t="s">
        <v>134</v>
      </c>
      <c r="P81" s="130" t="s">
        <v>134</v>
      </c>
      <c r="Q81" s="130" t="s">
        <v>160</v>
      </c>
      <c r="R81" s="128">
        <v>0</v>
      </c>
      <c r="S81" s="130" t="s">
        <v>324</v>
      </c>
    </row>
    <row r="82" spans="1:19" x14ac:dyDescent="0.25">
      <c r="A82" s="130" t="s">
        <v>339</v>
      </c>
      <c r="B82" s="130" t="s">
        <v>340</v>
      </c>
      <c r="C82" s="130" t="s">
        <v>134</v>
      </c>
      <c r="D82" s="130" t="s">
        <v>134</v>
      </c>
      <c r="E82" s="130" t="s">
        <v>335</v>
      </c>
      <c r="F82" s="130" t="s">
        <v>336</v>
      </c>
      <c r="G82" s="130" t="s">
        <v>137</v>
      </c>
      <c r="H82" s="130" t="s">
        <v>159</v>
      </c>
      <c r="I82" s="130" t="s">
        <v>323</v>
      </c>
      <c r="J82" s="130" t="s">
        <v>159</v>
      </c>
      <c r="K82" s="130" t="s">
        <v>335</v>
      </c>
      <c r="L82" s="130" t="s">
        <v>160</v>
      </c>
      <c r="M82" s="128">
        <v>0</v>
      </c>
      <c r="N82" s="128">
        <f t="shared" si="1"/>
        <v>0</v>
      </c>
      <c r="O82" s="130" t="s">
        <v>134</v>
      </c>
      <c r="P82" s="130" t="s">
        <v>134</v>
      </c>
      <c r="Q82" s="130" t="s">
        <v>160</v>
      </c>
      <c r="R82" s="128">
        <v>0</v>
      </c>
      <c r="S82" s="130" t="s">
        <v>324</v>
      </c>
    </row>
    <row r="83" spans="1:19" x14ac:dyDescent="0.25">
      <c r="A83" s="130" t="s">
        <v>341</v>
      </c>
      <c r="B83" s="130" t="s">
        <v>342</v>
      </c>
      <c r="C83" s="130" t="s">
        <v>134</v>
      </c>
      <c r="D83" s="130" t="s">
        <v>134</v>
      </c>
      <c r="E83" s="130" t="s">
        <v>343</v>
      </c>
      <c r="F83" s="130" t="s">
        <v>344</v>
      </c>
      <c r="G83" s="130" t="s">
        <v>137</v>
      </c>
      <c r="H83" s="130" t="s">
        <v>159</v>
      </c>
      <c r="I83" s="130" t="s">
        <v>323</v>
      </c>
      <c r="J83" s="130" t="s">
        <v>159</v>
      </c>
      <c r="K83" s="130" t="s">
        <v>343</v>
      </c>
      <c r="L83" s="130" t="s">
        <v>160</v>
      </c>
      <c r="M83" s="128">
        <v>0</v>
      </c>
      <c r="N83" s="128">
        <f t="shared" si="1"/>
        <v>0</v>
      </c>
      <c r="O83" s="130" t="s">
        <v>134</v>
      </c>
      <c r="P83" s="130" t="s">
        <v>134</v>
      </c>
      <c r="Q83" s="130" t="s">
        <v>160</v>
      </c>
      <c r="R83" s="128">
        <v>0</v>
      </c>
      <c r="S83" s="130" t="s">
        <v>324</v>
      </c>
    </row>
    <row r="84" spans="1:19" x14ac:dyDescent="0.25">
      <c r="A84" s="130" t="s">
        <v>345</v>
      </c>
      <c r="B84" s="130" t="s">
        <v>346</v>
      </c>
      <c r="C84" s="130" t="s">
        <v>134</v>
      </c>
      <c r="D84" s="130" t="s">
        <v>134</v>
      </c>
      <c r="E84" s="130" t="s">
        <v>345</v>
      </c>
      <c r="F84" s="130" t="s">
        <v>347</v>
      </c>
      <c r="G84" s="130" t="s">
        <v>137</v>
      </c>
      <c r="H84" s="130" t="s">
        <v>159</v>
      </c>
      <c r="I84" s="130" t="s">
        <v>323</v>
      </c>
      <c r="J84" s="130" t="s">
        <v>159</v>
      </c>
      <c r="K84" s="130" t="s">
        <v>345</v>
      </c>
      <c r="L84" s="130" t="s">
        <v>160</v>
      </c>
      <c r="M84" s="128">
        <v>0</v>
      </c>
      <c r="N84" s="128">
        <f t="shared" si="1"/>
        <v>0</v>
      </c>
      <c r="O84" s="130" t="s">
        <v>134</v>
      </c>
      <c r="P84" s="130" t="s">
        <v>134</v>
      </c>
      <c r="Q84" s="130" t="s">
        <v>160</v>
      </c>
      <c r="R84" s="128">
        <v>0</v>
      </c>
      <c r="S84" s="130" t="s">
        <v>324</v>
      </c>
    </row>
    <row r="85" spans="1:19" x14ac:dyDescent="0.25">
      <c r="A85" s="130" t="s">
        <v>348</v>
      </c>
      <c r="B85" s="130" t="s">
        <v>349</v>
      </c>
      <c r="C85" s="130" t="s">
        <v>134</v>
      </c>
      <c r="D85" s="130" t="s">
        <v>134</v>
      </c>
      <c r="E85" s="130" t="s">
        <v>350</v>
      </c>
      <c r="F85" s="130" t="s">
        <v>351</v>
      </c>
      <c r="G85" s="130" t="s">
        <v>137</v>
      </c>
      <c r="H85" s="130" t="s">
        <v>159</v>
      </c>
      <c r="I85" s="130" t="s">
        <v>323</v>
      </c>
      <c r="J85" s="130" t="s">
        <v>159</v>
      </c>
      <c r="K85" s="130" t="s">
        <v>350</v>
      </c>
      <c r="L85" s="130" t="s">
        <v>160</v>
      </c>
      <c r="M85" s="128">
        <v>0</v>
      </c>
      <c r="N85" s="128">
        <f t="shared" si="1"/>
        <v>0</v>
      </c>
      <c r="O85" s="130" t="s">
        <v>134</v>
      </c>
      <c r="P85" s="130" t="s">
        <v>134</v>
      </c>
      <c r="Q85" s="130" t="s">
        <v>160</v>
      </c>
      <c r="R85" s="128">
        <v>0</v>
      </c>
      <c r="S85" s="130" t="s">
        <v>324</v>
      </c>
    </row>
    <row r="86" spans="1:19" x14ac:dyDescent="0.25">
      <c r="A86" s="130" t="s">
        <v>352</v>
      </c>
      <c r="B86" s="130" t="s">
        <v>353</v>
      </c>
      <c r="C86" s="130" t="s">
        <v>159</v>
      </c>
      <c r="D86" s="130" t="s">
        <v>159</v>
      </c>
      <c r="E86" s="130" t="s">
        <v>350</v>
      </c>
      <c r="F86" s="130" t="s">
        <v>351</v>
      </c>
      <c r="G86" s="130" t="s">
        <v>137</v>
      </c>
      <c r="I86" s="130" t="s">
        <v>323</v>
      </c>
      <c r="J86" s="130" t="s">
        <v>159</v>
      </c>
      <c r="K86" s="130" t="s">
        <v>350</v>
      </c>
      <c r="L86" s="130" t="s">
        <v>160</v>
      </c>
      <c r="M86" s="128">
        <v>0</v>
      </c>
      <c r="N86" s="128">
        <f t="shared" si="1"/>
        <v>0</v>
      </c>
      <c r="O86" s="130" t="s">
        <v>159</v>
      </c>
      <c r="P86" s="130" t="s">
        <v>159</v>
      </c>
      <c r="Q86" s="130" t="s">
        <v>160</v>
      </c>
      <c r="R86" s="128">
        <v>0</v>
      </c>
      <c r="S86" s="130" t="s">
        <v>324</v>
      </c>
    </row>
    <row r="87" spans="1:19" x14ac:dyDescent="0.25">
      <c r="A87" s="130" t="s">
        <v>354</v>
      </c>
      <c r="B87" s="130" t="s">
        <v>355</v>
      </c>
      <c r="C87" s="130" t="s">
        <v>134</v>
      </c>
      <c r="D87" s="130" t="s">
        <v>134</v>
      </c>
      <c r="E87" s="130" t="s">
        <v>350</v>
      </c>
      <c r="F87" s="130" t="s">
        <v>351</v>
      </c>
      <c r="G87" s="130" t="s">
        <v>137</v>
      </c>
      <c r="H87" s="130" t="s">
        <v>159</v>
      </c>
      <c r="I87" s="130" t="s">
        <v>323</v>
      </c>
      <c r="J87" s="130" t="s">
        <v>159</v>
      </c>
      <c r="K87" s="130" t="s">
        <v>350</v>
      </c>
      <c r="L87" s="130" t="s">
        <v>160</v>
      </c>
      <c r="M87" s="128">
        <v>0</v>
      </c>
      <c r="N87" s="128">
        <f t="shared" si="1"/>
        <v>0</v>
      </c>
      <c r="O87" s="130" t="s">
        <v>134</v>
      </c>
      <c r="P87" s="130" t="s">
        <v>134</v>
      </c>
      <c r="Q87" s="130" t="s">
        <v>160</v>
      </c>
      <c r="R87" s="128">
        <v>0</v>
      </c>
      <c r="S87" s="130" t="s">
        <v>324</v>
      </c>
    </row>
    <row r="88" spans="1:19" x14ac:dyDescent="0.25">
      <c r="A88" s="130" t="s">
        <v>356</v>
      </c>
      <c r="B88" s="130" t="s">
        <v>357</v>
      </c>
      <c r="C88" s="130" t="s">
        <v>134</v>
      </c>
      <c r="D88" s="130" t="s">
        <v>134</v>
      </c>
      <c r="E88" s="130" t="s">
        <v>350</v>
      </c>
      <c r="F88" s="130" t="s">
        <v>351</v>
      </c>
      <c r="G88" s="130" t="s">
        <v>137</v>
      </c>
      <c r="H88" s="130" t="s">
        <v>159</v>
      </c>
      <c r="I88" s="130" t="s">
        <v>323</v>
      </c>
      <c r="J88" s="130" t="s">
        <v>159</v>
      </c>
      <c r="K88" s="130" t="s">
        <v>350</v>
      </c>
      <c r="L88" s="130" t="s">
        <v>160</v>
      </c>
      <c r="M88" s="128">
        <v>0</v>
      </c>
      <c r="N88" s="128">
        <f t="shared" si="1"/>
        <v>0</v>
      </c>
      <c r="O88" s="130" t="s">
        <v>134</v>
      </c>
      <c r="P88" s="130" t="s">
        <v>134</v>
      </c>
      <c r="Q88" s="130" t="s">
        <v>160</v>
      </c>
      <c r="R88" s="128">
        <v>0</v>
      </c>
      <c r="S88" s="130" t="s">
        <v>324</v>
      </c>
    </row>
    <row r="89" spans="1:19" x14ac:dyDescent="0.25">
      <c r="A89" s="130" t="s">
        <v>358</v>
      </c>
      <c r="B89" s="130" t="s">
        <v>359</v>
      </c>
      <c r="C89" s="130" t="s">
        <v>159</v>
      </c>
      <c r="D89" s="130" t="s">
        <v>159</v>
      </c>
      <c r="E89" s="130" t="s">
        <v>350</v>
      </c>
      <c r="F89" s="130" t="s">
        <v>351</v>
      </c>
      <c r="G89" s="130" t="s">
        <v>137</v>
      </c>
      <c r="I89" s="130" t="s">
        <v>323</v>
      </c>
      <c r="J89" s="130" t="s">
        <v>159</v>
      </c>
      <c r="K89" s="130" t="s">
        <v>350</v>
      </c>
      <c r="L89" s="130" t="s">
        <v>160</v>
      </c>
      <c r="M89" s="128">
        <v>0</v>
      </c>
      <c r="N89" s="128">
        <f t="shared" si="1"/>
        <v>0</v>
      </c>
      <c r="O89" s="130" t="s">
        <v>159</v>
      </c>
      <c r="P89" s="130" t="s">
        <v>159</v>
      </c>
      <c r="Q89" s="130" t="s">
        <v>160</v>
      </c>
      <c r="R89" s="128">
        <v>0</v>
      </c>
      <c r="S89" s="130" t="s">
        <v>324</v>
      </c>
    </row>
    <row r="90" spans="1:19" x14ac:dyDescent="0.25">
      <c r="A90" s="130" t="s">
        <v>360</v>
      </c>
      <c r="B90" s="130" t="s">
        <v>361</v>
      </c>
      <c r="C90" s="130" t="s">
        <v>159</v>
      </c>
      <c r="D90" s="130" t="s">
        <v>159</v>
      </c>
      <c r="E90" s="130" t="s">
        <v>350</v>
      </c>
      <c r="F90" s="130" t="s">
        <v>351</v>
      </c>
      <c r="G90" s="130" t="s">
        <v>137</v>
      </c>
      <c r="I90" s="130" t="s">
        <v>323</v>
      </c>
      <c r="J90" s="130" t="s">
        <v>159</v>
      </c>
      <c r="K90" s="130" t="s">
        <v>350</v>
      </c>
      <c r="L90" s="130" t="s">
        <v>160</v>
      </c>
      <c r="M90" s="128">
        <v>0</v>
      </c>
      <c r="N90" s="128">
        <f t="shared" si="1"/>
        <v>0</v>
      </c>
      <c r="O90" s="130" t="s">
        <v>159</v>
      </c>
      <c r="P90" s="130" t="s">
        <v>159</v>
      </c>
      <c r="Q90" s="130" t="s">
        <v>160</v>
      </c>
      <c r="R90" s="128">
        <v>0</v>
      </c>
      <c r="S90" s="130" t="s">
        <v>324</v>
      </c>
    </row>
    <row r="91" spans="1:19" x14ac:dyDescent="0.25">
      <c r="A91" s="130" t="s">
        <v>362</v>
      </c>
      <c r="B91" s="130" t="s">
        <v>363</v>
      </c>
      <c r="C91" s="130" t="s">
        <v>134</v>
      </c>
      <c r="D91" s="130" t="s">
        <v>134</v>
      </c>
      <c r="E91" s="130" t="s">
        <v>350</v>
      </c>
      <c r="F91" s="130" t="s">
        <v>351</v>
      </c>
      <c r="G91" s="130" t="s">
        <v>137</v>
      </c>
      <c r="H91" s="130" t="s">
        <v>159</v>
      </c>
      <c r="I91" s="130" t="s">
        <v>323</v>
      </c>
      <c r="J91" s="130" t="s">
        <v>159</v>
      </c>
      <c r="K91" s="130" t="s">
        <v>350</v>
      </c>
      <c r="L91" s="130" t="s">
        <v>160</v>
      </c>
      <c r="M91" s="128">
        <v>0</v>
      </c>
      <c r="N91" s="128">
        <f t="shared" si="1"/>
        <v>0</v>
      </c>
      <c r="O91" s="130" t="s">
        <v>134</v>
      </c>
      <c r="P91" s="130" t="s">
        <v>134</v>
      </c>
      <c r="Q91" s="130" t="s">
        <v>160</v>
      </c>
      <c r="R91" s="128">
        <v>0</v>
      </c>
      <c r="S91" s="130" t="s">
        <v>324</v>
      </c>
    </row>
    <row r="92" spans="1:19" x14ac:dyDescent="0.25">
      <c r="A92" s="130" t="s">
        <v>364</v>
      </c>
      <c r="B92" s="130" t="s">
        <v>365</v>
      </c>
      <c r="C92" s="130" t="s">
        <v>134</v>
      </c>
      <c r="D92" s="130" t="s">
        <v>134</v>
      </c>
      <c r="E92" s="130" t="s">
        <v>350</v>
      </c>
      <c r="F92" s="130" t="s">
        <v>351</v>
      </c>
      <c r="G92" s="130" t="s">
        <v>137</v>
      </c>
      <c r="H92" s="130" t="s">
        <v>159</v>
      </c>
      <c r="I92" s="130" t="s">
        <v>323</v>
      </c>
      <c r="J92" s="130" t="s">
        <v>159</v>
      </c>
      <c r="K92" s="130" t="s">
        <v>350</v>
      </c>
      <c r="L92" s="130" t="s">
        <v>160</v>
      </c>
      <c r="M92" s="128">
        <v>0</v>
      </c>
      <c r="N92" s="128">
        <f t="shared" si="1"/>
        <v>0</v>
      </c>
      <c r="O92" s="130" t="s">
        <v>134</v>
      </c>
      <c r="P92" s="130" t="s">
        <v>134</v>
      </c>
      <c r="Q92" s="130" t="s">
        <v>160</v>
      </c>
      <c r="R92" s="128">
        <v>0</v>
      </c>
      <c r="S92" s="130" t="s">
        <v>324</v>
      </c>
    </row>
    <row r="93" spans="1:19" x14ac:dyDescent="0.25">
      <c r="A93" s="130" t="s">
        <v>366</v>
      </c>
      <c r="B93" s="130" t="s">
        <v>367</v>
      </c>
      <c r="C93" s="130" t="s">
        <v>134</v>
      </c>
      <c r="D93" s="130" t="s">
        <v>134</v>
      </c>
      <c r="E93" s="130" t="s">
        <v>350</v>
      </c>
      <c r="F93" s="130" t="s">
        <v>351</v>
      </c>
      <c r="G93" s="130" t="s">
        <v>137</v>
      </c>
      <c r="H93" s="130" t="s">
        <v>159</v>
      </c>
      <c r="I93" s="130" t="s">
        <v>323</v>
      </c>
      <c r="J93" s="130" t="s">
        <v>159</v>
      </c>
      <c r="K93" s="130" t="s">
        <v>350</v>
      </c>
      <c r="L93" s="130" t="s">
        <v>160</v>
      </c>
      <c r="M93" s="128">
        <v>0</v>
      </c>
      <c r="N93" s="128">
        <f t="shared" si="1"/>
        <v>0</v>
      </c>
      <c r="O93" s="130" t="s">
        <v>134</v>
      </c>
      <c r="P93" s="130" t="s">
        <v>134</v>
      </c>
      <c r="Q93" s="130" t="s">
        <v>160</v>
      </c>
      <c r="R93" s="128">
        <v>0</v>
      </c>
      <c r="S93" s="130" t="s">
        <v>324</v>
      </c>
    </row>
    <row r="94" spans="1:19" x14ac:dyDescent="0.25">
      <c r="A94" s="130" t="s">
        <v>368</v>
      </c>
      <c r="B94" s="130" t="s">
        <v>369</v>
      </c>
      <c r="C94" s="130" t="s">
        <v>159</v>
      </c>
      <c r="D94" s="130" t="s">
        <v>159</v>
      </c>
      <c r="E94" s="130" t="s">
        <v>370</v>
      </c>
      <c r="F94" s="130" t="s">
        <v>371</v>
      </c>
      <c r="G94" s="130" t="s">
        <v>137</v>
      </c>
      <c r="I94" s="130" t="s">
        <v>323</v>
      </c>
      <c r="J94" s="130" t="s">
        <v>159</v>
      </c>
      <c r="K94" s="130" t="s">
        <v>372</v>
      </c>
      <c r="L94" s="130" t="s">
        <v>160</v>
      </c>
      <c r="M94" s="128">
        <v>0</v>
      </c>
      <c r="N94" s="128">
        <f t="shared" si="1"/>
        <v>0</v>
      </c>
      <c r="O94" s="130" t="s">
        <v>159</v>
      </c>
      <c r="P94" s="130" t="s">
        <v>159</v>
      </c>
      <c r="Q94" s="130" t="s">
        <v>160</v>
      </c>
      <c r="R94" s="128">
        <v>0</v>
      </c>
      <c r="S94" s="130" t="s">
        <v>324</v>
      </c>
    </row>
    <row r="95" spans="1:19" x14ac:dyDescent="0.25">
      <c r="A95" s="130" t="s">
        <v>373</v>
      </c>
      <c r="B95" s="130" t="s">
        <v>374</v>
      </c>
      <c r="C95" s="130" t="s">
        <v>159</v>
      </c>
      <c r="D95" s="130" t="s">
        <v>159</v>
      </c>
      <c r="E95" s="130" t="s">
        <v>370</v>
      </c>
      <c r="F95" s="130" t="s">
        <v>371</v>
      </c>
      <c r="G95" s="130" t="s">
        <v>137</v>
      </c>
      <c r="I95" s="130" t="s">
        <v>323</v>
      </c>
      <c r="J95" s="130" t="s">
        <v>159</v>
      </c>
      <c r="K95" s="130" t="s">
        <v>372</v>
      </c>
      <c r="L95" s="130" t="s">
        <v>160</v>
      </c>
      <c r="M95" s="128">
        <v>0</v>
      </c>
      <c r="N95" s="128">
        <f t="shared" si="1"/>
        <v>0</v>
      </c>
      <c r="O95" s="130" t="s">
        <v>159</v>
      </c>
      <c r="P95" s="130" t="s">
        <v>159</v>
      </c>
      <c r="Q95" s="130" t="s">
        <v>160</v>
      </c>
      <c r="R95" s="128">
        <v>0</v>
      </c>
      <c r="S95" s="130" t="s">
        <v>324</v>
      </c>
    </row>
    <row r="96" spans="1:19" x14ac:dyDescent="0.25">
      <c r="A96" s="130" t="s">
        <v>375</v>
      </c>
      <c r="B96" s="130" t="s">
        <v>376</v>
      </c>
      <c r="C96" s="130" t="s">
        <v>159</v>
      </c>
      <c r="D96" s="130" t="s">
        <v>159</v>
      </c>
      <c r="E96" s="130" t="s">
        <v>370</v>
      </c>
      <c r="F96" s="130" t="s">
        <v>371</v>
      </c>
      <c r="G96" s="130" t="s">
        <v>137</v>
      </c>
      <c r="I96" s="130" t="s">
        <v>323</v>
      </c>
      <c r="J96" s="130" t="s">
        <v>159</v>
      </c>
      <c r="K96" s="130" t="s">
        <v>372</v>
      </c>
      <c r="L96" s="130" t="s">
        <v>160</v>
      </c>
      <c r="M96" s="128">
        <v>0</v>
      </c>
      <c r="N96" s="128">
        <f t="shared" si="1"/>
        <v>0</v>
      </c>
      <c r="O96" s="130" t="s">
        <v>159</v>
      </c>
      <c r="P96" s="130" t="s">
        <v>159</v>
      </c>
      <c r="Q96" s="130" t="s">
        <v>160</v>
      </c>
      <c r="R96" s="128">
        <v>0</v>
      </c>
      <c r="S96" s="130" t="s">
        <v>324</v>
      </c>
    </row>
    <row r="97" spans="1:19" x14ac:dyDescent="0.25">
      <c r="A97" s="130" t="s">
        <v>377</v>
      </c>
      <c r="B97" s="130" t="s">
        <v>378</v>
      </c>
      <c r="C97" s="130" t="s">
        <v>159</v>
      </c>
      <c r="D97" s="130" t="s">
        <v>159</v>
      </c>
      <c r="E97" s="130" t="s">
        <v>370</v>
      </c>
      <c r="F97" s="130" t="s">
        <v>371</v>
      </c>
      <c r="G97" s="130" t="s">
        <v>137</v>
      </c>
      <c r="I97" s="130" t="s">
        <v>323</v>
      </c>
      <c r="J97" s="130" t="s">
        <v>159</v>
      </c>
      <c r="K97" s="130" t="s">
        <v>372</v>
      </c>
      <c r="L97" s="130" t="s">
        <v>160</v>
      </c>
      <c r="M97" s="128">
        <v>0</v>
      </c>
      <c r="N97" s="128">
        <f t="shared" si="1"/>
        <v>0</v>
      </c>
      <c r="O97" s="130" t="s">
        <v>159</v>
      </c>
      <c r="P97" s="130" t="s">
        <v>159</v>
      </c>
      <c r="Q97" s="130" t="s">
        <v>160</v>
      </c>
      <c r="R97" s="128">
        <v>0</v>
      </c>
      <c r="S97" s="130" t="s">
        <v>324</v>
      </c>
    </row>
    <row r="98" spans="1:19" x14ac:dyDescent="0.25">
      <c r="A98" s="130" t="s">
        <v>379</v>
      </c>
      <c r="B98" s="130" t="s">
        <v>380</v>
      </c>
      <c r="C98" s="130" t="s">
        <v>159</v>
      </c>
      <c r="D98" s="130" t="s">
        <v>159</v>
      </c>
      <c r="E98" s="130" t="s">
        <v>370</v>
      </c>
      <c r="F98" s="130" t="s">
        <v>371</v>
      </c>
      <c r="G98" s="130" t="s">
        <v>137</v>
      </c>
      <c r="I98" s="130" t="s">
        <v>323</v>
      </c>
      <c r="J98" s="130" t="s">
        <v>159</v>
      </c>
      <c r="K98" s="130" t="s">
        <v>372</v>
      </c>
      <c r="L98" s="130" t="s">
        <v>160</v>
      </c>
      <c r="M98" s="128">
        <v>0</v>
      </c>
      <c r="N98" s="128">
        <f t="shared" si="1"/>
        <v>0</v>
      </c>
      <c r="O98" s="130" t="s">
        <v>159</v>
      </c>
      <c r="P98" s="130" t="s">
        <v>159</v>
      </c>
      <c r="Q98" s="130" t="s">
        <v>160</v>
      </c>
      <c r="R98" s="128">
        <v>0</v>
      </c>
      <c r="S98" s="130" t="s">
        <v>324</v>
      </c>
    </row>
    <row r="99" spans="1:19" x14ac:dyDescent="0.25">
      <c r="A99" s="130" t="s">
        <v>381</v>
      </c>
      <c r="B99" s="130" t="s">
        <v>382</v>
      </c>
      <c r="C99" s="130" t="s">
        <v>159</v>
      </c>
      <c r="D99" s="130" t="s">
        <v>159</v>
      </c>
      <c r="E99" s="130" t="s">
        <v>370</v>
      </c>
      <c r="F99" s="130" t="s">
        <v>371</v>
      </c>
      <c r="G99" s="130" t="s">
        <v>137</v>
      </c>
      <c r="I99" s="130" t="s">
        <v>323</v>
      </c>
      <c r="J99" s="130" t="s">
        <v>159</v>
      </c>
      <c r="K99" s="130" t="s">
        <v>372</v>
      </c>
      <c r="L99" s="130" t="s">
        <v>160</v>
      </c>
      <c r="M99" s="128">
        <v>0</v>
      </c>
      <c r="N99" s="128">
        <f t="shared" si="1"/>
        <v>0</v>
      </c>
      <c r="O99" s="130" t="s">
        <v>159</v>
      </c>
      <c r="P99" s="130" t="s">
        <v>159</v>
      </c>
      <c r="Q99" s="130" t="s">
        <v>160</v>
      </c>
      <c r="R99" s="128">
        <v>0</v>
      </c>
      <c r="S99" s="130" t="s">
        <v>324</v>
      </c>
    </row>
    <row r="100" spans="1:19" x14ac:dyDescent="0.25">
      <c r="A100" s="130" t="s">
        <v>383</v>
      </c>
      <c r="B100" s="130" t="s">
        <v>384</v>
      </c>
      <c r="C100" s="130" t="s">
        <v>159</v>
      </c>
      <c r="D100" s="130" t="s">
        <v>159</v>
      </c>
      <c r="E100" s="130" t="s">
        <v>385</v>
      </c>
      <c r="F100" s="130" t="s">
        <v>386</v>
      </c>
      <c r="G100" s="130" t="s">
        <v>137</v>
      </c>
      <c r="I100" s="130" t="s">
        <v>323</v>
      </c>
      <c r="J100" s="130" t="s">
        <v>159</v>
      </c>
      <c r="K100" s="130" t="s">
        <v>372</v>
      </c>
      <c r="L100" s="130" t="s">
        <v>160</v>
      </c>
      <c r="M100" s="128">
        <v>0</v>
      </c>
      <c r="N100" s="128">
        <f t="shared" si="1"/>
        <v>0</v>
      </c>
      <c r="O100" s="130" t="s">
        <v>159</v>
      </c>
      <c r="P100" s="130" t="s">
        <v>159</v>
      </c>
      <c r="Q100" s="130" t="s">
        <v>160</v>
      </c>
      <c r="R100" s="128">
        <v>0</v>
      </c>
      <c r="S100" s="130" t="s">
        <v>324</v>
      </c>
    </row>
    <row r="101" spans="1:19" x14ac:dyDescent="0.25">
      <c r="A101" s="130" t="s">
        <v>387</v>
      </c>
      <c r="B101" s="130" t="s">
        <v>388</v>
      </c>
      <c r="C101" s="130" t="s">
        <v>159</v>
      </c>
      <c r="D101" s="130" t="s">
        <v>159</v>
      </c>
      <c r="E101" s="130" t="s">
        <v>385</v>
      </c>
      <c r="F101" s="130" t="s">
        <v>386</v>
      </c>
      <c r="G101" s="130" t="s">
        <v>137</v>
      </c>
      <c r="I101" s="130" t="s">
        <v>323</v>
      </c>
      <c r="J101" s="130" t="s">
        <v>159</v>
      </c>
      <c r="K101" s="130" t="s">
        <v>372</v>
      </c>
      <c r="L101" s="130" t="s">
        <v>160</v>
      </c>
      <c r="M101" s="128">
        <v>0</v>
      </c>
      <c r="N101" s="128">
        <f t="shared" si="1"/>
        <v>0</v>
      </c>
      <c r="O101" s="130" t="s">
        <v>159</v>
      </c>
      <c r="P101" s="130" t="s">
        <v>159</v>
      </c>
      <c r="Q101" s="130" t="s">
        <v>160</v>
      </c>
      <c r="R101" s="128">
        <v>0</v>
      </c>
      <c r="S101" s="130" t="s">
        <v>324</v>
      </c>
    </row>
    <row r="102" spans="1:19" x14ac:dyDescent="0.25">
      <c r="A102" s="130" t="s">
        <v>372</v>
      </c>
      <c r="B102" s="130" t="s">
        <v>389</v>
      </c>
      <c r="C102" s="130" t="s">
        <v>159</v>
      </c>
      <c r="D102" s="130" t="s">
        <v>159</v>
      </c>
      <c r="E102" s="130" t="s">
        <v>390</v>
      </c>
      <c r="F102" s="130" t="s">
        <v>389</v>
      </c>
      <c r="G102" s="130" t="s">
        <v>137</v>
      </c>
      <c r="I102" s="130" t="s">
        <v>323</v>
      </c>
      <c r="J102" s="130" t="s">
        <v>159</v>
      </c>
      <c r="K102" s="130" t="s">
        <v>372</v>
      </c>
      <c r="L102" s="130" t="s">
        <v>160</v>
      </c>
      <c r="M102" s="128">
        <v>0</v>
      </c>
      <c r="N102" s="128">
        <f t="shared" si="1"/>
        <v>0</v>
      </c>
      <c r="O102" s="130" t="s">
        <v>159</v>
      </c>
      <c r="P102" s="130" t="s">
        <v>159</v>
      </c>
      <c r="Q102" s="130" t="s">
        <v>160</v>
      </c>
      <c r="R102" s="128">
        <v>0</v>
      </c>
      <c r="S102" s="130" t="s">
        <v>324</v>
      </c>
    </row>
    <row r="103" spans="1:19" x14ac:dyDescent="0.25">
      <c r="A103" s="130" t="s">
        <v>391</v>
      </c>
      <c r="B103" s="130" t="s">
        <v>392</v>
      </c>
      <c r="C103" s="130" t="s">
        <v>159</v>
      </c>
      <c r="D103" s="130" t="s">
        <v>159</v>
      </c>
      <c r="E103" s="130" t="s">
        <v>372</v>
      </c>
      <c r="F103" s="130" t="s">
        <v>393</v>
      </c>
      <c r="G103" s="130" t="s">
        <v>137</v>
      </c>
      <c r="I103" s="130" t="s">
        <v>323</v>
      </c>
      <c r="J103" s="130" t="s">
        <v>159</v>
      </c>
      <c r="K103" s="130" t="s">
        <v>372</v>
      </c>
      <c r="L103" s="130" t="s">
        <v>160</v>
      </c>
      <c r="M103" s="128">
        <v>0</v>
      </c>
      <c r="N103" s="128">
        <f t="shared" si="1"/>
        <v>0</v>
      </c>
      <c r="O103" s="130" t="s">
        <v>159</v>
      </c>
      <c r="P103" s="130" t="s">
        <v>159</v>
      </c>
      <c r="Q103" s="130" t="s">
        <v>160</v>
      </c>
      <c r="R103" s="128">
        <v>0</v>
      </c>
      <c r="S103" s="130" t="s">
        <v>324</v>
      </c>
    </row>
    <row r="104" spans="1:19" x14ac:dyDescent="0.25">
      <c r="A104" s="130" t="s">
        <v>394</v>
      </c>
      <c r="B104" s="130" t="s">
        <v>395</v>
      </c>
      <c r="C104" s="130" t="s">
        <v>159</v>
      </c>
      <c r="D104" s="130" t="s">
        <v>159</v>
      </c>
      <c r="E104" s="130" t="s">
        <v>372</v>
      </c>
      <c r="F104" s="130" t="s">
        <v>393</v>
      </c>
      <c r="G104" s="130" t="s">
        <v>137</v>
      </c>
      <c r="I104" s="130" t="s">
        <v>323</v>
      </c>
      <c r="J104" s="130" t="s">
        <v>159</v>
      </c>
      <c r="K104" s="130" t="s">
        <v>372</v>
      </c>
      <c r="L104" s="130" t="s">
        <v>160</v>
      </c>
      <c r="M104" s="128">
        <v>0</v>
      </c>
      <c r="N104" s="128">
        <f t="shared" si="1"/>
        <v>0</v>
      </c>
      <c r="O104" s="130" t="s">
        <v>159</v>
      </c>
      <c r="P104" s="130" t="s">
        <v>159</v>
      </c>
      <c r="Q104" s="130" t="s">
        <v>160</v>
      </c>
      <c r="R104" s="128">
        <v>0</v>
      </c>
      <c r="S104" s="130" t="s">
        <v>324</v>
      </c>
    </row>
    <row r="105" spans="1:19" x14ac:dyDescent="0.25">
      <c r="A105" s="130" t="s">
        <v>396</v>
      </c>
      <c r="B105" s="130" t="s">
        <v>397</v>
      </c>
      <c r="C105" s="130" t="s">
        <v>159</v>
      </c>
      <c r="D105" s="130" t="s">
        <v>159</v>
      </c>
      <c r="E105" s="130" t="s">
        <v>372</v>
      </c>
      <c r="F105" s="130" t="s">
        <v>393</v>
      </c>
      <c r="G105" s="130" t="s">
        <v>137</v>
      </c>
      <c r="I105" s="130" t="s">
        <v>323</v>
      </c>
      <c r="J105" s="130" t="s">
        <v>159</v>
      </c>
      <c r="K105" s="130" t="s">
        <v>372</v>
      </c>
      <c r="L105" s="130" t="s">
        <v>160</v>
      </c>
      <c r="M105" s="128">
        <v>0</v>
      </c>
      <c r="N105" s="128">
        <f t="shared" si="1"/>
        <v>0</v>
      </c>
      <c r="O105" s="130" t="s">
        <v>159</v>
      </c>
      <c r="P105" s="130" t="s">
        <v>159</v>
      </c>
      <c r="Q105" s="130" t="s">
        <v>160</v>
      </c>
      <c r="R105" s="128">
        <v>0</v>
      </c>
      <c r="S105" s="130" t="s">
        <v>324</v>
      </c>
    </row>
    <row r="106" spans="1:19" x14ac:dyDescent="0.25">
      <c r="A106" s="130" t="s">
        <v>398</v>
      </c>
      <c r="B106" s="130" t="s">
        <v>399</v>
      </c>
      <c r="C106" s="130" t="s">
        <v>159</v>
      </c>
      <c r="D106" s="130" t="s">
        <v>159</v>
      </c>
      <c r="E106" s="130" t="s">
        <v>372</v>
      </c>
      <c r="F106" s="130" t="s">
        <v>393</v>
      </c>
      <c r="G106" s="130" t="s">
        <v>137</v>
      </c>
      <c r="I106" s="130" t="s">
        <v>323</v>
      </c>
      <c r="J106" s="130" t="s">
        <v>159</v>
      </c>
      <c r="K106" s="130" t="s">
        <v>372</v>
      </c>
      <c r="L106" s="130" t="s">
        <v>160</v>
      </c>
      <c r="M106" s="128">
        <v>0</v>
      </c>
      <c r="N106" s="128">
        <f t="shared" si="1"/>
        <v>0</v>
      </c>
      <c r="O106" s="130" t="s">
        <v>159</v>
      </c>
      <c r="P106" s="130" t="s">
        <v>159</v>
      </c>
      <c r="Q106" s="130" t="s">
        <v>160</v>
      </c>
      <c r="R106" s="128">
        <v>0</v>
      </c>
      <c r="S106" s="130" t="s">
        <v>324</v>
      </c>
    </row>
    <row r="107" spans="1:19" x14ac:dyDescent="0.25">
      <c r="A107" s="130" t="s">
        <v>400</v>
      </c>
      <c r="B107" s="130" t="s">
        <v>401</v>
      </c>
      <c r="C107" s="130" t="s">
        <v>159</v>
      </c>
      <c r="D107" s="130" t="s">
        <v>159</v>
      </c>
      <c r="E107" s="130" t="s">
        <v>372</v>
      </c>
      <c r="F107" s="130" t="s">
        <v>393</v>
      </c>
      <c r="G107" s="130" t="s">
        <v>137</v>
      </c>
      <c r="I107" s="130" t="s">
        <v>323</v>
      </c>
      <c r="J107" s="130" t="s">
        <v>159</v>
      </c>
      <c r="K107" s="130" t="s">
        <v>372</v>
      </c>
      <c r="L107" s="130" t="s">
        <v>160</v>
      </c>
      <c r="M107" s="128">
        <v>0</v>
      </c>
      <c r="N107" s="128">
        <f t="shared" si="1"/>
        <v>0</v>
      </c>
      <c r="O107" s="130" t="s">
        <v>159</v>
      </c>
      <c r="P107" s="130" t="s">
        <v>159</v>
      </c>
      <c r="Q107" s="130" t="s">
        <v>160</v>
      </c>
      <c r="R107" s="128">
        <v>0</v>
      </c>
      <c r="S107" s="130" t="s">
        <v>324</v>
      </c>
    </row>
    <row r="108" spans="1:19" x14ac:dyDescent="0.25">
      <c r="A108" s="130" t="s">
        <v>402</v>
      </c>
      <c r="B108" s="130" t="s">
        <v>403</v>
      </c>
      <c r="C108" s="130" t="s">
        <v>159</v>
      </c>
      <c r="D108" s="130" t="s">
        <v>159</v>
      </c>
      <c r="E108" s="130" t="s">
        <v>404</v>
      </c>
      <c r="F108" s="130" t="s">
        <v>405</v>
      </c>
      <c r="G108" s="130" t="s">
        <v>137</v>
      </c>
      <c r="I108" s="130" t="s">
        <v>323</v>
      </c>
      <c r="J108" s="130" t="s">
        <v>159</v>
      </c>
      <c r="K108" s="130" t="s">
        <v>404</v>
      </c>
      <c r="L108" s="130" t="s">
        <v>160</v>
      </c>
      <c r="M108" s="128">
        <v>0</v>
      </c>
      <c r="N108" s="128">
        <f t="shared" si="1"/>
        <v>0</v>
      </c>
      <c r="O108" s="130" t="s">
        <v>159</v>
      </c>
      <c r="P108" s="130" t="s">
        <v>159</v>
      </c>
      <c r="Q108" s="130" t="s">
        <v>160</v>
      </c>
      <c r="R108" s="128">
        <v>0</v>
      </c>
      <c r="S108" s="130" t="s">
        <v>324</v>
      </c>
    </row>
    <row r="109" spans="1:19" x14ac:dyDescent="0.25">
      <c r="A109" s="130" t="s">
        <v>406</v>
      </c>
      <c r="B109" s="130" t="s">
        <v>407</v>
      </c>
      <c r="C109" s="130" t="s">
        <v>159</v>
      </c>
      <c r="D109" s="130" t="s">
        <v>159</v>
      </c>
      <c r="E109" s="130" t="s">
        <v>404</v>
      </c>
      <c r="F109" s="130" t="s">
        <v>405</v>
      </c>
      <c r="G109" s="130" t="s">
        <v>137</v>
      </c>
      <c r="I109" s="130" t="s">
        <v>323</v>
      </c>
      <c r="J109" s="130" t="s">
        <v>159</v>
      </c>
      <c r="K109" s="130" t="s">
        <v>404</v>
      </c>
      <c r="L109" s="130" t="s">
        <v>160</v>
      </c>
      <c r="M109" s="128">
        <v>0</v>
      </c>
      <c r="N109" s="128">
        <f t="shared" si="1"/>
        <v>0</v>
      </c>
      <c r="O109" s="130" t="s">
        <v>159</v>
      </c>
      <c r="P109" s="130" t="s">
        <v>159</v>
      </c>
      <c r="Q109" s="130" t="s">
        <v>160</v>
      </c>
      <c r="R109" s="128">
        <v>0</v>
      </c>
      <c r="S109" s="130" t="s">
        <v>324</v>
      </c>
    </row>
    <row r="110" spans="1:19" x14ac:dyDescent="0.25">
      <c r="A110" s="130" t="s">
        <v>408</v>
      </c>
      <c r="B110" s="130" t="s">
        <v>409</v>
      </c>
      <c r="C110" s="130" t="s">
        <v>159</v>
      </c>
      <c r="D110" s="130" t="s">
        <v>159</v>
      </c>
      <c r="E110" s="130" t="s">
        <v>404</v>
      </c>
      <c r="F110" s="130" t="s">
        <v>405</v>
      </c>
      <c r="G110" s="130" t="s">
        <v>137</v>
      </c>
      <c r="I110" s="130" t="s">
        <v>323</v>
      </c>
      <c r="J110" s="130" t="s">
        <v>159</v>
      </c>
      <c r="K110" s="130" t="s">
        <v>404</v>
      </c>
      <c r="L110" s="130" t="s">
        <v>160</v>
      </c>
      <c r="M110" s="128">
        <v>0</v>
      </c>
      <c r="N110" s="128">
        <f t="shared" si="1"/>
        <v>0</v>
      </c>
      <c r="O110" s="130" t="s">
        <v>159</v>
      </c>
      <c r="P110" s="130" t="s">
        <v>159</v>
      </c>
      <c r="Q110" s="130" t="s">
        <v>160</v>
      </c>
      <c r="R110" s="128">
        <v>0</v>
      </c>
      <c r="S110" s="130" t="s">
        <v>324</v>
      </c>
    </row>
    <row r="111" spans="1:19" x14ac:dyDescent="0.25">
      <c r="A111" s="130" t="s">
        <v>410</v>
      </c>
      <c r="B111" s="130" t="s">
        <v>411</v>
      </c>
      <c r="C111" s="130" t="s">
        <v>159</v>
      </c>
      <c r="D111" s="130" t="s">
        <v>159</v>
      </c>
      <c r="E111" s="130" t="s">
        <v>410</v>
      </c>
      <c r="F111" s="130" t="s">
        <v>411</v>
      </c>
      <c r="G111" s="130" t="s">
        <v>137</v>
      </c>
      <c r="I111" s="130" t="s">
        <v>323</v>
      </c>
      <c r="J111" s="130" t="s">
        <v>159</v>
      </c>
      <c r="K111" s="130" t="s">
        <v>410</v>
      </c>
      <c r="L111" s="130" t="s">
        <v>160</v>
      </c>
      <c r="M111" s="128">
        <v>0</v>
      </c>
      <c r="N111" s="128">
        <f t="shared" si="1"/>
        <v>0</v>
      </c>
      <c r="O111" s="130" t="s">
        <v>159</v>
      </c>
      <c r="P111" s="130" t="s">
        <v>159</v>
      </c>
      <c r="Q111" s="130" t="s">
        <v>160</v>
      </c>
      <c r="R111" s="128">
        <v>0</v>
      </c>
      <c r="S111" s="130" t="s">
        <v>324</v>
      </c>
    </row>
    <row r="112" spans="1:19" x14ac:dyDescent="0.25">
      <c r="A112" s="130" t="s">
        <v>412</v>
      </c>
      <c r="B112" s="130" t="s">
        <v>413</v>
      </c>
      <c r="C112" s="130" t="s">
        <v>134</v>
      </c>
      <c r="D112" s="130" t="s">
        <v>134</v>
      </c>
      <c r="E112" s="130" t="s">
        <v>414</v>
      </c>
      <c r="F112" s="130" t="s">
        <v>415</v>
      </c>
      <c r="G112" s="130" t="s">
        <v>137</v>
      </c>
      <c r="I112" s="130" t="s">
        <v>416</v>
      </c>
      <c r="J112" s="130" t="s">
        <v>159</v>
      </c>
      <c r="K112" s="130" t="s">
        <v>414</v>
      </c>
      <c r="L112" s="130" t="s">
        <v>417</v>
      </c>
      <c r="M112" s="128">
        <v>9</v>
      </c>
      <c r="N112" s="128">
        <f t="shared" si="1"/>
        <v>-3</v>
      </c>
      <c r="O112" s="130" t="s">
        <v>134</v>
      </c>
      <c r="P112" s="130" t="s">
        <v>134</v>
      </c>
      <c r="Q112" s="130" t="s">
        <v>417</v>
      </c>
      <c r="R112" s="128">
        <v>9</v>
      </c>
      <c r="S112" s="130" t="s">
        <v>418</v>
      </c>
    </row>
    <row r="113" spans="1:19" x14ac:dyDescent="0.25">
      <c r="A113" s="130" t="s">
        <v>419</v>
      </c>
      <c r="B113" s="130" t="s">
        <v>420</v>
      </c>
      <c r="C113" s="130" t="s">
        <v>134</v>
      </c>
      <c r="D113" s="130" t="s">
        <v>134</v>
      </c>
      <c r="E113" s="130" t="s">
        <v>414</v>
      </c>
      <c r="F113" s="130" t="s">
        <v>415</v>
      </c>
      <c r="G113" s="130" t="s">
        <v>137</v>
      </c>
      <c r="I113" s="130" t="s">
        <v>416</v>
      </c>
      <c r="J113" s="130" t="s">
        <v>159</v>
      </c>
      <c r="K113" s="130" t="s">
        <v>414</v>
      </c>
      <c r="L113" s="130" t="s">
        <v>417</v>
      </c>
      <c r="M113" s="128">
        <v>9</v>
      </c>
      <c r="N113" s="128">
        <f t="shared" si="1"/>
        <v>-3</v>
      </c>
      <c r="O113" s="130" t="s">
        <v>134</v>
      </c>
      <c r="P113" s="130" t="s">
        <v>134</v>
      </c>
      <c r="Q113" s="130" t="s">
        <v>417</v>
      </c>
      <c r="R113" s="128">
        <v>9</v>
      </c>
      <c r="S113" s="130" t="s">
        <v>418</v>
      </c>
    </row>
    <row r="114" spans="1:19" x14ac:dyDescent="0.25">
      <c r="A114" s="130" t="s">
        <v>421</v>
      </c>
      <c r="B114" s="130" t="s">
        <v>422</v>
      </c>
      <c r="C114" s="130" t="s">
        <v>134</v>
      </c>
      <c r="D114" s="130" t="s">
        <v>134</v>
      </c>
      <c r="E114" s="130" t="s">
        <v>414</v>
      </c>
      <c r="F114" s="130" t="s">
        <v>415</v>
      </c>
      <c r="G114" s="130" t="s">
        <v>137</v>
      </c>
      <c r="I114" s="130" t="s">
        <v>416</v>
      </c>
      <c r="J114" s="130" t="s">
        <v>159</v>
      </c>
      <c r="K114" s="130" t="s">
        <v>414</v>
      </c>
      <c r="L114" s="130" t="s">
        <v>417</v>
      </c>
      <c r="M114" s="128">
        <v>9</v>
      </c>
      <c r="N114" s="128">
        <f t="shared" si="1"/>
        <v>-3</v>
      </c>
      <c r="O114" s="130" t="s">
        <v>134</v>
      </c>
      <c r="P114" s="130" t="s">
        <v>134</v>
      </c>
      <c r="Q114" s="130" t="s">
        <v>417</v>
      </c>
      <c r="R114" s="128">
        <v>9</v>
      </c>
      <c r="S114" s="130" t="s">
        <v>418</v>
      </c>
    </row>
    <row r="115" spans="1:19" x14ac:dyDescent="0.25">
      <c r="A115" s="130" t="s">
        <v>423</v>
      </c>
      <c r="B115" s="130" t="s">
        <v>424</v>
      </c>
      <c r="C115" s="130" t="s">
        <v>134</v>
      </c>
      <c r="D115" s="130" t="s">
        <v>134</v>
      </c>
      <c r="E115" s="130" t="s">
        <v>414</v>
      </c>
      <c r="F115" s="130" t="s">
        <v>415</v>
      </c>
      <c r="G115" s="130" t="s">
        <v>137</v>
      </c>
      <c r="I115" s="130" t="s">
        <v>416</v>
      </c>
      <c r="J115" s="130" t="s">
        <v>159</v>
      </c>
      <c r="K115" s="130" t="s">
        <v>414</v>
      </c>
      <c r="L115" s="130" t="s">
        <v>417</v>
      </c>
      <c r="M115" s="128">
        <v>9</v>
      </c>
      <c r="N115" s="128">
        <f t="shared" si="1"/>
        <v>-3</v>
      </c>
      <c r="O115" s="130" t="s">
        <v>134</v>
      </c>
      <c r="P115" s="130" t="s">
        <v>134</v>
      </c>
      <c r="Q115" s="130" t="s">
        <v>417</v>
      </c>
      <c r="R115" s="128">
        <v>9</v>
      </c>
      <c r="S115" s="130" t="s">
        <v>418</v>
      </c>
    </row>
    <row r="116" spans="1:19" x14ac:dyDescent="0.25">
      <c r="A116" s="130" t="s">
        <v>425</v>
      </c>
      <c r="B116" s="130" t="s">
        <v>426</v>
      </c>
      <c r="C116" s="130" t="s">
        <v>134</v>
      </c>
      <c r="D116" s="130" t="s">
        <v>134</v>
      </c>
      <c r="E116" s="130" t="s">
        <v>427</v>
      </c>
      <c r="F116" s="130" t="s">
        <v>428</v>
      </c>
      <c r="G116" s="130" t="s">
        <v>137</v>
      </c>
      <c r="I116" s="130" t="s">
        <v>416</v>
      </c>
      <c r="J116" s="130" t="s">
        <v>159</v>
      </c>
      <c r="K116" s="130" t="s">
        <v>427</v>
      </c>
      <c r="L116" s="130" t="s">
        <v>417</v>
      </c>
      <c r="M116" s="128">
        <v>9</v>
      </c>
      <c r="N116" s="128">
        <f t="shared" si="1"/>
        <v>-3</v>
      </c>
      <c r="O116" s="130" t="s">
        <v>134</v>
      </c>
      <c r="P116" s="130" t="s">
        <v>134</v>
      </c>
      <c r="Q116" s="130" t="s">
        <v>417</v>
      </c>
      <c r="R116" s="128">
        <v>9</v>
      </c>
      <c r="S116" s="130" t="s">
        <v>418</v>
      </c>
    </row>
    <row r="117" spans="1:19" x14ac:dyDescent="0.25">
      <c r="A117" s="130" t="s">
        <v>429</v>
      </c>
      <c r="B117" s="130" t="s">
        <v>430</v>
      </c>
      <c r="C117" s="130" t="s">
        <v>134</v>
      </c>
      <c r="D117" s="130" t="s">
        <v>134</v>
      </c>
      <c r="E117" s="130" t="s">
        <v>427</v>
      </c>
      <c r="F117" s="130" t="s">
        <v>428</v>
      </c>
      <c r="G117" s="130" t="s">
        <v>137</v>
      </c>
      <c r="I117" s="130" t="s">
        <v>416</v>
      </c>
      <c r="J117" s="130" t="s">
        <v>159</v>
      </c>
      <c r="K117" s="130" t="s">
        <v>427</v>
      </c>
      <c r="L117" s="130" t="s">
        <v>417</v>
      </c>
      <c r="M117" s="128">
        <v>9</v>
      </c>
      <c r="N117" s="128">
        <f t="shared" si="1"/>
        <v>-3</v>
      </c>
      <c r="O117" s="130" t="s">
        <v>134</v>
      </c>
      <c r="P117" s="130" t="s">
        <v>134</v>
      </c>
      <c r="Q117" s="130" t="s">
        <v>417</v>
      </c>
      <c r="R117" s="128">
        <v>9</v>
      </c>
      <c r="S117" s="130" t="s">
        <v>418</v>
      </c>
    </row>
    <row r="118" spans="1:19" x14ac:dyDescent="0.25">
      <c r="A118" s="130" t="s">
        <v>431</v>
      </c>
      <c r="B118" s="130" t="s">
        <v>432</v>
      </c>
      <c r="C118" s="130" t="s">
        <v>134</v>
      </c>
      <c r="D118" s="130" t="s">
        <v>134</v>
      </c>
      <c r="E118" s="130" t="s">
        <v>433</v>
      </c>
      <c r="F118" s="130" t="s">
        <v>434</v>
      </c>
      <c r="G118" s="130" t="s">
        <v>137</v>
      </c>
      <c r="I118" s="130" t="s">
        <v>416</v>
      </c>
      <c r="J118" s="130" t="s">
        <v>159</v>
      </c>
      <c r="K118" s="130" t="s">
        <v>433</v>
      </c>
      <c r="L118" s="130" t="s">
        <v>417</v>
      </c>
      <c r="M118" s="128">
        <v>9</v>
      </c>
      <c r="N118" s="128">
        <f t="shared" si="1"/>
        <v>-3</v>
      </c>
      <c r="O118" s="130" t="s">
        <v>134</v>
      </c>
      <c r="P118" s="130" t="s">
        <v>134</v>
      </c>
      <c r="Q118" s="130" t="s">
        <v>417</v>
      </c>
      <c r="R118" s="128">
        <v>9</v>
      </c>
      <c r="S118" s="130" t="s">
        <v>418</v>
      </c>
    </row>
    <row r="119" spans="1:19" x14ac:dyDescent="0.25">
      <c r="A119" s="130" t="s">
        <v>435</v>
      </c>
      <c r="B119" s="130" t="s">
        <v>436</v>
      </c>
      <c r="C119" s="130" t="s">
        <v>134</v>
      </c>
      <c r="D119" s="130" t="s">
        <v>134</v>
      </c>
      <c r="E119" s="130" t="s">
        <v>433</v>
      </c>
      <c r="F119" s="130" t="s">
        <v>434</v>
      </c>
      <c r="G119" s="130" t="s">
        <v>137</v>
      </c>
      <c r="I119" s="130" t="s">
        <v>416</v>
      </c>
      <c r="J119" s="130" t="s">
        <v>159</v>
      </c>
      <c r="K119" s="130" t="s">
        <v>433</v>
      </c>
      <c r="L119" s="130" t="s">
        <v>417</v>
      </c>
      <c r="M119" s="128">
        <v>9</v>
      </c>
      <c r="N119" s="128">
        <f t="shared" si="1"/>
        <v>-3</v>
      </c>
      <c r="O119" s="130" t="s">
        <v>134</v>
      </c>
      <c r="P119" s="130" t="s">
        <v>134</v>
      </c>
      <c r="Q119" s="130" t="s">
        <v>417</v>
      </c>
      <c r="R119" s="128">
        <v>9</v>
      </c>
      <c r="S119" s="130" t="s">
        <v>418</v>
      </c>
    </row>
    <row r="120" spans="1:19" x14ac:dyDescent="0.25">
      <c r="A120" s="130" t="s">
        <v>437</v>
      </c>
      <c r="B120" s="130" t="s">
        <v>438</v>
      </c>
      <c r="C120" s="130" t="s">
        <v>134</v>
      </c>
      <c r="D120" s="130" t="s">
        <v>134</v>
      </c>
      <c r="E120" s="130" t="s">
        <v>433</v>
      </c>
      <c r="F120" s="130" t="s">
        <v>434</v>
      </c>
      <c r="G120" s="130" t="s">
        <v>137</v>
      </c>
      <c r="I120" s="130" t="s">
        <v>416</v>
      </c>
      <c r="J120" s="130" t="s">
        <v>159</v>
      </c>
      <c r="K120" s="130" t="s">
        <v>433</v>
      </c>
      <c r="L120" s="130" t="s">
        <v>417</v>
      </c>
      <c r="M120" s="128">
        <v>9</v>
      </c>
      <c r="N120" s="128">
        <f t="shared" si="1"/>
        <v>-3</v>
      </c>
      <c r="O120" s="130" t="s">
        <v>134</v>
      </c>
      <c r="P120" s="130" t="s">
        <v>134</v>
      </c>
      <c r="Q120" s="130" t="s">
        <v>417</v>
      </c>
      <c r="R120" s="128">
        <v>9</v>
      </c>
      <c r="S120" s="130" t="s">
        <v>418</v>
      </c>
    </row>
    <row r="121" spans="1:19" x14ac:dyDescent="0.25">
      <c r="A121" s="130" t="s">
        <v>439</v>
      </c>
      <c r="B121" s="130" t="s">
        <v>440</v>
      </c>
      <c r="C121" s="130" t="s">
        <v>134</v>
      </c>
      <c r="D121" s="130" t="s">
        <v>134</v>
      </c>
      <c r="E121" s="130" t="s">
        <v>433</v>
      </c>
      <c r="F121" s="130" t="s">
        <v>434</v>
      </c>
      <c r="G121" s="130" t="s">
        <v>137</v>
      </c>
      <c r="I121" s="130" t="s">
        <v>416</v>
      </c>
      <c r="J121" s="130" t="s">
        <v>159</v>
      </c>
      <c r="K121" s="130" t="s">
        <v>433</v>
      </c>
      <c r="L121" s="130" t="s">
        <v>417</v>
      </c>
      <c r="M121" s="128">
        <v>9</v>
      </c>
      <c r="N121" s="128">
        <f t="shared" si="1"/>
        <v>-3</v>
      </c>
      <c r="O121" s="130" t="s">
        <v>134</v>
      </c>
      <c r="P121" s="130" t="s">
        <v>134</v>
      </c>
      <c r="Q121" s="130" t="s">
        <v>417</v>
      </c>
      <c r="R121" s="128">
        <v>9</v>
      </c>
      <c r="S121" s="130" t="s">
        <v>418</v>
      </c>
    </row>
    <row r="122" spans="1:19" x14ac:dyDescent="0.25">
      <c r="A122" s="130" t="s">
        <v>441</v>
      </c>
      <c r="B122" s="130" t="s">
        <v>442</v>
      </c>
      <c r="C122" s="130" t="s">
        <v>134</v>
      </c>
      <c r="D122" s="130" t="s">
        <v>134</v>
      </c>
      <c r="E122" s="130" t="s">
        <v>441</v>
      </c>
      <c r="F122" s="130" t="s">
        <v>443</v>
      </c>
      <c r="G122" s="130" t="s">
        <v>137</v>
      </c>
      <c r="I122" s="130" t="s">
        <v>416</v>
      </c>
      <c r="J122" s="130" t="s">
        <v>159</v>
      </c>
      <c r="K122" s="130" t="s">
        <v>441</v>
      </c>
      <c r="L122" s="130" t="s">
        <v>417</v>
      </c>
      <c r="M122" s="128">
        <v>9</v>
      </c>
      <c r="N122" s="128">
        <f t="shared" si="1"/>
        <v>-3</v>
      </c>
      <c r="O122" s="130" t="s">
        <v>159</v>
      </c>
      <c r="P122" s="130" t="s">
        <v>159</v>
      </c>
      <c r="Q122" s="130" t="s">
        <v>160</v>
      </c>
      <c r="R122" s="128">
        <v>0</v>
      </c>
      <c r="S122" s="130" t="s">
        <v>418</v>
      </c>
    </row>
    <row r="123" spans="1:19" x14ac:dyDescent="0.25">
      <c r="A123" s="130" t="s">
        <v>444</v>
      </c>
      <c r="B123" s="130" t="s">
        <v>445</v>
      </c>
      <c r="C123" s="130" t="s">
        <v>134</v>
      </c>
      <c r="D123" s="130" t="s">
        <v>134</v>
      </c>
      <c r="E123" s="130" t="s">
        <v>441</v>
      </c>
      <c r="F123" s="130" t="s">
        <v>443</v>
      </c>
      <c r="G123" s="130" t="s">
        <v>137</v>
      </c>
      <c r="I123" s="130" t="s">
        <v>416</v>
      </c>
      <c r="J123" s="130" t="s">
        <v>159</v>
      </c>
      <c r="K123" s="130" t="s">
        <v>441</v>
      </c>
      <c r="L123" s="130" t="s">
        <v>417</v>
      </c>
      <c r="M123" s="128">
        <v>9</v>
      </c>
      <c r="N123" s="128">
        <f t="shared" si="1"/>
        <v>-3</v>
      </c>
      <c r="O123" s="130" t="s">
        <v>159</v>
      </c>
      <c r="P123" s="130" t="s">
        <v>159</v>
      </c>
      <c r="Q123" s="130" t="s">
        <v>160</v>
      </c>
      <c r="R123" s="128">
        <v>0</v>
      </c>
      <c r="S123" s="130" t="s">
        <v>418</v>
      </c>
    </row>
    <row r="124" spans="1:19" x14ac:dyDescent="0.25">
      <c r="A124" s="130" t="s">
        <v>446</v>
      </c>
      <c r="B124" s="130" t="s">
        <v>447</v>
      </c>
      <c r="C124" s="130" t="s">
        <v>134</v>
      </c>
      <c r="D124" s="130" t="s">
        <v>134</v>
      </c>
      <c r="E124" s="130" t="s">
        <v>446</v>
      </c>
      <c r="F124" s="130" t="s">
        <v>447</v>
      </c>
      <c r="G124" s="130" t="s">
        <v>137</v>
      </c>
      <c r="I124" s="130" t="s">
        <v>416</v>
      </c>
      <c r="J124" s="130" t="s">
        <v>159</v>
      </c>
      <c r="K124" s="130" t="s">
        <v>446</v>
      </c>
      <c r="L124" s="130" t="s">
        <v>417</v>
      </c>
      <c r="M124" s="128">
        <v>7</v>
      </c>
      <c r="N124" s="128">
        <f t="shared" si="1"/>
        <v>-5</v>
      </c>
      <c r="O124" s="130" t="s">
        <v>159</v>
      </c>
      <c r="P124" s="130" t="s">
        <v>159</v>
      </c>
      <c r="Q124" s="130" t="s">
        <v>160</v>
      </c>
      <c r="R124" s="128">
        <v>0</v>
      </c>
      <c r="S124" s="130" t="s">
        <v>448</v>
      </c>
    </row>
    <row r="125" spans="1:19" x14ac:dyDescent="0.25">
      <c r="A125" s="130" t="s">
        <v>449</v>
      </c>
      <c r="B125" s="130" t="s">
        <v>450</v>
      </c>
      <c r="C125" s="130" t="s">
        <v>134</v>
      </c>
      <c r="D125" s="130" t="s">
        <v>134</v>
      </c>
      <c r="E125" s="130" t="s">
        <v>451</v>
      </c>
      <c r="F125" s="130" t="s">
        <v>452</v>
      </c>
      <c r="G125" s="130" t="s">
        <v>137</v>
      </c>
      <c r="I125" s="130" t="s">
        <v>416</v>
      </c>
      <c r="J125" s="130" t="s">
        <v>159</v>
      </c>
      <c r="K125" s="130" t="s">
        <v>451</v>
      </c>
      <c r="L125" s="130" t="s">
        <v>417</v>
      </c>
      <c r="M125" s="128">
        <v>9</v>
      </c>
      <c r="N125" s="128">
        <f t="shared" si="1"/>
        <v>-3</v>
      </c>
      <c r="O125" s="130" t="s">
        <v>134</v>
      </c>
      <c r="P125" s="130" t="s">
        <v>134</v>
      </c>
      <c r="Q125" s="130" t="s">
        <v>417</v>
      </c>
      <c r="R125" s="128">
        <v>9</v>
      </c>
      <c r="S125" s="130" t="s">
        <v>418</v>
      </c>
    </row>
    <row r="126" spans="1:19" x14ac:dyDescent="0.25">
      <c r="A126" s="130" t="s">
        <v>453</v>
      </c>
      <c r="B126" s="130" t="s">
        <v>454</v>
      </c>
      <c r="C126" s="130" t="s">
        <v>134</v>
      </c>
      <c r="D126" s="130" t="s">
        <v>134</v>
      </c>
      <c r="E126" s="130" t="s">
        <v>451</v>
      </c>
      <c r="F126" s="130" t="s">
        <v>452</v>
      </c>
      <c r="G126" s="130" t="s">
        <v>137</v>
      </c>
      <c r="I126" s="130" t="s">
        <v>416</v>
      </c>
      <c r="J126" s="130" t="s">
        <v>159</v>
      </c>
      <c r="K126" s="130" t="s">
        <v>451</v>
      </c>
      <c r="L126" s="130" t="s">
        <v>417</v>
      </c>
      <c r="M126" s="128">
        <v>9</v>
      </c>
      <c r="N126" s="128">
        <f t="shared" si="1"/>
        <v>-3</v>
      </c>
      <c r="O126" s="130" t="s">
        <v>134</v>
      </c>
      <c r="P126" s="130" t="s">
        <v>134</v>
      </c>
      <c r="Q126" s="130" t="s">
        <v>417</v>
      </c>
      <c r="R126" s="128">
        <v>9</v>
      </c>
      <c r="S126" s="130" t="s">
        <v>418</v>
      </c>
    </row>
    <row r="127" spans="1:19" x14ac:dyDescent="0.25">
      <c r="A127" s="130" t="s">
        <v>455</v>
      </c>
      <c r="B127" s="130" t="s">
        <v>456</v>
      </c>
      <c r="C127" s="130" t="s">
        <v>134</v>
      </c>
      <c r="D127" s="130" t="s">
        <v>134</v>
      </c>
      <c r="E127" s="130" t="s">
        <v>451</v>
      </c>
      <c r="F127" s="130" t="s">
        <v>452</v>
      </c>
      <c r="G127" s="130" t="s">
        <v>137</v>
      </c>
      <c r="I127" s="130" t="s">
        <v>416</v>
      </c>
      <c r="J127" s="130" t="s">
        <v>159</v>
      </c>
      <c r="K127" s="130" t="s">
        <v>451</v>
      </c>
      <c r="L127" s="130" t="s">
        <v>417</v>
      </c>
      <c r="M127" s="128">
        <v>9</v>
      </c>
      <c r="N127" s="128">
        <f t="shared" si="1"/>
        <v>-3</v>
      </c>
      <c r="O127" s="130" t="s">
        <v>134</v>
      </c>
      <c r="P127" s="130" t="s">
        <v>134</v>
      </c>
      <c r="Q127" s="130" t="s">
        <v>417</v>
      </c>
      <c r="R127" s="128">
        <v>9</v>
      </c>
      <c r="S127" s="130" t="s">
        <v>418</v>
      </c>
    </row>
    <row r="128" spans="1:19" x14ac:dyDescent="0.25">
      <c r="A128" s="130" t="s">
        <v>457</v>
      </c>
      <c r="B128" s="130" t="s">
        <v>458</v>
      </c>
      <c r="C128" s="130" t="s">
        <v>134</v>
      </c>
      <c r="D128" s="130" t="s">
        <v>134</v>
      </c>
      <c r="E128" s="130" t="s">
        <v>451</v>
      </c>
      <c r="F128" s="130" t="s">
        <v>452</v>
      </c>
      <c r="G128" s="130" t="s">
        <v>137</v>
      </c>
      <c r="I128" s="130" t="s">
        <v>416</v>
      </c>
      <c r="J128" s="130" t="s">
        <v>159</v>
      </c>
      <c r="K128" s="130" t="s">
        <v>451</v>
      </c>
      <c r="L128" s="130" t="s">
        <v>417</v>
      </c>
      <c r="M128" s="128">
        <v>9</v>
      </c>
      <c r="N128" s="128">
        <f t="shared" si="1"/>
        <v>-3</v>
      </c>
      <c r="O128" s="130" t="s">
        <v>134</v>
      </c>
      <c r="P128" s="130" t="s">
        <v>134</v>
      </c>
      <c r="Q128" s="130" t="s">
        <v>417</v>
      </c>
      <c r="R128" s="128">
        <v>9</v>
      </c>
      <c r="S128" s="130" t="s">
        <v>418</v>
      </c>
    </row>
    <row r="129" spans="1:19" x14ac:dyDescent="0.25">
      <c r="A129" s="130" t="s">
        <v>459</v>
      </c>
      <c r="B129" s="130" t="s">
        <v>460</v>
      </c>
      <c r="C129" s="130" t="s">
        <v>134</v>
      </c>
      <c r="D129" s="130" t="s">
        <v>134</v>
      </c>
      <c r="E129" s="130" t="s">
        <v>451</v>
      </c>
      <c r="F129" s="130" t="s">
        <v>452</v>
      </c>
      <c r="G129" s="130" t="s">
        <v>137</v>
      </c>
      <c r="I129" s="130" t="s">
        <v>416</v>
      </c>
      <c r="J129" s="130" t="s">
        <v>159</v>
      </c>
      <c r="K129" s="130" t="s">
        <v>451</v>
      </c>
      <c r="L129" s="130" t="s">
        <v>417</v>
      </c>
      <c r="M129" s="128">
        <v>9</v>
      </c>
      <c r="N129" s="128">
        <f t="shared" si="1"/>
        <v>-3</v>
      </c>
      <c r="O129" s="130" t="s">
        <v>134</v>
      </c>
      <c r="P129" s="130" t="s">
        <v>134</v>
      </c>
      <c r="Q129" s="130" t="s">
        <v>417</v>
      </c>
      <c r="R129" s="128">
        <v>9</v>
      </c>
      <c r="S129" s="130" t="s">
        <v>418</v>
      </c>
    </row>
    <row r="130" spans="1:19" x14ac:dyDescent="0.25">
      <c r="A130" s="130" t="s">
        <v>461</v>
      </c>
      <c r="B130" s="130" t="s">
        <v>462</v>
      </c>
      <c r="C130" s="130" t="s">
        <v>134</v>
      </c>
      <c r="D130" s="130" t="s">
        <v>134</v>
      </c>
      <c r="E130" s="130" t="s">
        <v>463</v>
      </c>
      <c r="F130" s="130" t="s">
        <v>464</v>
      </c>
      <c r="G130" s="130" t="s">
        <v>137</v>
      </c>
      <c r="I130" s="130" t="s">
        <v>416</v>
      </c>
      <c r="J130" s="130" t="s">
        <v>159</v>
      </c>
      <c r="K130" s="130" t="s">
        <v>463</v>
      </c>
      <c r="L130" s="130" t="s">
        <v>417</v>
      </c>
      <c r="M130" s="128">
        <v>9</v>
      </c>
      <c r="N130" s="128">
        <f t="shared" si="1"/>
        <v>-3</v>
      </c>
      <c r="O130" s="130" t="s">
        <v>134</v>
      </c>
      <c r="P130" s="130" t="s">
        <v>134</v>
      </c>
      <c r="Q130" s="130" t="s">
        <v>417</v>
      </c>
      <c r="R130" s="128">
        <v>9</v>
      </c>
      <c r="S130" s="130" t="s">
        <v>418</v>
      </c>
    </row>
    <row r="131" spans="1:19" x14ac:dyDescent="0.25">
      <c r="A131" s="130" t="s">
        <v>465</v>
      </c>
      <c r="B131" s="130" t="s">
        <v>466</v>
      </c>
      <c r="C131" s="130" t="s">
        <v>134</v>
      </c>
      <c r="D131" s="130" t="s">
        <v>134</v>
      </c>
      <c r="E131" s="130" t="s">
        <v>467</v>
      </c>
      <c r="F131" s="130" t="s">
        <v>468</v>
      </c>
      <c r="G131" s="130" t="s">
        <v>137</v>
      </c>
      <c r="I131" s="130" t="s">
        <v>416</v>
      </c>
      <c r="J131" s="130" t="s">
        <v>159</v>
      </c>
      <c r="K131" s="130" t="s">
        <v>467</v>
      </c>
      <c r="L131" s="130" t="s">
        <v>417</v>
      </c>
      <c r="M131" s="128">
        <v>9</v>
      </c>
      <c r="N131" s="128">
        <f t="shared" ref="N131:N194" si="2">M131-L131</f>
        <v>-3</v>
      </c>
      <c r="O131" s="130" t="s">
        <v>134</v>
      </c>
      <c r="P131" s="130" t="s">
        <v>134</v>
      </c>
      <c r="Q131" s="130" t="s">
        <v>417</v>
      </c>
      <c r="R131" s="128">
        <v>9</v>
      </c>
      <c r="S131" s="130" t="s">
        <v>418</v>
      </c>
    </row>
    <row r="132" spans="1:19" x14ac:dyDescent="0.25">
      <c r="A132" s="130" t="s">
        <v>469</v>
      </c>
      <c r="B132" s="130" t="s">
        <v>470</v>
      </c>
      <c r="C132" s="130" t="s">
        <v>134</v>
      </c>
      <c r="D132" s="130" t="s">
        <v>134</v>
      </c>
      <c r="E132" s="130" t="s">
        <v>467</v>
      </c>
      <c r="F132" s="130" t="s">
        <v>468</v>
      </c>
      <c r="G132" s="130" t="s">
        <v>137</v>
      </c>
      <c r="I132" s="130" t="s">
        <v>416</v>
      </c>
      <c r="J132" s="130" t="s">
        <v>159</v>
      </c>
      <c r="K132" s="130" t="s">
        <v>467</v>
      </c>
      <c r="L132" s="130" t="s">
        <v>417</v>
      </c>
      <c r="M132" s="128">
        <v>9</v>
      </c>
      <c r="N132" s="128">
        <f t="shared" si="2"/>
        <v>-3</v>
      </c>
      <c r="O132" s="130" t="s">
        <v>134</v>
      </c>
      <c r="P132" s="130" t="s">
        <v>134</v>
      </c>
      <c r="Q132" s="130" t="s">
        <v>417</v>
      </c>
      <c r="R132" s="128">
        <v>9</v>
      </c>
      <c r="S132" s="130" t="s">
        <v>418</v>
      </c>
    </row>
    <row r="133" spans="1:19" x14ac:dyDescent="0.25">
      <c r="A133" s="130" t="s">
        <v>471</v>
      </c>
      <c r="B133" s="130" t="s">
        <v>472</v>
      </c>
      <c r="C133" s="130" t="s">
        <v>134</v>
      </c>
      <c r="D133" s="130" t="s">
        <v>134</v>
      </c>
      <c r="E133" s="130" t="s">
        <v>467</v>
      </c>
      <c r="F133" s="130" t="s">
        <v>468</v>
      </c>
      <c r="G133" s="130" t="s">
        <v>137</v>
      </c>
      <c r="I133" s="130" t="s">
        <v>416</v>
      </c>
      <c r="J133" s="130" t="s">
        <v>159</v>
      </c>
      <c r="K133" s="130" t="s">
        <v>467</v>
      </c>
      <c r="L133" s="130" t="s">
        <v>417</v>
      </c>
      <c r="M133" s="128">
        <v>9</v>
      </c>
      <c r="N133" s="128">
        <f t="shared" si="2"/>
        <v>-3</v>
      </c>
      <c r="O133" s="130" t="s">
        <v>134</v>
      </c>
      <c r="P133" s="130" t="s">
        <v>134</v>
      </c>
      <c r="Q133" s="130" t="s">
        <v>417</v>
      </c>
      <c r="R133" s="128">
        <v>9</v>
      </c>
      <c r="S133" s="130" t="s">
        <v>418</v>
      </c>
    </row>
    <row r="134" spans="1:19" x14ac:dyDescent="0.25">
      <c r="A134" s="130" t="s">
        <v>473</v>
      </c>
      <c r="B134" s="130" t="s">
        <v>474</v>
      </c>
      <c r="C134" s="130" t="s">
        <v>134</v>
      </c>
      <c r="D134" s="130" t="s">
        <v>134</v>
      </c>
      <c r="E134" s="130" t="s">
        <v>467</v>
      </c>
      <c r="F134" s="130" t="s">
        <v>468</v>
      </c>
      <c r="G134" s="130" t="s">
        <v>137</v>
      </c>
      <c r="I134" s="130" t="s">
        <v>416</v>
      </c>
      <c r="J134" s="130" t="s">
        <v>159</v>
      </c>
      <c r="K134" s="130" t="s">
        <v>467</v>
      </c>
      <c r="L134" s="130" t="s">
        <v>417</v>
      </c>
      <c r="M134" s="128">
        <v>9</v>
      </c>
      <c r="N134" s="128">
        <f t="shared" si="2"/>
        <v>-3</v>
      </c>
      <c r="O134" s="130" t="s">
        <v>134</v>
      </c>
      <c r="P134" s="130" t="s">
        <v>134</v>
      </c>
      <c r="Q134" s="130" t="s">
        <v>417</v>
      </c>
      <c r="R134" s="128">
        <v>9</v>
      </c>
      <c r="S134" s="130" t="s">
        <v>418</v>
      </c>
    </row>
    <row r="135" spans="1:19" x14ac:dyDescent="0.25">
      <c r="A135" s="130" t="s">
        <v>475</v>
      </c>
      <c r="B135" s="130" t="s">
        <v>476</v>
      </c>
      <c r="C135" s="130" t="s">
        <v>134</v>
      </c>
      <c r="D135" s="130" t="s">
        <v>134</v>
      </c>
      <c r="E135" s="130" t="s">
        <v>477</v>
      </c>
      <c r="F135" s="130" t="s">
        <v>478</v>
      </c>
      <c r="G135" s="130" t="s">
        <v>137</v>
      </c>
      <c r="I135" s="130" t="s">
        <v>416</v>
      </c>
      <c r="J135" s="130" t="s">
        <v>159</v>
      </c>
      <c r="K135" s="130" t="s">
        <v>477</v>
      </c>
      <c r="L135" s="130" t="s">
        <v>417</v>
      </c>
      <c r="M135" s="128">
        <v>9</v>
      </c>
      <c r="N135" s="128">
        <f t="shared" si="2"/>
        <v>-3</v>
      </c>
      <c r="O135" s="130" t="s">
        <v>134</v>
      </c>
      <c r="P135" s="130" t="s">
        <v>134</v>
      </c>
      <c r="Q135" s="130" t="s">
        <v>417</v>
      </c>
      <c r="R135" s="128">
        <v>9</v>
      </c>
      <c r="S135" s="130" t="s">
        <v>418</v>
      </c>
    </row>
    <row r="136" spans="1:19" x14ac:dyDescent="0.25">
      <c r="A136" s="130" t="s">
        <v>479</v>
      </c>
      <c r="B136" s="130" t="s">
        <v>480</v>
      </c>
      <c r="C136" s="130" t="s">
        <v>134</v>
      </c>
      <c r="D136" s="130" t="s">
        <v>134</v>
      </c>
      <c r="E136" s="130" t="s">
        <v>477</v>
      </c>
      <c r="F136" s="130" t="s">
        <v>478</v>
      </c>
      <c r="G136" s="130" t="s">
        <v>137</v>
      </c>
      <c r="I136" s="130" t="s">
        <v>416</v>
      </c>
      <c r="J136" s="130" t="s">
        <v>159</v>
      </c>
      <c r="K136" s="130" t="s">
        <v>477</v>
      </c>
      <c r="L136" s="130" t="s">
        <v>417</v>
      </c>
      <c r="M136" s="128">
        <v>9</v>
      </c>
      <c r="N136" s="128">
        <f t="shared" si="2"/>
        <v>-3</v>
      </c>
      <c r="O136" s="130" t="s">
        <v>134</v>
      </c>
      <c r="P136" s="130" t="s">
        <v>134</v>
      </c>
      <c r="Q136" s="130" t="s">
        <v>417</v>
      </c>
      <c r="R136" s="128">
        <v>9</v>
      </c>
      <c r="S136" s="130" t="s">
        <v>418</v>
      </c>
    </row>
    <row r="137" spans="1:19" x14ac:dyDescent="0.25">
      <c r="A137" s="130" t="s">
        <v>481</v>
      </c>
      <c r="B137" s="130" t="s">
        <v>482</v>
      </c>
      <c r="C137" s="130" t="s">
        <v>134</v>
      </c>
      <c r="D137" s="130" t="s">
        <v>134</v>
      </c>
      <c r="E137" s="130" t="s">
        <v>477</v>
      </c>
      <c r="F137" s="130" t="s">
        <v>478</v>
      </c>
      <c r="G137" s="130" t="s">
        <v>137</v>
      </c>
      <c r="I137" s="130" t="s">
        <v>416</v>
      </c>
      <c r="J137" s="130" t="s">
        <v>159</v>
      </c>
      <c r="K137" s="130" t="s">
        <v>477</v>
      </c>
      <c r="L137" s="130" t="s">
        <v>417</v>
      </c>
      <c r="M137" s="128">
        <v>9</v>
      </c>
      <c r="N137" s="128">
        <f t="shared" si="2"/>
        <v>-3</v>
      </c>
      <c r="O137" s="130" t="s">
        <v>134</v>
      </c>
      <c r="P137" s="130" t="s">
        <v>134</v>
      </c>
      <c r="Q137" s="130" t="s">
        <v>417</v>
      </c>
      <c r="R137" s="128">
        <v>9</v>
      </c>
      <c r="S137" s="130" t="s">
        <v>418</v>
      </c>
    </row>
    <row r="138" spans="1:19" x14ac:dyDescent="0.25">
      <c r="A138" s="130" t="s">
        <v>483</v>
      </c>
      <c r="B138" s="130" t="s">
        <v>484</v>
      </c>
      <c r="C138" s="130" t="s">
        <v>134</v>
      </c>
      <c r="D138" s="130" t="s">
        <v>134</v>
      </c>
      <c r="E138" s="130" t="s">
        <v>477</v>
      </c>
      <c r="F138" s="130" t="s">
        <v>478</v>
      </c>
      <c r="G138" s="130" t="s">
        <v>137</v>
      </c>
      <c r="I138" s="130" t="s">
        <v>416</v>
      </c>
      <c r="J138" s="130" t="s">
        <v>159</v>
      </c>
      <c r="K138" s="130" t="s">
        <v>477</v>
      </c>
      <c r="L138" s="130" t="s">
        <v>417</v>
      </c>
      <c r="M138" s="128">
        <v>9</v>
      </c>
      <c r="N138" s="128">
        <f t="shared" si="2"/>
        <v>-3</v>
      </c>
      <c r="O138" s="130" t="s">
        <v>134</v>
      </c>
      <c r="P138" s="130" t="s">
        <v>134</v>
      </c>
      <c r="Q138" s="130" t="s">
        <v>417</v>
      </c>
      <c r="R138" s="128">
        <v>9</v>
      </c>
      <c r="S138" s="130" t="s">
        <v>418</v>
      </c>
    </row>
    <row r="139" spans="1:19" x14ac:dyDescent="0.25">
      <c r="A139" s="130" t="s">
        <v>485</v>
      </c>
      <c r="B139" s="130" t="s">
        <v>486</v>
      </c>
      <c r="C139" s="130" t="s">
        <v>134</v>
      </c>
      <c r="D139" s="130" t="s">
        <v>134</v>
      </c>
      <c r="E139" s="130" t="s">
        <v>477</v>
      </c>
      <c r="F139" s="130" t="s">
        <v>478</v>
      </c>
      <c r="G139" s="130" t="s">
        <v>137</v>
      </c>
      <c r="I139" s="130" t="s">
        <v>416</v>
      </c>
      <c r="J139" s="130" t="s">
        <v>159</v>
      </c>
      <c r="K139" s="130" t="s">
        <v>477</v>
      </c>
      <c r="L139" s="130" t="s">
        <v>417</v>
      </c>
      <c r="M139" s="128">
        <v>9</v>
      </c>
      <c r="N139" s="128">
        <f t="shared" si="2"/>
        <v>-3</v>
      </c>
      <c r="O139" s="130" t="s">
        <v>134</v>
      </c>
      <c r="P139" s="130" t="s">
        <v>134</v>
      </c>
      <c r="Q139" s="130" t="s">
        <v>417</v>
      </c>
      <c r="R139" s="128">
        <v>9</v>
      </c>
      <c r="S139" s="130" t="s">
        <v>418</v>
      </c>
    </row>
    <row r="140" spans="1:19" x14ac:dyDescent="0.25">
      <c r="A140" s="130" t="s">
        <v>487</v>
      </c>
      <c r="B140" s="130" t="s">
        <v>488</v>
      </c>
      <c r="C140" s="130" t="s">
        <v>134</v>
      </c>
      <c r="D140" s="130" t="s">
        <v>134</v>
      </c>
      <c r="E140" s="130" t="s">
        <v>477</v>
      </c>
      <c r="F140" s="130" t="s">
        <v>478</v>
      </c>
      <c r="G140" s="130" t="s">
        <v>137</v>
      </c>
      <c r="I140" s="130" t="s">
        <v>416</v>
      </c>
      <c r="J140" s="130" t="s">
        <v>159</v>
      </c>
      <c r="K140" s="130" t="s">
        <v>477</v>
      </c>
      <c r="L140" s="130" t="s">
        <v>417</v>
      </c>
      <c r="M140" s="128">
        <v>9</v>
      </c>
      <c r="N140" s="128">
        <f t="shared" si="2"/>
        <v>-3</v>
      </c>
      <c r="O140" s="130" t="s">
        <v>134</v>
      </c>
      <c r="P140" s="130" t="s">
        <v>134</v>
      </c>
      <c r="Q140" s="130" t="s">
        <v>417</v>
      </c>
      <c r="R140" s="128">
        <v>9</v>
      </c>
      <c r="S140" s="130" t="s">
        <v>418</v>
      </c>
    </row>
    <row r="141" spans="1:19" x14ac:dyDescent="0.25">
      <c r="A141" s="130" t="s">
        <v>489</v>
      </c>
      <c r="B141" s="130" t="s">
        <v>490</v>
      </c>
      <c r="C141" s="130" t="s">
        <v>134</v>
      </c>
      <c r="D141" s="130" t="s">
        <v>134</v>
      </c>
      <c r="E141" s="130" t="s">
        <v>477</v>
      </c>
      <c r="F141" s="130" t="s">
        <v>478</v>
      </c>
      <c r="G141" s="130" t="s">
        <v>137</v>
      </c>
      <c r="I141" s="130" t="s">
        <v>416</v>
      </c>
      <c r="J141" s="130" t="s">
        <v>159</v>
      </c>
      <c r="K141" s="130" t="s">
        <v>477</v>
      </c>
      <c r="L141" s="130" t="s">
        <v>417</v>
      </c>
      <c r="M141" s="128">
        <v>9</v>
      </c>
      <c r="N141" s="128">
        <f t="shared" si="2"/>
        <v>-3</v>
      </c>
      <c r="O141" s="130" t="s">
        <v>134</v>
      </c>
      <c r="P141" s="130" t="s">
        <v>134</v>
      </c>
      <c r="Q141" s="130" t="s">
        <v>417</v>
      </c>
      <c r="R141" s="128">
        <v>9</v>
      </c>
      <c r="S141" s="130" t="s">
        <v>418</v>
      </c>
    </row>
    <row r="142" spans="1:19" x14ac:dyDescent="0.25">
      <c r="A142" s="130" t="s">
        <v>491</v>
      </c>
      <c r="B142" s="130" t="s">
        <v>492</v>
      </c>
      <c r="C142" s="130" t="s">
        <v>134</v>
      </c>
      <c r="D142" s="130" t="s">
        <v>134</v>
      </c>
      <c r="E142" s="130" t="s">
        <v>477</v>
      </c>
      <c r="F142" s="130" t="s">
        <v>478</v>
      </c>
      <c r="G142" s="130" t="s">
        <v>137</v>
      </c>
      <c r="I142" s="130" t="s">
        <v>416</v>
      </c>
      <c r="J142" s="130" t="s">
        <v>159</v>
      </c>
      <c r="K142" s="130" t="s">
        <v>477</v>
      </c>
      <c r="L142" s="130" t="s">
        <v>417</v>
      </c>
      <c r="M142" s="128">
        <v>9</v>
      </c>
      <c r="N142" s="128">
        <f t="shared" si="2"/>
        <v>-3</v>
      </c>
      <c r="O142" s="130" t="s">
        <v>134</v>
      </c>
      <c r="P142" s="130" t="s">
        <v>134</v>
      </c>
      <c r="Q142" s="130" t="s">
        <v>417</v>
      </c>
      <c r="R142" s="128">
        <v>9</v>
      </c>
      <c r="S142" s="130" t="s">
        <v>418</v>
      </c>
    </row>
    <row r="143" spans="1:19" x14ac:dyDescent="0.25">
      <c r="A143" s="130" t="s">
        <v>493</v>
      </c>
      <c r="B143" s="130" t="s">
        <v>494</v>
      </c>
      <c r="C143" s="130" t="s">
        <v>134</v>
      </c>
      <c r="D143" s="130" t="s">
        <v>134</v>
      </c>
      <c r="E143" s="130" t="s">
        <v>477</v>
      </c>
      <c r="F143" s="130" t="s">
        <v>478</v>
      </c>
      <c r="G143" s="130" t="s">
        <v>137</v>
      </c>
      <c r="I143" s="130" t="s">
        <v>416</v>
      </c>
      <c r="J143" s="130" t="s">
        <v>159</v>
      </c>
      <c r="K143" s="130" t="s">
        <v>477</v>
      </c>
      <c r="L143" s="130" t="s">
        <v>417</v>
      </c>
      <c r="M143" s="128">
        <v>9</v>
      </c>
      <c r="N143" s="128">
        <f t="shared" si="2"/>
        <v>-3</v>
      </c>
      <c r="O143" s="130" t="s">
        <v>134</v>
      </c>
      <c r="P143" s="130" t="s">
        <v>134</v>
      </c>
      <c r="Q143" s="130" t="s">
        <v>417</v>
      </c>
      <c r="R143" s="128">
        <v>9</v>
      </c>
      <c r="S143" s="130" t="s">
        <v>418</v>
      </c>
    </row>
    <row r="144" spans="1:19" x14ac:dyDescent="0.25">
      <c r="A144" s="130" t="s">
        <v>495</v>
      </c>
      <c r="B144" s="130" t="s">
        <v>496</v>
      </c>
      <c r="C144" s="130" t="s">
        <v>134</v>
      </c>
      <c r="D144" s="130" t="s">
        <v>134</v>
      </c>
      <c r="E144" s="130" t="s">
        <v>477</v>
      </c>
      <c r="F144" s="130" t="s">
        <v>478</v>
      </c>
      <c r="G144" s="130" t="s">
        <v>137</v>
      </c>
      <c r="I144" s="130" t="s">
        <v>416</v>
      </c>
      <c r="J144" s="130" t="s">
        <v>159</v>
      </c>
      <c r="K144" s="130" t="s">
        <v>477</v>
      </c>
      <c r="L144" s="130" t="s">
        <v>417</v>
      </c>
      <c r="M144" s="128">
        <v>9</v>
      </c>
      <c r="N144" s="128">
        <f t="shared" si="2"/>
        <v>-3</v>
      </c>
      <c r="O144" s="130" t="s">
        <v>134</v>
      </c>
      <c r="P144" s="130" t="s">
        <v>134</v>
      </c>
      <c r="Q144" s="130" t="s">
        <v>417</v>
      </c>
      <c r="R144" s="128">
        <v>9</v>
      </c>
      <c r="S144" s="130" t="s">
        <v>418</v>
      </c>
    </row>
    <row r="145" spans="1:19" x14ac:dyDescent="0.25">
      <c r="A145" s="130" t="s">
        <v>497</v>
      </c>
      <c r="B145" s="130" t="s">
        <v>498</v>
      </c>
      <c r="C145" s="130" t="s">
        <v>134</v>
      </c>
      <c r="D145" s="130" t="s">
        <v>134</v>
      </c>
      <c r="E145" s="130" t="s">
        <v>477</v>
      </c>
      <c r="F145" s="130" t="s">
        <v>478</v>
      </c>
      <c r="G145" s="130" t="s">
        <v>137</v>
      </c>
      <c r="I145" s="130" t="s">
        <v>416</v>
      </c>
      <c r="J145" s="130" t="s">
        <v>159</v>
      </c>
      <c r="K145" s="130" t="s">
        <v>477</v>
      </c>
      <c r="L145" s="130" t="s">
        <v>417</v>
      </c>
      <c r="M145" s="128">
        <v>9</v>
      </c>
      <c r="N145" s="128">
        <f t="shared" si="2"/>
        <v>-3</v>
      </c>
      <c r="O145" s="130" t="s">
        <v>134</v>
      </c>
      <c r="P145" s="130" t="s">
        <v>134</v>
      </c>
      <c r="Q145" s="130" t="s">
        <v>417</v>
      </c>
      <c r="R145" s="128">
        <v>9</v>
      </c>
      <c r="S145" s="130" t="s">
        <v>418</v>
      </c>
    </row>
    <row r="146" spans="1:19" x14ac:dyDescent="0.25">
      <c r="A146" s="130" t="s">
        <v>499</v>
      </c>
      <c r="B146" s="130" t="s">
        <v>500</v>
      </c>
      <c r="C146" s="130" t="s">
        <v>134</v>
      </c>
      <c r="D146" s="130" t="s">
        <v>134</v>
      </c>
      <c r="E146" s="130" t="s">
        <v>477</v>
      </c>
      <c r="F146" s="130" t="s">
        <v>478</v>
      </c>
      <c r="G146" s="130" t="s">
        <v>137</v>
      </c>
      <c r="I146" s="130" t="s">
        <v>416</v>
      </c>
      <c r="J146" s="130" t="s">
        <v>159</v>
      </c>
      <c r="K146" s="130" t="s">
        <v>477</v>
      </c>
      <c r="L146" s="130" t="s">
        <v>417</v>
      </c>
      <c r="M146" s="128">
        <v>9</v>
      </c>
      <c r="N146" s="128">
        <f t="shared" si="2"/>
        <v>-3</v>
      </c>
      <c r="O146" s="130" t="s">
        <v>134</v>
      </c>
      <c r="P146" s="130" t="s">
        <v>134</v>
      </c>
      <c r="Q146" s="130" t="s">
        <v>417</v>
      </c>
      <c r="R146" s="128">
        <v>9</v>
      </c>
      <c r="S146" s="130" t="s">
        <v>418</v>
      </c>
    </row>
    <row r="147" spans="1:19" x14ac:dyDescent="0.25">
      <c r="A147" s="130" t="s">
        <v>501</v>
      </c>
      <c r="B147" s="130" t="s">
        <v>502</v>
      </c>
      <c r="C147" s="130" t="s">
        <v>134</v>
      </c>
      <c r="D147" s="130" t="s">
        <v>134</v>
      </c>
      <c r="E147" s="130" t="s">
        <v>477</v>
      </c>
      <c r="F147" s="130" t="s">
        <v>478</v>
      </c>
      <c r="G147" s="130" t="s">
        <v>137</v>
      </c>
      <c r="I147" s="130" t="s">
        <v>416</v>
      </c>
      <c r="J147" s="130" t="s">
        <v>159</v>
      </c>
      <c r="K147" s="130" t="s">
        <v>477</v>
      </c>
      <c r="L147" s="130" t="s">
        <v>417</v>
      </c>
      <c r="M147" s="128">
        <v>9</v>
      </c>
      <c r="N147" s="128">
        <f t="shared" si="2"/>
        <v>-3</v>
      </c>
      <c r="O147" s="130" t="s">
        <v>134</v>
      </c>
      <c r="P147" s="130" t="s">
        <v>134</v>
      </c>
      <c r="Q147" s="130" t="s">
        <v>417</v>
      </c>
      <c r="R147" s="128">
        <v>9</v>
      </c>
      <c r="S147" s="130" t="s">
        <v>418</v>
      </c>
    </row>
    <row r="148" spans="1:19" x14ac:dyDescent="0.25">
      <c r="A148" s="130" t="s">
        <v>503</v>
      </c>
      <c r="B148" s="130" t="s">
        <v>504</v>
      </c>
      <c r="C148" s="130" t="s">
        <v>134</v>
      </c>
      <c r="D148" s="130" t="s">
        <v>134</v>
      </c>
      <c r="E148" s="130" t="s">
        <v>477</v>
      </c>
      <c r="F148" s="130" t="s">
        <v>478</v>
      </c>
      <c r="G148" s="130" t="s">
        <v>137</v>
      </c>
      <c r="I148" s="130" t="s">
        <v>416</v>
      </c>
      <c r="J148" s="130" t="s">
        <v>159</v>
      </c>
      <c r="K148" s="130" t="s">
        <v>477</v>
      </c>
      <c r="L148" s="130" t="s">
        <v>417</v>
      </c>
      <c r="M148" s="128">
        <v>9</v>
      </c>
      <c r="N148" s="128">
        <f t="shared" si="2"/>
        <v>-3</v>
      </c>
      <c r="O148" s="130" t="s">
        <v>134</v>
      </c>
      <c r="P148" s="130" t="s">
        <v>134</v>
      </c>
      <c r="Q148" s="130" t="s">
        <v>417</v>
      </c>
      <c r="R148" s="128">
        <v>9</v>
      </c>
      <c r="S148" s="130" t="s">
        <v>418</v>
      </c>
    </row>
    <row r="149" spans="1:19" x14ac:dyDescent="0.25">
      <c r="A149" s="130" t="s">
        <v>505</v>
      </c>
      <c r="B149" s="130" t="s">
        <v>506</v>
      </c>
      <c r="C149" s="130" t="s">
        <v>134</v>
      </c>
      <c r="D149" s="130" t="s">
        <v>134</v>
      </c>
      <c r="E149" s="130" t="s">
        <v>477</v>
      </c>
      <c r="F149" s="130" t="s">
        <v>478</v>
      </c>
      <c r="G149" s="130" t="s">
        <v>137</v>
      </c>
      <c r="I149" s="130" t="s">
        <v>416</v>
      </c>
      <c r="J149" s="130" t="s">
        <v>159</v>
      </c>
      <c r="K149" s="130" t="s">
        <v>477</v>
      </c>
      <c r="L149" s="130" t="s">
        <v>417</v>
      </c>
      <c r="M149" s="128">
        <v>9</v>
      </c>
      <c r="N149" s="128">
        <f t="shared" si="2"/>
        <v>-3</v>
      </c>
      <c r="O149" s="130" t="s">
        <v>134</v>
      </c>
      <c r="P149" s="130" t="s">
        <v>134</v>
      </c>
      <c r="Q149" s="130" t="s">
        <v>417</v>
      </c>
      <c r="R149" s="128">
        <v>9</v>
      </c>
      <c r="S149" s="130" t="s">
        <v>418</v>
      </c>
    </row>
    <row r="150" spans="1:19" x14ac:dyDescent="0.25">
      <c r="A150" s="130" t="s">
        <v>507</v>
      </c>
      <c r="B150" s="130" t="s">
        <v>508</v>
      </c>
      <c r="C150" s="130" t="s">
        <v>134</v>
      </c>
      <c r="D150" s="130" t="s">
        <v>134</v>
      </c>
      <c r="E150" s="130" t="s">
        <v>477</v>
      </c>
      <c r="F150" s="130" t="s">
        <v>478</v>
      </c>
      <c r="G150" s="130" t="s">
        <v>137</v>
      </c>
      <c r="I150" s="130" t="s">
        <v>416</v>
      </c>
      <c r="J150" s="130" t="s">
        <v>159</v>
      </c>
      <c r="K150" s="130" t="s">
        <v>477</v>
      </c>
      <c r="L150" s="130" t="s">
        <v>417</v>
      </c>
      <c r="M150" s="128">
        <v>9</v>
      </c>
      <c r="N150" s="128">
        <f t="shared" si="2"/>
        <v>-3</v>
      </c>
      <c r="O150" s="130" t="s">
        <v>134</v>
      </c>
      <c r="P150" s="130" t="s">
        <v>134</v>
      </c>
      <c r="Q150" s="130" t="s">
        <v>417</v>
      </c>
      <c r="R150" s="128">
        <v>9</v>
      </c>
      <c r="S150" s="130" t="s">
        <v>418</v>
      </c>
    </row>
    <row r="151" spans="1:19" x14ac:dyDescent="0.25">
      <c r="A151" s="130" t="s">
        <v>509</v>
      </c>
      <c r="B151" s="130" t="s">
        <v>510</v>
      </c>
      <c r="C151" s="130" t="s">
        <v>134</v>
      </c>
      <c r="D151" s="130" t="s">
        <v>134</v>
      </c>
      <c r="E151" s="130" t="s">
        <v>511</v>
      </c>
      <c r="F151" s="130" t="s">
        <v>512</v>
      </c>
      <c r="G151" s="130" t="s">
        <v>137</v>
      </c>
      <c r="I151" s="130" t="s">
        <v>416</v>
      </c>
      <c r="J151" s="130" t="s">
        <v>159</v>
      </c>
      <c r="K151" s="130" t="s">
        <v>511</v>
      </c>
      <c r="L151" s="130" t="s">
        <v>417</v>
      </c>
      <c r="M151" s="128">
        <v>9</v>
      </c>
      <c r="N151" s="128">
        <f t="shared" si="2"/>
        <v>-3</v>
      </c>
      <c r="O151" s="130" t="s">
        <v>134</v>
      </c>
      <c r="P151" s="130" t="s">
        <v>134</v>
      </c>
      <c r="Q151" s="130" t="s">
        <v>417</v>
      </c>
      <c r="R151" s="128">
        <v>9</v>
      </c>
      <c r="S151" s="130" t="s">
        <v>418</v>
      </c>
    </row>
    <row r="152" spans="1:19" x14ac:dyDescent="0.25">
      <c r="A152" s="130" t="s">
        <v>513</v>
      </c>
      <c r="B152" s="130" t="s">
        <v>514</v>
      </c>
      <c r="C152" s="130" t="s">
        <v>134</v>
      </c>
      <c r="D152" s="130" t="s">
        <v>134</v>
      </c>
      <c r="E152" s="130" t="s">
        <v>511</v>
      </c>
      <c r="F152" s="130" t="s">
        <v>512</v>
      </c>
      <c r="G152" s="130" t="s">
        <v>137</v>
      </c>
      <c r="I152" s="130" t="s">
        <v>416</v>
      </c>
      <c r="J152" s="130" t="s">
        <v>159</v>
      </c>
      <c r="K152" s="130" t="s">
        <v>511</v>
      </c>
      <c r="L152" s="130" t="s">
        <v>417</v>
      </c>
      <c r="M152" s="128">
        <v>9</v>
      </c>
      <c r="N152" s="128">
        <f t="shared" si="2"/>
        <v>-3</v>
      </c>
      <c r="O152" s="130" t="s">
        <v>134</v>
      </c>
      <c r="P152" s="130" t="s">
        <v>134</v>
      </c>
      <c r="Q152" s="130" t="s">
        <v>417</v>
      </c>
      <c r="R152" s="128">
        <v>9</v>
      </c>
      <c r="S152" s="130" t="s">
        <v>418</v>
      </c>
    </row>
    <row r="153" spans="1:19" x14ac:dyDescent="0.25">
      <c r="A153" s="130" t="s">
        <v>515</v>
      </c>
      <c r="B153" s="130" t="s">
        <v>516</v>
      </c>
      <c r="C153" s="130" t="s">
        <v>134</v>
      </c>
      <c r="D153" s="130" t="s">
        <v>134</v>
      </c>
      <c r="E153" s="130" t="s">
        <v>517</v>
      </c>
      <c r="F153" s="130" t="s">
        <v>518</v>
      </c>
      <c r="G153" s="130" t="s">
        <v>159</v>
      </c>
      <c r="I153" s="130" t="s">
        <v>416</v>
      </c>
      <c r="J153" s="130" t="s">
        <v>159</v>
      </c>
      <c r="K153" s="130" t="s">
        <v>519</v>
      </c>
      <c r="L153" s="130" t="s">
        <v>417</v>
      </c>
      <c r="M153" s="128">
        <v>9</v>
      </c>
      <c r="N153" s="128">
        <f t="shared" si="2"/>
        <v>-3</v>
      </c>
      <c r="O153" s="130" t="s">
        <v>134</v>
      </c>
      <c r="P153" s="130" t="s">
        <v>134</v>
      </c>
      <c r="Q153" s="130" t="s">
        <v>417</v>
      </c>
      <c r="R153" s="128">
        <v>9</v>
      </c>
      <c r="S153" s="130" t="s">
        <v>418</v>
      </c>
    </row>
    <row r="154" spans="1:19" x14ac:dyDescent="0.25">
      <c r="A154" s="130" t="s">
        <v>520</v>
      </c>
      <c r="B154" s="130" t="s">
        <v>521</v>
      </c>
      <c r="C154" s="130" t="s">
        <v>134</v>
      </c>
      <c r="D154" s="130" t="s">
        <v>134</v>
      </c>
      <c r="E154" s="130" t="s">
        <v>517</v>
      </c>
      <c r="F154" s="130" t="s">
        <v>518</v>
      </c>
      <c r="G154" s="130" t="s">
        <v>159</v>
      </c>
      <c r="I154" s="130" t="s">
        <v>416</v>
      </c>
      <c r="J154" s="130" t="s">
        <v>159</v>
      </c>
      <c r="K154" s="130" t="s">
        <v>519</v>
      </c>
      <c r="L154" s="130" t="s">
        <v>417</v>
      </c>
      <c r="M154" s="128">
        <v>9</v>
      </c>
      <c r="N154" s="128">
        <f t="shared" si="2"/>
        <v>-3</v>
      </c>
      <c r="O154" s="130" t="s">
        <v>134</v>
      </c>
      <c r="P154" s="130" t="s">
        <v>134</v>
      </c>
      <c r="Q154" s="130" t="s">
        <v>417</v>
      </c>
      <c r="R154" s="128">
        <v>9</v>
      </c>
      <c r="S154" s="130" t="s">
        <v>418</v>
      </c>
    </row>
    <row r="155" spans="1:19" x14ac:dyDescent="0.25">
      <c r="A155" s="130" t="s">
        <v>519</v>
      </c>
      <c r="B155" s="130" t="s">
        <v>522</v>
      </c>
      <c r="C155" s="130" t="s">
        <v>134</v>
      </c>
      <c r="D155" s="130" t="s">
        <v>134</v>
      </c>
      <c r="E155" s="130" t="s">
        <v>523</v>
      </c>
      <c r="F155" s="130" t="s">
        <v>524</v>
      </c>
      <c r="G155" s="130" t="s">
        <v>159</v>
      </c>
      <c r="I155" s="130" t="s">
        <v>416</v>
      </c>
      <c r="J155" s="130" t="s">
        <v>159</v>
      </c>
      <c r="K155" s="130" t="s">
        <v>519</v>
      </c>
      <c r="L155" s="130" t="s">
        <v>417</v>
      </c>
      <c r="M155" s="128">
        <v>9</v>
      </c>
      <c r="N155" s="128">
        <f t="shared" si="2"/>
        <v>-3</v>
      </c>
      <c r="O155" s="130" t="s">
        <v>134</v>
      </c>
      <c r="P155" s="130" t="s">
        <v>134</v>
      </c>
      <c r="Q155" s="130" t="s">
        <v>417</v>
      </c>
      <c r="R155" s="128">
        <v>9</v>
      </c>
      <c r="S155" s="130" t="s">
        <v>418</v>
      </c>
    </row>
    <row r="156" spans="1:19" x14ac:dyDescent="0.25">
      <c r="A156" s="130" t="s">
        <v>525</v>
      </c>
      <c r="B156" s="130" t="s">
        <v>526</v>
      </c>
      <c r="C156" s="130" t="s">
        <v>134</v>
      </c>
      <c r="D156" s="130" t="s">
        <v>134</v>
      </c>
      <c r="E156" s="130" t="s">
        <v>527</v>
      </c>
      <c r="F156" s="130" t="s">
        <v>528</v>
      </c>
      <c r="G156" s="130" t="s">
        <v>137</v>
      </c>
      <c r="I156" s="130" t="s">
        <v>416</v>
      </c>
      <c r="J156" s="130" t="s">
        <v>159</v>
      </c>
      <c r="K156" s="130" t="s">
        <v>519</v>
      </c>
      <c r="L156" s="130" t="s">
        <v>417</v>
      </c>
      <c r="M156" s="128">
        <v>9</v>
      </c>
      <c r="N156" s="128">
        <f t="shared" si="2"/>
        <v>-3</v>
      </c>
      <c r="O156" s="130" t="s">
        <v>134</v>
      </c>
      <c r="P156" s="130" t="s">
        <v>134</v>
      </c>
      <c r="Q156" s="130" t="s">
        <v>417</v>
      </c>
      <c r="R156" s="128">
        <v>9</v>
      </c>
      <c r="S156" s="130" t="s">
        <v>418</v>
      </c>
    </row>
    <row r="157" spans="1:19" x14ac:dyDescent="0.25">
      <c r="A157" s="130" t="s">
        <v>529</v>
      </c>
      <c r="B157" s="130" t="s">
        <v>530</v>
      </c>
      <c r="C157" s="130" t="s">
        <v>134</v>
      </c>
      <c r="D157" s="130" t="s">
        <v>134</v>
      </c>
      <c r="E157" s="130" t="s">
        <v>527</v>
      </c>
      <c r="F157" s="130" t="s">
        <v>528</v>
      </c>
      <c r="G157" s="130" t="s">
        <v>159</v>
      </c>
      <c r="I157" s="130" t="s">
        <v>416</v>
      </c>
      <c r="J157" s="130" t="s">
        <v>159</v>
      </c>
      <c r="K157" s="130" t="s">
        <v>519</v>
      </c>
      <c r="L157" s="130" t="s">
        <v>417</v>
      </c>
      <c r="M157" s="128">
        <v>9</v>
      </c>
      <c r="N157" s="128">
        <f t="shared" si="2"/>
        <v>-3</v>
      </c>
      <c r="O157" s="130" t="s">
        <v>134</v>
      </c>
      <c r="P157" s="130" t="s">
        <v>134</v>
      </c>
      <c r="Q157" s="130" t="s">
        <v>417</v>
      </c>
      <c r="R157" s="128">
        <v>9</v>
      </c>
      <c r="S157" s="130" t="s">
        <v>418</v>
      </c>
    </row>
    <row r="158" spans="1:19" x14ac:dyDescent="0.25">
      <c r="A158" s="130" t="s">
        <v>531</v>
      </c>
      <c r="B158" s="130" t="s">
        <v>532</v>
      </c>
      <c r="C158" s="130" t="s">
        <v>134</v>
      </c>
      <c r="D158" s="130" t="s">
        <v>134</v>
      </c>
      <c r="E158" s="130" t="s">
        <v>533</v>
      </c>
      <c r="F158" s="130" t="s">
        <v>534</v>
      </c>
      <c r="G158" s="130" t="s">
        <v>137</v>
      </c>
      <c r="I158" s="130" t="s">
        <v>416</v>
      </c>
      <c r="J158" s="130" t="s">
        <v>159</v>
      </c>
      <c r="K158" s="130" t="s">
        <v>519</v>
      </c>
      <c r="L158" s="130" t="s">
        <v>417</v>
      </c>
      <c r="M158" s="128">
        <v>9</v>
      </c>
      <c r="N158" s="128">
        <f t="shared" si="2"/>
        <v>-3</v>
      </c>
      <c r="O158" s="130" t="s">
        <v>134</v>
      </c>
      <c r="P158" s="130" t="s">
        <v>134</v>
      </c>
      <c r="Q158" s="130" t="s">
        <v>417</v>
      </c>
      <c r="R158" s="128">
        <v>9</v>
      </c>
      <c r="S158" s="130" t="s">
        <v>418</v>
      </c>
    </row>
    <row r="159" spans="1:19" x14ac:dyDescent="0.25">
      <c r="A159" s="130" t="s">
        <v>535</v>
      </c>
      <c r="B159" s="130" t="s">
        <v>536</v>
      </c>
      <c r="C159" s="130" t="s">
        <v>134</v>
      </c>
      <c r="D159" s="130" t="s">
        <v>134</v>
      </c>
      <c r="E159" s="130" t="s">
        <v>537</v>
      </c>
      <c r="F159" s="130" t="s">
        <v>538</v>
      </c>
      <c r="G159" s="130" t="s">
        <v>137</v>
      </c>
      <c r="I159" s="130" t="s">
        <v>416</v>
      </c>
      <c r="J159" s="130" t="s">
        <v>159</v>
      </c>
      <c r="K159" s="130" t="s">
        <v>519</v>
      </c>
      <c r="L159" s="130" t="s">
        <v>417</v>
      </c>
      <c r="M159" s="128">
        <v>9</v>
      </c>
      <c r="N159" s="128">
        <f t="shared" si="2"/>
        <v>-3</v>
      </c>
      <c r="O159" s="130" t="s">
        <v>134</v>
      </c>
      <c r="P159" s="130" t="s">
        <v>134</v>
      </c>
      <c r="Q159" s="130" t="s">
        <v>417</v>
      </c>
      <c r="R159" s="128">
        <v>9</v>
      </c>
      <c r="S159" s="130" t="s">
        <v>418</v>
      </c>
    </row>
    <row r="160" spans="1:19" x14ac:dyDescent="0.25">
      <c r="A160" s="130" t="s">
        <v>539</v>
      </c>
      <c r="B160" s="130" t="s">
        <v>540</v>
      </c>
      <c r="C160" s="130" t="s">
        <v>134</v>
      </c>
      <c r="D160" s="130" t="s">
        <v>134</v>
      </c>
      <c r="E160" s="130" t="s">
        <v>541</v>
      </c>
      <c r="F160" s="130" t="s">
        <v>542</v>
      </c>
      <c r="G160" s="130" t="s">
        <v>159</v>
      </c>
      <c r="I160" s="130" t="s">
        <v>416</v>
      </c>
      <c r="J160" s="130" t="s">
        <v>159</v>
      </c>
      <c r="K160" s="130" t="s">
        <v>541</v>
      </c>
      <c r="L160" s="130" t="s">
        <v>543</v>
      </c>
      <c r="M160" s="128">
        <v>5</v>
      </c>
      <c r="N160" s="128">
        <f t="shared" si="2"/>
        <v>-3</v>
      </c>
      <c r="O160" s="130" t="s">
        <v>134</v>
      </c>
      <c r="P160" s="130" t="s">
        <v>134</v>
      </c>
      <c r="Q160" s="130" t="s">
        <v>543</v>
      </c>
      <c r="R160" s="128">
        <v>5</v>
      </c>
      <c r="S160" s="130" t="s">
        <v>542</v>
      </c>
    </row>
    <row r="161" spans="1:19" x14ac:dyDescent="0.25">
      <c r="A161" s="130" t="s">
        <v>544</v>
      </c>
      <c r="B161" s="130" t="s">
        <v>545</v>
      </c>
      <c r="C161" s="130" t="s">
        <v>134</v>
      </c>
      <c r="D161" s="130" t="s">
        <v>134</v>
      </c>
      <c r="E161" s="130" t="s">
        <v>541</v>
      </c>
      <c r="F161" s="130" t="s">
        <v>542</v>
      </c>
      <c r="G161" s="130" t="s">
        <v>159</v>
      </c>
      <c r="I161" s="130" t="s">
        <v>416</v>
      </c>
      <c r="J161" s="130" t="s">
        <v>159</v>
      </c>
      <c r="K161" s="130" t="s">
        <v>541</v>
      </c>
      <c r="L161" s="130" t="s">
        <v>543</v>
      </c>
      <c r="M161" s="128">
        <v>5</v>
      </c>
      <c r="N161" s="128">
        <f t="shared" si="2"/>
        <v>-3</v>
      </c>
      <c r="O161" s="130" t="s">
        <v>134</v>
      </c>
      <c r="P161" s="130" t="s">
        <v>134</v>
      </c>
      <c r="Q161" s="130" t="s">
        <v>543</v>
      </c>
      <c r="R161" s="128">
        <v>5</v>
      </c>
      <c r="S161" s="130" t="s">
        <v>542</v>
      </c>
    </row>
    <row r="162" spans="1:19" x14ac:dyDescent="0.25">
      <c r="A162" s="130" t="s">
        <v>546</v>
      </c>
      <c r="B162" s="130" t="s">
        <v>547</v>
      </c>
      <c r="C162" s="130" t="s">
        <v>134</v>
      </c>
      <c r="D162" s="130" t="s">
        <v>134</v>
      </c>
      <c r="E162" s="130" t="s">
        <v>541</v>
      </c>
      <c r="F162" s="130" t="s">
        <v>542</v>
      </c>
      <c r="G162" s="130" t="s">
        <v>159</v>
      </c>
      <c r="I162" s="130" t="s">
        <v>416</v>
      </c>
      <c r="J162" s="130" t="s">
        <v>159</v>
      </c>
      <c r="K162" s="130" t="s">
        <v>541</v>
      </c>
      <c r="L162" s="130" t="s">
        <v>543</v>
      </c>
      <c r="M162" s="128">
        <v>5</v>
      </c>
      <c r="N162" s="128">
        <f t="shared" si="2"/>
        <v>-3</v>
      </c>
      <c r="O162" s="130" t="s">
        <v>134</v>
      </c>
      <c r="P162" s="130" t="s">
        <v>134</v>
      </c>
      <c r="Q162" s="130" t="s">
        <v>543</v>
      </c>
      <c r="R162" s="128">
        <v>5</v>
      </c>
      <c r="S162" s="130" t="s">
        <v>542</v>
      </c>
    </row>
    <row r="163" spans="1:19" x14ac:dyDescent="0.25">
      <c r="A163" s="130" t="s">
        <v>548</v>
      </c>
      <c r="B163" s="130" t="s">
        <v>549</v>
      </c>
      <c r="C163" s="130" t="s">
        <v>134</v>
      </c>
      <c r="D163" s="130" t="s">
        <v>134</v>
      </c>
      <c r="E163" s="130" t="s">
        <v>541</v>
      </c>
      <c r="F163" s="130" t="s">
        <v>542</v>
      </c>
      <c r="G163" s="130" t="s">
        <v>159</v>
      </c>
      <c r="I163" s="130" t="s">
        <v>416</v>
      </c>
      <c r="J163" s="130" t="s">
        <v>159</v>
      </c>
      <c r="K163" s="130" t="s">
        <v>541</v>
      </c>
      <c r="L163" s="130" t="s">
        <v>543</v>
      </c>
      <c r="M163" s="128">
        <v>5</v>
      </c>
      <c r="N163" s="128">
        <f t="shared" si="2"/>
        <v>-3</v>
      </c>
      <c r="O163" s="130" t="s">
        <v>134</v>
      </c>
      <c r="P163" s="130" t="s">
        <v>134</v>
      </c>
      <c r="Q163" s="130" t="s">
        <v>543</v>
      </c>
      <c r="R163" s="128">
        <v>5</v>
      </c>
      <c r="S163" s="130" t="s">
        <v>542</v>
      </c>
    </row>
    <row r="164" spans="1:19" x14ac:dyDescent="0.25">
      <c r="A164" s="130" t="s">
        <v>550</v>
      </c>
      <c r="B164" s="130" t="s">
        <v>551</v>
      </c>
      <c r="C164" s="130" t="s">
        <v>159</v>
      </c>
      <c r="D164" s="130" t="s">
        <v>159</v>
      </c>
      <c r="E164" s="130" t="s">
        <v>552</v>
      </c>
      <c r="F164" s="130" t="s">
        <v>553</v>
      </c>
      <c r="G164" s="130" t="s">
        <v>137</v>
      </c>
      <c r="I164" s="130" t="s">
        <v>416</v>
      </c>
      <c r="J164" s="130" t="s">
        <v>159</v>
      </c>
      <c r="K164" s="130" t="s">
        <v>552</v>
      </c>
      <c r="L164" s="130" t="s">
        <v>554</v>
      </c>
      <c r="M164" s="128">
        <v>8</v>
      </c>
      <c r="N164" s="128">
        <f t="shared" si="2"/>
        <v>-1</v>
      </c>
      <c r="O164" s="130" t="s">
        <v>159</v>
      </c>
      <c r="P164" s="130" t="s">
        <v>159</v>
      </c>
      <c r="Q164" s="130" t="s">
        <v>160</v>
      </c>
      <c r="R164" s="128">
        <v>0</v>
      </c>
      <c r="S164" s="130" t="s">
        <v>555</v>
      </c>
    </row>
    <row r="165" spans="1:19" x14ac:dyDescent="0.25">
      <c r="A165" s="130" t="s">
        <v>556</v>
      </c>
      <c r="B165" s="130" t="s">
        <v>557</v>
      </c>
      <c r="C165" s="130" t="s">
        <v>159</v>
      </c>
      <c r="D165" s="130" t="s">
        <v>159</v>
      </c>
      <c r="E165" s="130" t="s">
        <v>552</v>
      </c>
      <c r="F165" s="130" t="s">
        <v>553</v>
      </c>
      <c r="G165" s="130" t="s">
        <v>137</v>
      </c>
      <c r="I165" s="130" t="s">
        <v>416</v>
      </c>
      <c r="J165" s="130" t="s">
        <v>159</v>
      </c>
      <c r="K165" s="130" t="s">
        <v>552</v>
      </c>
      <c r="L165" s="130" t="s">
        <v>554</v>
      </c>
      <c r="M165" s="128">
        <v>8</v>
      </c>
      <c r="N165" s="128">
        <f t="shared" si="2"/>
        <v>-1</v>
      </c>
      <c r="O165" s="130" t="s">
        <v>159</v>
      </c>
      <c r="P165" s="130" t="s">
        <v>159</v>
      </c>
      <c r="Q165" s="130" t="s">
        <v>160</v>
      </c>
      <c r="R165" s="128">
        <v>0</v>
      </c>
      <c r="S165" s="130" t="s">
        <v>555</v>
      </c>
    </row>
    <row r="166" spans="1:19" x14ac:dyDescent="0.25">
      <c r="A166" s="130" t="s">
        <v>558</v>
      </c>
      <c r="B166" s="130" t="s">
        <v>559</v>
      </c>
      <c r="C166" s="130" t="s">
        <v>159</v>
      </c>
      <c r="D166" s="130" t="s">
        <v>159</v>
      </c>
      <c r="E166" s="130" t="s">
        <v>552</v>
      </c>
      <c r="F166" s="130" t="s">
        <v>553</v>
      </c>
      <c r="G166" s="130" t="s">
        <v>137</v>
      </c>
      <c r="I166" s="130" t="s">
        <v>416</v>
      </c>
      <c r="J166" s="130" t="s">
        <v>159</v>
      </c>
      <c r="K166" s="130" t="s">
        <v>552</v>
      </c>
      <c r="L166" s="130" t="s">
        <v>554</v>
      </c>
      <c r="M166" s="128">
        <v>8</v>
      </c>
      <c r="N166" s="128">
        <f t="shared" si="2"/>
        <v>-1</v>
      </c>
      <c r="O166" s="130" t="s">
        <v>159</v>
      </c>
      <c r="P166" s="130" t="s">
        <v>159</v>
      </c>
      <c r="Q166" s="130" t="s">
        <v>160</v>
      </c>
      <c r="R166" s="128">
        <v>0</v>
      </c>
      <c r="S166" s="130" t="s">
        <v>555</v>
      </c>
    </row>
    <row r="167" spans="1:19" x14ac:dyDescent="0.25">
      <c r="A167" s="130" t="s">
        <v>560</v>
      </c>
      <c r="B167" s="130" t="s">
        <v>561</v>
      </c>
      <c r="C167" s="130" t="s">
        <v>159</v>
      </c>
      <c r="D167" s="130" t="s">
        <v>159</v>
      </c>
      <c r="E167" s="130" t="s">
        <v>552</v>
      </c>
      <c r="F167" s="130" t="s">
        <v>553</v>
      </c>
      <c r="G167" s="130" t="s">
        <v>137</v>
      </c>
      <c r="I167" s="130" t="s">
        <v>416</v>
      </c>
      <c r="J167" s="130" t="s">
        <v>159</v>
      </c>
      <c r="K167" s="130" t="s">
        <v>552</v>
      </c>
      <c r="L167" s="130" t="s">
        <v>554</v>
      </c>
      <c r="M167" s="128">
        <v>8</v>
      </c>
      <c r="N167" s="128">
        <f t="shared" si="2"/>
        <v>-1</v>
      </c>
      <c r="O167" s="130" t="s">
        <v>159</v>
      </c>
      <c r="P167" s="130" t="s">
        <v>159</v>
      </c>
      <c r="Q167" s="130" t="s">
        <v>160</v>
      </c>
      <c r="R167" s="128">
        <v>0</v>
      </c>
      <c r="S167" s="130" t="s">
        <v>555</v>
      </c>
    </row>
    <row r="168" spans="1:19" x14ac:dyDescent="0.25">
      <c r="A168" s="130" t="s">
        <v>562</v>
      </c>
      <c r="B168" s="130" t="s">
        <v>563</v>
      </c>
      <c r="C168" s="130" t="s">
        <v>159</v>
      </c>
      <c r="D168" s="130" t="s">
        <v>159</v>
      </c>
      <c r="E168" s="130" t="s">
        <v>552</v>
      </c>
      <c r="F168" s="130" t="s">
        <v>553</v>
      </c>
      <c r="G168" s="130" t="s">
        <v>137</v>
      </c>
      <c r="I168" s="130" t="s">
        <v>416</v>
      </c>
      <c r="J168" s="130" t="s">
        <v>159</v>
      </c>
      <c r="K168" s="130" t="s">
        <v>552</v>
      </c>
      <c r="L168" s="130" t="s">
        <v>554</v>
      </c>
      <c r="M168" s="128">
        <v>8</v>
      </c>
      <c r="N168" s="128">
        <f t="shared" si="2"/>
        <v>-1</v>
      </c>
      <c r="O168" s="130" t="s">
        <v>159</v>
      </c>
      <c r="P168" s="130" t="s">
        <v>159</v>
      </c>
      <c r="Q168" s="130" t="s">
        <v>160</v>
      </c>
      <c r="R168" s="128">
        <v>0</v>
      </c>
      <c r="S168" s="130" t="s">
        <v>555</v>
      </c>
    </row>
    <row r="169" spans="1:19" x14ac:dyDescent="0.25">
      <c r="A169" s="130" t="s">
        <v>564</v>
      </c>
      <c r="B169" s="130" t="s">
        <v>565</v>
      </c>
      <c r="C169" s="130" t="s">
        <v>159</v>
      </c>
      <c r="D169" s="130" t="s">
        <v>159</v>
      </c>
      <c r="E169" s="130" t="s">
        <v>552</v>
      </c>
      <c r="F169" s="130" t="s">
        <v>553</v>
      </c>
      <c r="G169" s="130" t="s">
        <v>137</v>
      </c>
      <c r="I169" s="130" t="s">
        <v>416</v>
      </c>
      <c r="J169" s="130" t="s">
        <v>159</v>
      </c>
      <c r="K169" s="130" t="s">
        <v>552</v>
      </c>
      <c r="L169" s="130" t="s">
        <v>554</v>
      </c>
      <c r="M169" s="128">
        <v>8</v>
      </c>
      <c r="N169" s="128">
        <f t="shared" si="2"/>
        <v>-1</v>
      </c>
      <c r="O169" s="130" t="s">
        <v>159</v>
      </c>
      <c r="P169" s="130" t="s">
        <v>159</v>
      </c>
      <c r="Q169" s="130" t="s">
        <v>160</v>
      </c>
      <c r="R169" s="128">
        <v>0</v>
      </c>
      <c r="S169" s="130" t="s">
        <v>555</v>
      </c>
    </row>
    <row r="170" spans="1:19" x14ac:dyDescent="0.25">
      <c r="A170" s="130" t="s">
        <v>566</v>
      </c>
      <c r="B170" s="130" t="s">
        <v>567</v>
      </c>
      <c r="C170" s="130" t="s">
        <v>159</v>
      </c>
      <c r="D170" s="130" t="s">
        <v>159</v>
      </c>
      <c r="E170" s="130" t="s">
        <v>552</v>
      </c>
      <c r="F170" s="130" t="s">
        <v>553</v>
      </c>
      <c r="G170" s="130" t="s">
        <v>137</v>
      </c>
      <c r="I170" s="130" t="s">
        <v>416</v>
      </c>
      <c r="J170" s="130" t="s">
        <v>159</v>
      </c>
      <c r="K170" s="130" t="s">
        <v>552</v>
      </c>
      <c r="L170" s="130" t="s">
        <v>554</v>
      </c>
      <c r="M170" s="128">
        <v>8</v>
      </c>
      <c r="N170" s="128">
        <f t="shared" si="2"/>
        <v>-1</v>
      </c>
      <c r="O170" s="130" t="s">
        <v>159</v>
      </c>
      <c r="P170" s="130" t="s">
        <v>159</v>
      </c>
      <c r="Q170" s="130" t="s">
        <v>160</v>
      </c>
      <c r="R170" s="128">
        <v>0</v>
      </c>
      <c r="S170" s="130" t="s">
        <v>555</v>
      </c>
    </row>
    <row r="171" spans="1:19" x14ac:dyDescent="0.25">
      <c r="A171" s="130" t="s">
        <v>568</v>
      </c>
      <c r="B171" s="130" t="s">
        <v>569</v>
      </c>
      <c r="C171" s="130" t="s">
        <v>159</v>
      </c>
      <c r="D171" s="130" t="s">
        <v>159</v>
      </c>
      <c r="E171" s="130" t="s">
        <v>552</v>
      </c>
      <c r="F171" s="130" t="s">
        <v>553</v>
      </c>
      <c r="G171" s="130" t="s">
        <v>137</v>
      </c>
      <c r="I171" s="130" t="s">
        <v>416</v>
      </c>
      <c r="J171" s="130" t="s">
        <v>159</v>
      </c>
      <c r="K171" s="130" t="s">
        <v>552</v>
      </c>
      <c r="L171" s="130" t="s">
        <v>554</v>
      </c>
      <c r="M171" s="128">
        <v>8</v>
      </c>
      <c r="N171" s="128">
        <f t="shared" si="2"/>
        <v>-1</v>
      </c>
      <c r="O171" s="130" t="s">
        <v>159</v>
      </c>
      <c r="P171" s="130" t="s">
        <v>159</v>
      </c>
      <c r="Q171" s="130" t="s">
        <v>160</v>
      </c>
      <c r="R171" s="128">
        <v>0</v>
      </c>
      <c r="S171" s="130" t="s">
        <v>555</v>
      </c>
    </row>
    <row r="172" spans="1:19" x14ac:dyDescent="0.25">
      <c r="A172" s="130" t="s">
        <v>570</v>
      </c>
      <c r="B172" s="130" t="s">
        <v>571</v>
      </c>
      <c r="C172" s="130" t="s">
        <v>159</v>
      </c>
      <c r="D172" s="130" t="s">
        <v>159</v>
      </c>
      <c r="E172" s="130" t="s">
        <v>552</v>
      </c>
      <c r="F172" s="130" t="s">
        <v>553</v>
      </c>
      <c r="G172" s="130" t="s">
        <v>137</v>
      </c>
      <c r="I172" s="130" t="s">
        <v>416</v>
      </c>
      <c r="J172" s="130" t="s">
        <v>159</v>
      </c>
      <c r="K172" s="130" t="s">
        <v>552</v>
      </c>
      <c r="L172" s="130" t="s">
        <v>554</v>
      </c>
      <c r="M172" s="128">
        <v>8</v>
      </c>
      <c r="N172" s="128">
        <f t="shared" si="2"/>
        <v>-1</v>
      </c>
      <c r="O172" s="130" t="s">
        <v>159</v>
      </c>
      <c r="P172" s="130" t="s">
        <v>159</v>
      </c>
      <c r="Q172" s="130" t="s">
        <v>160</v>
      </c>
      <c r="R172" s="128">
        <v>0</v>
      </c>
      <c r="S172" s="130" t="s">
        <v>555</v>
      </c>
    </row>
    <row r="173" spans="1:19" x14ac:dyDescent="0.25">
      <c r="A173" s="130" t="s">
        <v>572</v>
      </c>
      <c r="B173" s="130" t="s">
        <v>573</v>
      </c>
      <c r="C173" s="130" t="s">
        <v>159</v>
      </c>
      <c r="D173" s="130" t="s">
        <v>159</v>
      </c>
      <c r="E173" s="130" t="s">
        <v>552</v>
      </c>
      <c r="F173" s="130" t="s">
        <v>553</v>
      </c>
      <c r="G173" s="130" t="s">
        <v>137</v>
      </c>
      <c r="I173" s="130" t="s">
        <v>416</v>
      </c>
      <c r="J173" s="130" t="s">
        <v>159</v>
      </c>
      <c r="K173" s="130" t="s">
        <v>552</v>
      </c>
      <c r="L173" s="130" t="s">
        <v>554</v>
      </c>
      <c r="M173" s="128">
        <v>8</v>
      </c>
      <c r="N173" s="128">
        <f t="shared" si="2"/>
        <v>-1</v>
      </c>
      <c r="O173" s="130" t="s">
        <v>159</v>
      </c>
      <c r="P173" s="130" t="s">
        <v>159</v>
      </c>
      <c r="Q173" s="130" t="s">
        <v>160</v>
      </c>
      <c r="R173" s="128">
        <v>0</v>
      </c>
      <c r="S173" s="130" t="s">
        <v>555</v>
      </c>
    </row>
    <row r="174" spans="1:19" x14ac:dyDescent="0.25">
      <c r="A174" s="130" t="s">
        <v>574</v>
      </c>
      <c r="B174" s="130" t="s">
        <v>575</v>
      </c>
      <c r="C174" s="130" t="s">
        <v>159</v>
      </c>
      <c r="D174" s="130" t="s">
        <v>159</v>
      </c>
      <c r="E174" s="130" t="s">
        <v>552</v>
      </c>
      <c r="F174" s="130" t="s">
        <v>553</v>
      </c>
      <c r="G174" s="130" t="s">
        <v>137</v>
      </c>
      <c r="I174" s="130" t="s">
        <v>416</v>
      </c>
      <c r="J174" s="130" t="s">
        <v>159</v>
      </c>
      <c r="K174" s="130" t="s">
        <v>552</v>
      </c>
      <c r="L174" s="130" t="s">
        <v>554</v>
      </c>
      <c r="M174" s="128">
        <v>8</v>
      </c>
      <c r="N174" s="128">
        <f t="shared" si="2"/>
        <v>-1</v>
      </c>
      <c r="O174" s="130" t="s">
        <v>159</v>
      </c>
      <c r="P174" s="130" t="s">
        <v>159</v>
      </c>
      <c r="Q174" s="130" t="s">
        <v>160</v>
      </c>
      <c r="R174" s="128">
        <v>0</v>
      </c>
      <c r="S174" s="130" t="s">
        <v>555</v>
      </c>
    </row>
    <row r="175" spans="1:19" x14ac:dyDescent="0.25">
      <c r="A175" s="130" t="s">
        <v>576</v>
      </c>
      <c r="B175" s="130" t="s">
        <v>577</v>
      </c>
      <c r="C175" s="130" t="s">
        <v>159</v>
      </c>
      <c r="D175" s="130" t="s">
        <v>159</v>
      </c>
      <c r="E175" s="130" t="s">
        <v>552</v>
      </c>
      <c r="F175" s="130" t="s">
        <v>553</v>
      </c>
      <c r="G175" s="130" t="s">
        <v>137</v>
      </c>
      <c r="I175" s="130" t="s">
        <v>416</v>
      </c>
      <c r="J175" s="130" t="s">
        <v>159</v>
      </c>
      <c r="K175" s="130" t="s">
        <v>552</v>
      </c>
      <c r="L175" s="130" t="s">
        <v>554</v>
      </c>
      <c r="M175" s="128">
        <v>8</v>
      </c>
      <c r="N175" s="128">
        <f t="shared" si="2"/>
        <v>-1</v>
      </c>
      <c r="O175" s="130" t="s">
        <v>159</v>
      </c>
      <c r="P175" s="130" t="s">
        <v>159</v>
      </c>
      <c r="Q175" s="130" t="s">
        <v>160</v>
      </c>
      <c r="R175" s="128">
        <v>0</v>
      </c>
      <c r="S175" s="130" t="s">
        <v>555</v>
      </c>
    </row>
    <row r="176" spans="1:19" x14ac:dyDescent="0.25">
      <c r="A176" s="130" t="s">
        <v>578</v>
      </c>
      <c r="B176" s="130" t="s">
        <v>579</v>
      </c>
      <c r="C176" s="130" t="s">
        <v>159</v>
      </c>
      <c r="D176" s="130" t="s">
        <v>159</v>
      </c>
      <c r="E176" s="130" t="s">
        <v>552</v>
      </c>
      <c r="F176" s="130" t="s">
        <v>553</v>
      </c>
      <c r="G176" s="130" t="s">
        <v>137</v>
      </c>
      <c r="I176" s="130" t="s">
        <v>416</v>
      </c>
      <c r="J176" s="130" t="s">
        <v>159</v>
      </c>
      <c r="K176" s="130" t="s">
        <v>552</v>
      </c>
      <c r="L176" s="130" t="s">
        <v>554</v>
      </c>
      <c r="M176" s="128">
        <v>8</v>
      </c>
      <c r="N176" s="128">
        <f t="shared" si="2"/>
        <v>-1</v>
      </c>
      <c r="O176" s="130" t="s">
        <v>159</v>
      </c>
      <c r="P176" s="130" t="s">
        <v>159</v>
      </c>
      <c r="Q176" s="130" t="s">
        <v>160</v>
      </c>
      <c r="R176" s="128">
        <v>0</v>
      </c>
      <c r="S176" s="130" t="s">
        <v>555</v>
      </c>
    </row>
    <row r="177" spans="1:19" x14ac:dyDescent="0.25">
      <c r="A177" s="130" t="s">
        <v>580</v>
      </c>
      <c r="B177" s="130" t="s">
        <v>581</v>
      </c>
      <c r="C177" s="130" t="s">
        <v>159</v>
      </c>
      <c r="D177" s="130" t="s">
        <v>159</v>
      </c>
      <c r="E177" s="130" t="s">
        <v>552</v>
      </c>
      <c r="F177" s="130" t="s">
        <v>553</v>
      </c>
      <c r="G177" s="130" t="s">
        <v>137</v>
      </c>
      <c r="I177" s="130" t="s">
        <v>416</v>
      </c>
      <c r="J177" s="130" t="s">
        <v>159</v>
      </c>
      <c r="K177" s="130" t="s">
        <v>552</v>
      </c>
      <c r="L177" s="130" t="s">
        <v>554</v>
      </c>
      <c r="M177" s="128">
        <v>8</v>
      </c>
      <c r="N177" s="128">
        <f t="shared" si="2"/>
        <v>-1</v>
      </c>
      <c r="O177" s="130" t="s">
        <v>159</v>
      </c>
      <c r="P177" s="130" t="s">
        <v>159</v>
      </c>
      <c r="Q177" s="130" t="s">
        <v>160</v>
      </c>
      <c r="R177" s="128">
        <v>0</v>
      </c>
      <c r="S177" s="130" t="s">
        <v>555</v>
      </c>
    </row>
    <row r="178" spans="1:19" x14ac:dyDescent="0.25">
      <c r="A178" s="130" t="s">
        <v>552</v>
      </c>
      <c r="B178" s="130" t="s">
        <v>582</v>
      </c>
      <c r="C178" s="130" t="s">
        <v>159</v>
      </c>
      <c r="D178" s="130" t="s">
        <v>159</v>
      </c>
      <c r="E178" s="130" t="s">
        <v>552</v>
      </c>
      <c r="F178" s="130" t="s">
        <v>553</v>
      </c>
      <c r="G178" s="130" t="s">
        <v>137</v>
      </c>
      <c r="I178" s="130" t="s">
        <v>416</v>
      </c>
      <c r="J178" s="130" t="s">
        <v>159</v>
      </c>
      <c r="K178" s="130" t="s">
        <v>552</v>
      </c>
      <c r="L178" s="130" t="s">
        <v>554</v>
      </c>
      <c r="M178" s="128">
        <v>8</v>
      </c>
      <c r="N178" s="128">
        <f t="shared" si="2"/>
        <v>-1</v>
      </c>
      <c r="O178" s="130" t="s">
        <v>159</v>
      </c>
      <c r="P178" s="130" t="s">
        <v>159</v>
      </c>
      <c r="Q178" s="130" t="s">
        <v>160</v>
      </c>
      <c r="R178" s="128">
        <v>0</v>
      </c>
      <c r="S178" s="130" t="s">
        <v>555</v>
      </c>
    </row>
    <row r="179" spans="1:19" x14ac:dyDescent="0.25">
      <c r="A179" s="130" t="s">
        <v>583</v>
      </c>
      <c r="B179" s="130" t="s">
        <v>584</v>
      </c>
      <c r="C179" s="130" t="s">
        <v>159</v>
      </c>
      <c r="D179" s="130" t="s">
        <v>159</v>
      </c>
      <c r="E179" s="130" t="s">
        <v>552</v>
      </c>
      <c r="F179" s="130" t="s">
        <v>553</v>
      </c>
      <c r="G179" s="130" t="s">
        <v>137</v>
      </c>
      <c r="I179" s="130" t="s">
        <v>416</v>
      </c>
      <c r="J179" s="130" t="s">
        <v>159</v>
      </c>
      <c r="K179" s="130" t="s">
        <v>552</v>
      </c>
      <c r="L179" s="130" t="s">
        <v>554</v>
      </c>
      <c r="M179" s="128">
        <v>8</v>
      </c>
      <c r="N179" s="128">
        <f t="shared" si="2"/>
        <v>-1</v>
      </c>
      <c r="O179" s="130" t="s">
        <v>159</v>
      </c>
      <c r="P179" s="130" t="s">
        <v>159</v>
      </c>
      <c r="Q179" s="130" t="s">
        <v>160</v>
      </c>
      <c r="R179" s="128">
        <v>0</v>
      </c>
      <c r="S179" s="130" t="s">
        <v>555</v>
      </c>
    </row>
    <row r="180" spans="1:19" x14ac:dyDescent="0.25">
      <c r="A180" s="130" t="s">
        <v>585</v>
      </c>
      <c r="B180" s="130" t="s">
        <v>586</v>
      </c>
      <c r="C180" s="130" t="s">
        <v>159</v>
      </c>
      <c r="D180" s="130" t="s">
        <v>159</v>
      </c>
      <c r="E180" s="130" t="s">
        <v>552</v>
      </c>
      <c r="F180" s="130" t="s">
        <v>553</v>
      </c>
      <c r="G180" s="130" t="s">
        <v>137</v>
      </c>
      <c r="I180" s="130" t="s">
        <v>416</v>
      </c>
      <c r="J180" s="130" t="s">
        <v>159</v>
      </c>
      <c r="K180" s="130" t="s">
        <v>552</v>
      </c>
      <c r="L180" s="130" t="s">
        <v>554</v>
      </c>
      <c r="M180" s="128">
        <v>8</v>
      </c>
      <c r="N180" s="128">
        <f t="shared" si="2"/>
        <v>-1</v>
      </c>
      <c r="O180" s="130" t="s">
        <v>159</v>
      </c>
      <c r="P180" s="130" t="s">
        <v>159</v>
      </c>
      <c r="Q180" s="130" t="s">
        <v>160</v>
      </c>
      <c r="R180" s="128">
        <v>0</v>
      </c>
      <c r="S180" s="130" t="s">
        <v>555</v>
      </c>
    </row>
    <row r="181" spans="1:19" x14ac:dyDescent="0.25">
      <c r="A181" s="130" t="s">
        <v>587</v>
      </c>
      <c r="B181" s="130" t="s">
        <v>588</v>
      </c>
      <c r="C181" s="130" t="s">
        <v>159</v>
      </c>
      <c r="D181" s="130" t="s">
        <v>159</v>
      </c>
      <c r="E181" s="130" t="s">
        <v>552</v>
      </c>
      <c r="F181" s="130" t="s">
        <v>553</v>
      </c>
      <c r="G181" s="130" t="s">
        <v>137</v>
      </c>
      <c r="I181" s="130" t="s">
        <v>416</v>
      </c>
      <c r="J181" s="130" t="s">
        <v>159</v>
      </c>
      <c r="K181" s="130" t="s">
        <v>552</v>
      </c>
      <c r="L181" s="130" t="s">
        <v>554</v>
      </c>
      <c r="M181" s="128">
        <v>8</v>
      </c>
      <c r="N181" s="128">
        <f t="shared" si="2"/>
        <v>-1</v>
      </c>
      <c r="O181" s="130" t="s">
        <v>159</v>
      </c>
      <c r="P181" s="130" t="s">
        <v>159</v>
      </c>
      <c r="Q181" s="130" t="s">
        <v>160</v>
      </c>
      <c r="R181" s="128">
        <v>0</v>
      </c>
      <c r="S181" s="130" t="s">
        <v>555</v>
      </c>
    </row>
    <row r="182" spans="1:19" x14ac:dyDescent="0.25">
      <c r="A182" s="130" t="s">
        <v>589</v>
      </c>
      <c r="B182" s="130" t="s">
        <v>590</v>
      </c>
      <c r="C182" s="130" t="s">
        <v>159</v>
      </c>
      <c r="D182" s="130" t="s">
        <v>159</v>
      </c>
      <c r="E182" s="130" t="s">
        <v>552</v>
      </c>
      <c r="F182" s="130" t="s">
        <v>553</v>
      </c>
      <c r="G182" s="130" t="s">
        <v>137</v>
      </c>
      <c r="I182" s="130" t="s">
        <v>416</v>
      </c>
      <c r="J182" s="130" t="s">
        <v>159</v>
      </c>
      <c r="K182" s="130" t="s">
        <v>552</v>
      </c>
      <c r="L182" s="130" t="s">
        <v>554</v>
      </c>
      <c r="M182" s="128">
        <v>8</v>
      </c>
      <c r="N182" s="128">
        <f t="shared" si="2"/>
        <v>-1</v>
      </c>
      <c r="O182" s="130" t="s">
        <v>159</v>
      </c>
      <c r="P182" s="130" t="s">
        <v>159</v>
      </c>
      <c r="Q182" s="130" t="s">
        <v>160</v>
      </c>
      <c r="R182" s="128">
        <v>0</v>
      </c>
      <c r="S182" s="130" t="s">
        <v>555</v>
      </c>
    </row>
    <row r="183" spans="1:19" x14ac:dyDescent="0.25">
      <c r="A183" s="130" t="s">
        <v>591</v>
      </c>
      <c r="B183" s="130" t="s">
        <v>592</v>
      </c>
      <c r="C183" s="130" t="s">
        <v>159</v>
      </c>
      <c r="D183" s="130" t="s">
        <v>159</v>
      </c>
      <c r="E183" s="130" t="s">
        <v>552</v>
      </c>
      <c r="F183" s="130" t="s">
        <v>553</v>
      </c>
      <c r="G183" s="130" t="s">
        <v>137</v>
      </c>
      <c r="I183" s="130" t="s">
        <v>416</v>
      </c>
      <c r="J183" s="130" t="s">
        <v>159</v>
      </c>
      <c r="K183" s="130" t="s">
        <v>552</v>
      </c>
      <c r="L183" s="130" t="s">
        <v>554</v>
      </c>
      <c r="M183" s="128">
        <v>8</v>
      </c>
      <c r="N183" s="128">
        <f t="shared" si="2"/>
        <v>-1</v>
      </c>
      <c r="O183" s="130" t="s">
        <v>159</v>
      </c>
      <c r="P183" s="130" t="s">
        <v>159</v>
      </c>
      <c r="Q183" s="130" t="s">
        <v>160</v>
      </c>
      <c r="R183" s="128">
        <v>0</v>
      </c>
      <c r="S183" s="130" t="s">
        <v>555</v>
      </c>
    </row>
    <row r="184" spans="1:19" x14ac:dyDescent="0.25">
      <c r="A184" s="130" t="s">
        <v>593</v>
      </c>
      <c r="B184" s="130" t="s">
        <v>594</v>
      </c>
      <c r="C184" s="130" t="s">
        <v>159</v>
      </c>
      <c r="D184" s="130" t="s">
        <v>159</v>
      </c>
      <c r="E184" s="130" t="s">
        <v>552</v>
      </c>
      <c r="F184" s="130" t="s">
        <v>553</v>
      </c>
      <c r="G184" s="130" t="s">
        <v>137</v>
      </c>
      <c r="I184" s="130" t="s">
        <v>416</v>
      </c>
      <c r="J184" s="130" t="s">
        <v>159</v>
      </c>
      <c r="K184" s="130" t="s">
        <v>552</v>
      </c>
      <c r="L184" s="130" t="s">
        <v>554</v>
      </c>
      <c r="M184" s="128">
        <v>8</v>
      </c>
      <c r="N184" s="128">
        <f t="shared" si="2"/>
        <v>-1</v>
      </c>
      <c r="O184" s="130" t="s">
        <v>159</v>
      </c>
      <c r="P184" s="130" t="s">
        <v>159</v>
      </c>
      <c r="Q184" s="130" t="s">
        <v>160</v>
      </c>
      <c r="R184" s="128">
        <v>0</v>
      </c>
      <c r="S184" s="130" t="s">
        <v>555</v>
      </c>
    </row>
    <row r="185" spans="1:19" x14ac:dyDescent="0.25">
      <c r="A185" s="130" t="s">
        <v>595</v>
      </c>
      <c r="B185" s="130" t="s">
        <v>596</v>
      </c>
      <c r="C185" s="130" t="s">
        <v>159</v>
      </c>
      <c r="D185" s="130" t="s">
        <v>159</v>
      </c>
      <c r="E185" s="130" t="s">
        <v>552</v>
      </c>
      <c r="F185" s="130" t="s">
        <v>553</v>
      </c>
      <c r="G185" s="130" t="s">
        <v>137</v>
      </c>
      <c r="I185" s="130" t="s">
        <v>416</v>
      </c>
      <c r="J185" s="130" t="s">
        <v>159</v>
      </c>
      <c r="K185" s="130" t="s">
        <v>552</v>
      </c>
      <c r="L185" s="130" t="s">
        <v>554</v>
      </c>
      <c r="M185" s="128">
        <v>8</v>
      </c>
      <c r="N185" s="128">
        <f t="shared" si="2"/>
        <v>-1</v>
      </c>
      <c r="O185" s="130" t="s">
        <v>159</v>
      </c>
      <c r="P185" s="130" t="s">
        <v>159</v>
      </c>
      <c r="Q185" s="130" t="s">
        <v>160</v>
      </c>
      <c r="R185" s="128">
        <v>0</v>
      </c>
      <c r="S185" s="130" t="s">
        <v>555</v>
      </c>
    </row>
    <row r="186" spans="1:19" x14ac:dyDescent="0.25">
      <c r="A186" s="130" t="s">
        <v>597</v>
      </c>
      <c r="B186" s="130" t="s">
        <v>598</v>
      </c>
      <c r="C186" s="130" t="s">
        <v>159</v>
      </c>
      <c r="D186" s="130" t="s">
        <v>159</v>
      </c>
      <c r="E186" s="130" t="s">
        <v>552</v>
      </c>
      <c r="F186" s="130" t="s">
        <v>553</v>
      </c>
      <c r="G186" s="130" t="s">
        <v>137</v>
      </c>
      <c r="I186" s="130" t="s">
        <v>416</v>
      </c>
      <c r="J186" s="130" t="s">
        <v>159</v>
      </c>
      <c r="K186" s="130" t="s">
        <v>552</v>
      </c>
      <c r="L186" s="130" t="s">
        <v>554</v>
      </c>
      <c r="M186" s="128">
        <v>8</v>
      </c>
      <c r="N186" s="128">
        <f t="shared" si="2"/>
        <v>-1</v>
      </c>
      <c r="O186" s="130" t="s">
        <v>159</v>
      </c>
      <c r="P186" s="130" t="s">
        <v>159</v>
      </c>
      <c r="Q186" s="130" t="s">
        <v>160</v>
      </c>
      <c r="R186" s="128">
        <v>0</v>
      </c>
      <c r="S186" s="130" t="s">
        <v>555</v>
      </c>
    </row>
    <row r="187" spans="1:19" x14ac:dyDescent="0.25">
      <c r="A187" s="130" t="s">
        <v>599</v>
      </c>
      <c r="B187" s="130" t="s">
        <v>600</v>
      </c>
      <c r="C187" s="130" t="s">
        <v>159</v>
      </c>
      <c r="D187" s="130" t="s">
        <v>159</v>
      </c>
      <c r="E187" s="130" t="s">
        <v>552</v>
      </c>
      <c r="F187" s="130" t="s">
        <v>553</v>
      </c>
      <c r="G187" s="130" t="s">
        <v>137</v>
      </c>
      <c r="I187" s="130" t="s">
        <v>416</v>
      </c>
      <c r="J187" s="130" t="s">
        <v>159</v>
      </c>
      <c r="K187" s="130" t="s">
        <v>552</v>
      </c>
      <c r="L187" s="130" t="s">
        <v>554</v>
      </c>
      <c r="M187" s="128">
        <v>8</v>
      </c>
      <c r="N187" s="128">
        <f t="shared" si="2"/>
        <v>-1</v>
      </c>
      <c r="O187" s="130" t="s">
        <v>159</v>
      </c>
      <c r="P187" s="130" t="s">
        <v>159</v>
      </c>
      <c r="Q187" s="130" t="s">
        <v>160</v>
      </c>
      <c r="R187" s="128">
        <v>0</v>
      </c>
      <c r="S187" s="130" t="s">
        <v>555</v>
      </c>
    </row>
    <row r="188" spans="1:19" x14ac:dyDescent="0.25">
      <c r="A188" s="130" t="s">
        <v>601</v>
      </c>
      <c r="B188" s="130" t="s">
        <v>602</v>
      </c>
      <c r="C188" s="130" t="s">
        <v>159</v>
      </c>
      <c r="D188" s="130" t="s">
        <v>159</v>
      </c>
      <c r="E188" s="130" t="s">
        <v>552</v>
      </c>
      <c r="F188" s="130" t="s">
        <v>553</v>
      </c>
      <c r="G188" s="130" t="s">
        <v>137</v>
      </c>
      <c r="I188" s="130" t="s">
        <v>416</v>
      </c>
      <c r="J188" s="130" t="s">
        <v>159</v>
      </c>
      <c r="K188" s="130" t="s">
        <v>552</v>
      </c>
      <c r="L188" s="130" t="s">
        <v>554</v>
      </c>
      <c r="M188" s="128">
        <v>8</v>
      </c>
      <c r="N188" s="128">
        <f t="shared" si="2"/>
        <v>-1</v>
      </c>
      <c r="O188" s="130" t="s">
        <v>159</v>
      </c>
      <c r="P188" s="130" t="s">
        <v>159</v>
      </c>
      <c r="Q188" s="130" t="s">
        <v>160</v>
      </c>
      <c r="R188" s="128">
        <v>0</v>
      </c>
      <c r="S188" s="130" t="s">
        <v>555</v>
      </c>
    </row>
    <row r="189" spans="1:19" x14ac:dyDescent="0.25">
      <c r="A189" s="130" t="s">
        <v>603</v>
      </c>
      <c r="B189" s="130" t="s">
        <v>604</v>
      </c>
      <c r="C189" s="130" t="s">
        <v>159</v>
      </c>
      <c r="D189" s="130" t="s">
        <v>159</v>
      </c>
      <c r="E189" s="130" t="s">
        <v>552</v>
      </c>
      <c r="F189" s="130" t="s">
        <v>553</v>
      </c>
      <c r="G189" s="130" t="s">
        <v>137</v>
      </c>
      <c r="I189" s="130" t="s">
        <v>416</v>
      </c>
      <c r="J189" s="130" t="s">
        <v>159</v>
      </c>
      <c r="K189" s="130" t="s">
        <v>552</v>
      </c>
      <c r="L189" s="130" t="s">
        <v>554</v>
      </c>
      <c r="M189" s="128">
        <v>8</v>
      </c>
      <c r="N189" s="128">
        <f t="shared" si="2"/>
        <v>-1</v>
      </c>
      <c r="O189" s="130" t="s">
        <v>159</v>
      </c>
      <c r="P189" s="130" t="s">
        <v>159</v>
      </c>
      <c r="Q189" s="130" t="s">
        <v>160</v>
      </c>
      <c r="R189" s="128">
        <v>0</v>
      </c>
      <c r="S189" s="130" t="s">
        <v>555</v>
      </c>
    </row>
    <row r="190" spans="1:19" x14ac:dyDescent="0.25">
      <c r="A190" s="130" t="s">
        <v>605</v>
      </c>
      <c r="B190" s="130" t="s">
        <v>606</v>
      </c>
      <c r="C190" s="130" t="s">
        <v>159</v>
      </c>
      <c r="D190" s="130" t="s">
        <v>159</v>
      </c>
      <c r="E190" s="130" t="s">
        <v>552</v>
      </c>
      <c r="F190" s="130" t="s">
        <v>553</v>
      </c>
      <c r="G190" s="130" t="s">
        <v>137</v>
      </c>
      <c r="I190" s="130" t="s">
        <v>416</v>
      </c>
      <c r="J190" s="130" t="s">
        <v>159</v>
      </c>
      <c r="K190" s="130" t="s">
        <v>552</v>
      </c>
      <c r="L190" s="130" t="s">
        <v>554</v>
      </c>
      <c r="M190" s="128">
        <v>8</v>
      </c>
      <c r="N190" s="128">
        <f t="shared" si="2"/>
        <v>-1</v>
      </c>
      <c r="O190" s="130" t="s">
        <v>159</v>
      </c>
      <c r="P190" s="130" t="s">
        <v>159</v>
      </c>
      <c r="Q190" s="130" t="s">
        <v>160</v>
      </c>
      <c r="R190" s="128">
        <v>0</v>
      </c>
      <c r="S190" s="130" t="s">
        <v>555</v>
      </c>
    </row>
    <row r="191" spans="1:19" x14ac:dyDescent="0.25">
      <c r="A191" s="130" t="s">
        <v>607</v>
      </c>
      <c r="B191" s="130" t="s">
        <v>608</v>
      </c>
      <c r="C191" s="130" t="s">
        <v>159</v>
      </c>
      <c r="D191" s="130" t="s">
        <v>159</v>
      </c>
      <c r="E191" s="130" t="s">
        <v>552</v>
      </c>
      <c r="F191" s="130" t="s">
        <v>553</v>
      </c>
      <c r="G191" s="130" t="s">
        <v>137</v>
      </c>
      <c r="I191" s="130" t="s">
        <v>416</v>
      </c>
      <c r="J191" s="130" t="s">
        <v>159</v>
      </c>
      <c r="K191" s="130" t="s">
        <v>552</v>
      </c>
      <c r="L191" s="130" t="s">
        <v>554</v>
      </c>
      <c r="M191" s="128">
        <v>8</v>
      </c>
      <c r="N191" s="128">
        <f t="shared" si="2"/>
        <v>-1</v>
      </c>
      <c r="O191" s="130" t="s">
        <v>159</v>
      </c>
      <c r="P191" s="130" t="s">
        <v>159</v>
      </c>
      <c r="Q191" s="130" t="s">
        <v>160</v>
      </c>
      <c r="R191" s="128">
        <v>0</v>
      </c>
      <c r="S191" s="130" t="s">
        <v>555</v>
      </c>
    </row>
    <row r="192" spans="1:19" x14ac:dyDescent="0.25">
      <c r="A192" s="130" t="s">
        <v>609</v>
      </c>
      <c r="B192" s="130" t="s">
        <v>610</v>
      </c>
      <c r="C192" s="130" t="s">
        <v>159</v>
      </c>
      <c r="D192" s="130" t="s">
        <v>159</v>
      </c>
      <c r="E192" s="130" t="s">
        <v>552</v>
      </c>
      <c r="F192" s="130" t="s">
        <v>553</v>
      </c>
      <c r="G192" s="130" t="s">
        <v>137</v>
      </c>
      <c r="I192" s="130" t="s">
        <v>416</v>
      </c>
      <c r="J192" s="130" t="s">
        <v>159</v>
      </c>
      <c r="K192" s="130" t="s">
        <v>552</v>
      </c>
      <c r="L192" s="130" t="s">
        <v>554</v>
      </c>
      <c r="M192" s="128">
        <v>8</v>
      </c>
      <c r="N192" s="128">
        <f t="shared" si="2"/>
        <v>-1</v>
      </c>
      <c r="O192" s="130" t="s">
        <v>159</v>
      </c>
      <c r="P192" s="130" t="s">
        <v>159</v>
      </c>
      <c r="Q192" s="130" t="s">
        <v>160</v>
      </c>
      <c r="R192" s="128">
        <v>0</v>
      </c>
      <c r="S192" s="130" t="s">
        <v>555</v>
      </c>
    </row>
    <row r="193" spans="1:19" x14ac:dyDescent="0.25">
      <c r="A193" s="130" t="s">
        <v>611</v>
      </c>
      <c r="B193" s="130" t="s">
        <v>612</v>
      </c>
      <c r="C193" s="130" t="s">
        <v>159</v>
      </c>
      <c r="D193" s="130" t="s">
        <v>159</v>
      </c>
      <c r="E193" s="130" t="s">
        <v>552</v>
      </c>
      <c r="F193" s="130" t="s">
        <v>553</v>
      </c>
      <c r="G193" s="130" t="s">
        <v>137</v>
      </c>
      <c r="I193" s="130" t="s">
        <v>416</v>
      </c>
      <c r="J193" s="130" t="s">
        <v>159</v>
      </c>
      <c r="K193" s="130" t="s">
        <v>552</v>
      </c>
      <c r="L193" s="130" t="s">
        <v>554</v>
      </c>
      <c r="M193" s="128">
        <v>8</v>
      </c>
      <c r="N193" s="128">
        <f t="shared" si="2"/>
        <v>-1</v>
      </c>
      <c r="O193" s="130" t="s">
        <v>159</v>
      </c>
      <c r="P193" s="130" t="s">
        <v>159</v>
      </c>
      <c r="Q193" s="130" t="s">
        <v>160</v>
      </c>
      <c r="R193" s="128">
        <v>0</v>
      </c>
      <c r="S193" s="130" t="s">
        <v>555</v>
      </c>
    </row>
    <row r="194" spans="1:19" x14ac:dyDescent="0.25">
      <c r="A194" s="130" t="s">
        <v>613</v>
      </c>
      <c r="B194" s="130" t="s">
        <v>614</v>
      </c>
      <c r="C194" s="130" t="s">
        <v>159</v>
      </c>
      <c r="D194" s="130" t="s">
        <v>159</v>
      </c>
      <c r="E194" s="130" t="s">
        <v>552</v>
      </c>
      <c r="F194" s="130" t="s">
        <v>553</v>
      </c>
      <c r="G194" s="130" t="s">
        <v>137</v>
      </c>
      <c r="I194" s="130" t="s">
        <v>416</v>
      </c>
      <c r="J194" s="130" t="s">
        <v>159</v>
      </c>
      <c r="K194" s="130" t="s">
        <v>552</v>
      </c>
      <c r="L194" s="130" t="s">
        <v>554</v>
      </c>
      <c r="M194" s="128">
        <v>8</v>
      </c>
      <c r="N194" s="128">
        <f t="shared" si="2"/>
        <v>-1</v>
      </c>
      <c r="O194" s="130" t="s">
        <v>159</v>
      </c>
      <c r="P194" s="130" t="s">
        <v>159</v>
      </c>
      <c r="Q194" s="130" t="s">
        <v>160</v>
      </c>
      <c r="R194" s="128">
        <v>0</v>
      </c>
      <c r="S194" s="130" t="s">
        <v>555</v>
      </c>
    </row>
    <row r="195" spans="1:19" x14ac:dyDescent="0.25">
      <c r="A195" s="130" t="s">
        <v>615</v>
      </c>
      <c r="B195" s="130" t="s">
        <v>616</v>
      </c>
      <c r="C195" s="130" t="s">
        <v>159</v>
      </c>
      <c r="D195" s="130" t="s">
        <v>159</v>
      </c>
      <c r="E195" s="130" t="s">
        <v>552</v>
      </c>
      <c r="F195" s="130" t="s">
        <v>553</v>
      </c>
      <c r="G195" s="130" t="s">
        <v>137</v>
      </c>
      <c r="I195" s="130" t="s">
        <v>416</v>
      </c>
      <c r="J195" s="130" t="s">
        <v>159</v>
      </c>
      <c r="K195" s="130" t="s">
        <v>552</v>
      </c>
      <c r="L195" s="130" t="s">
        <v>554</v>
      </c>
      <c r="M195" s="128">
        <v>8</v>
      </c>
      <c r="N195" s="128">
        <f t="shared" ref="N195:N258" si="3">M195-L195</f>
        <v>-1</v>
      </c>
      <c r="O195" s="130" t="s">
        <v>159</v>
      </c>
      <c r="P195" s="130" t="s">
        <v>159</v>
      </c>
      <c r="Q195" s="130" t="s">
        <v>160</v>
      </c>
      <c r="R195" s="128">
        <v>0</v>
      </c>
      <c r="S195" s="130" t="s">
        <v>555</v>
      </c>
    </row>
    <row r="196" spans="1:19" x14ac:dyDescent="0.25">
      <c r="A196" s="130" t="s">
        <v>617</v>
      </c>
      <c r="B196" s="130" t="s">
        <v>618</v>
      </c>
      <c r="C196" s="130" t="s">
        <v>159</v>
      </c>
      <c r="D196" s="130" t="s">
        <v>159</v>
      </c>
      <c r="E196" s="130" t="s">
        <v>619</v>
      </c>
      <c r="F196" s="130" t="s">
        <v>620</v>
      </c>
      <c r="G196" s="130" t="s">
        <v>137</v>
      </c>
      <c r="I196" s="130" t="s">
        <v>416</v>
      </c>
      <c r="J196" s="130" t="s">
        <v>159</v>
      </c>
      <c r="K196" s="130" t="s">
        <v>619</v>
      </c>
      <c r="L196" s="130" t="s">
        <v>554</v>
      </c>
      <c r="M196" s="128">
        <v>8</v>
      </c>
      <c r="N196" s="128">
        <f t="shared" si="3"/>
        <v>-1</v>
      </c>
      <c r="O196" s="130" t="s">
        <v>159</v>
      </c>
      <c r="P196" s="130" t="s">
        <v>159</v>
      </c>
      <c r="Q196" s="130" t="s">
        <v>160</v>
      </c>
      <c r="R196" s="128">
        <v>0</v>
      </c>
      <c r="S196" s="130" t="s">
        <v>555</v>
      </c>
    </row>
    <row r="197" spans="1:19" x14ac:dyDescent="0.25">
      <c r="A197" s="130" t="s">
        <v>621</v>
      </c>
      <c r="B197" s="130" t="s">
        <v>622</v>
      </c>
      <c r="C197" s="130" t="s">
        <v>159</v>
      </c>
      <c r="D197" s="130" t="s">
        <v>159</v>
      </c>
      <c r="E197" s="130" t="s">
        <v>619</v>
      </c>
      <c r="F197" s="130" t="s">
        <v>620</v>
      </c>
      <c r="G197" s="130" t="s">
        <v>137</v>
      </c>
      <c r="I197" s="130" t="s">
        <v>416</v>
      </c>
      <c r="J197" s="130" t="s">
        <v>159</v>
      </c>
      <c r="K197" s="130" t="s">
        <v>619</v>
      </c>
      <c r="L197" s="130" t="s">
        <v>554</v>
      </c>
      <c r="M197" s="128">
        <v>8</v>
      </c>
      <c r="N197" s="128">
        <f t="shared" si="3"/>
        <v>-1</v>
      </c>
      <c r="O197" s="130" t="s">
        <v>159</v>
      </c>
      <c r="P197" s="130" t="s">
        <v>159</v>
      </c>
      <c r="Q197" s="130" t="s">
        <v>160</v>
      </c>
      <c r="R197" s="128">
        <v>0</v>
      </c>
      <c r="S197" s="130" t="s">
        <v>555</v>
      </c>
    </row>
    <row r="198" spans="1:19" x14ac:dyDescent="0.25">
      <c r="A198" s="130" t="s">
        <v>623</v>
      </c>
      <c r="B198" s="130" t="s">
        <v>624</v>
      </c>
      <c r="C198" s="130" t="s">
        <v>159</v>
      </c>
      <c r="D198" s="130" t="s">
        <v>159</v>
      </c>
      <c r="E198" s="130" t="s">
        <v>619</v>
      </c>
      <c r="F198" s="130" t="s">
        <v>620</v>
      </c>
      <c r="G198" s="130" t="s">
        <v>137</v>
      </c>
      <c r="I198" s="130" t="s">
        <v>416</v>
      </c>
      <c r="J198" s="130" t="s">
        <v>159</v>
      </c>
      <c r="K198" s="130" t="s">
        <v>619</v>
      </c>
      <c r="L198" s="130" t="s">
        <v>554</v>
      </c>
      <c r="M198" s="128">
        <v>8</v>
      </c>
      <c r="N198" s="128">
        <f t="shared" si="3"/>
        <v>-1</v>
      </c>
      <c r="O198" s="130" t="s">
        <v>159</v>
      </c>
      <c r="P198" s="130" t="s">
        <v>159</v>
      </c>
      <c r="Q198" s="130" t="s">
        <v>160</v>
      </c>
      <c r="R198" s="128">
        <v>0</v>
      </c>
      <c r="S198" s="130" t="s">
        <v>555</v>
      </c>
    </row>
    <row r="199" spans="1:19" x14ac:dyDescent="0.25">
      <c r="A199" s="130" t="s">
        <v>625</v>
      </c>
      <c r="B199" s="130" t="s">
        <v>626</v>
      </c>
      <c r="C199" s="130" t="s">
        <v>159</v>
      </c>
      <c r="D199" s="130" t="s">
        <v>159</v>
      </c>
      <c r="E199" s="130" t="s">
        <v>619</v>
      </c>
      <c r="F199" s="130" t="s">
        <v>620</v>
      </c>
      <c r="G199" s="130" t="s">
        <v>137</v>
      </c>
      <c r="I199" s="130" t="s">
        <v>416</v>
      </c>
      <c r="J199" s="130" t="s">
        <v>159</v>
      </c>
      <c r="K199" s="130" t="s">
        <v>619</v>
      </c>
      <c r="L199" s="130" t="s">
        <v>554</v>
      </c>
      <c r="M199" s="128">
        <v>8</v>
      </c>
      <c r="N199" s="128">
        <f t="shared" si="3"/>
        <v>-1</v>
      </c>
      <c r="O199" s="130" t="s">
        <v>159</v>
      </c>
      <c r="P199" s="130" t="s">
        <v>159</v>
      </c>
      <c r="Q199" s="130" t="s">
        <v>160</v>
      </c>
      <c r="R199" s="128">
        <v>0</v>
      </c>
      <c r="S199" s="130" t="s">
        <v>555</v>
      </c>
    </row>
    <row r="200" spans="1:19" x14ac:dyDescent="0.25">
      <c r="A200" s="130" t="s">
        <v>627</v>
      </c>
      <c r="B200" s="130" t="s">
        <v>628</v>
      </c>
      <c r="C200" s="130" t="s">
        <v>159</v>
      </c>
      <c r="D200" s="130" t="s">
        <v>159</v>
      </c>
      <c r="E200" s="130" t="s">
        <v>619</v>
      </c>
      <c r="F200" s="130" t="s">
        <v>620</v>
      </c>
      <c r="G200" s="130" t="s">
        <v>137</v>
      </c>
      <c r="I200" s="130" t="s">
        <v>416</v>
      </c>
      <c r="J200" s="130" t="s">
        <v>159</v>
      </c>
      <c r="K200" s="130" t="s">
        <v>619</v>
      </c>
      <c r="L200" s="130" t="s">
        <v>554</v>
      </c>
      <c r="M200" s="128">
        <v>8</v>
      </c>
      <c r="N200" s="128">
        <f t="shared" si="3"/>
        <v>-1</v>
      </c>
      <c r="O200" s="130" t="s">
        <v>159</v>
      </c>
      <c r="P200" s="130" t="s">
        <v>159</v>
      </c>
      <c r="Q200" s="130" t="s">
        <v>160</v>
      </c>
      <c r="R200" s="128">
        <v>0</v>
      </c>
      <c r="S200" s="130" t="s">
        <v>555</v>
      </c>
    </row>
    <row r="201" spans="1:19" x14ac:dyDescent="0.25">
      <c r="A201" s="130" t="s">
        <v>629</v>
      </c>
      <c r="B201" s="130" t="s">
        <v>630</v>
      </c>
      <c r="C201" s="130" t="s">
        <v>159</v>
      </c>
      <c r="D201" s="130" t="s">
        <v>159</v>
      </c>
      <c r="E201" s="130" t="s">
        <v>619</v>
      </c>
      <c r="F201" s="130" t="s">
        <v>620</v>
      </c>
      <c r="G201" s="130" t="s">
        <v>137</v>
      </c>
      <c r="I201" s="130" t="s">
        <v>416</v>
      </c>
      <c r="J201" s="130" t="s">
        <v>159</v>
      </c>
      <c r="K201" s="130" t="s">
        <v>619</v>
      </c>
      <c r="L201" s="130" t="s">
        <v>554</v>
      </c>
      <c r="M201" s="128">
        <v>8</v>
      </c>
      <c r="N201" s="128">
        <f t="shared" si="3"/>
        <v>-1</v>
      </c>
      <c r="O201" s="130" t="s">
        <v>159</v>
      </c>
      <c r="P201" s="130" t="s">
        <v>159</v>
      </c>
      <c r="Q201" s="130" t="s">
        <v>160</v>
      </c>
      <c r="R201" s="128">
        <v>0</v>
      </c>
      <c r="S201" s="130" t="s">
        <v>555</v>
      </c>
    </row>
    <row r="202" spans="1:19" x14ac:dyDescent="0.25">
      <c r="A202" s="130" t="s">
        <v>631</v>
      </c>
      <c r="B202" s="130" t="s">
        <v>632</v>
      </c>
      <c r="C202" s="130" t="s">
        <v>159</v>
      </c>
      <c r="D202" s="130" t="s">
        <v>159</v>
      </c>
      <c r="E202" s="130" t="s">
        <v>619</v>
      </c>
      <c r="F202" s="130" t="s">
        <v>620</v>
      </c>
      <c r="G202" s="130" t="s">
        <v>137</v>
      </c>
      <c r="I202" s="130" t="s">
        <v>416</v>
      </c>
      <c r="J202" s="130" t="s">
        <v>159</v>
      </c>
      <c r="K202" s="130" t="s">
        <v>619</v>
      </c>
      <c r="L202" s="130" t="s">
        <v>554</v>
      </c>
      <c r="M202" s="128">
        <v>8</v>
      </c>
      <c r="N202" s="128">
        <f t="shared" si="3"/>
        <v>-1</v>
      </c>
      <c r="O202" s="130" t="s">
        <v>159</v>
      </c>
      <c r="P202" s="130" t="s">
        <v>159</v>
      </c>
      <c r="Q202" s="130" t="s">
        <v>160</v>
      </c>
      <c r="R202" s="128">
        <v>0</v>
      </c>
      <c r="S202" s="130" t="s">
        <v>555</v>
      </c>
    </row>
    <row r="203" spans="1:19" x14ac:dyDescent="0.25">
      <c r="A203" s="130" t="s">
        <v>633</v>
      </c>
      <c r="B203" s="130" t="s">
        <v>634</v>
      </c>
      <c r="C203" s="130" t="s">
        <v>159</v>
      </c>
      <c r="D203" s="130" t="s">
        <v>159</v>
      </c>
      <c r="E203" s="130" t="s">
        <v>619</v>
      </c>
      <c r="F203" s="130" t="s">
        <v>620</v>
      </c>
      <c r="G203" s="130" t="s">
        <v>137</v>
      </c>
      <c r="I203" s="130" t="s">
        <v>416</v>
      </c>
      <c r="J203" s="130" t="s">
        <v>159</v>
      </c>
      <c r="K203" s="130" t="s">
        <v>619</v>
      </c>
      <c r="L203" s="130" t="s">
        <v>554</v>
      </c>
      <c r="M203" s="128">
        <v>8</v>
      </c>
      <c r="N203" s="128">
        <f t="shared" si="3"/>
        <v>-1</v>
      </c>
      <c r="O203" s="130" t="s">
        <v>159</v>
      </c>
      <c r="P203" s="130" t="s">
        <v>159</v>
      </c>
      <c r="Q203" s="130" t="s">
        <v>160</v>
      </c>
      <c r="R203" s="128">
        <v>0</v>
      </c>
      <c r="S203" s="130" t="s">
        <v>555</v>
      </c>
    </row>
    <row r="204" spans="1:19" x14ac:dyDescent="0.25">
      <c r="A204" s="130" t="s">
        <v>635</v>
      </c>
      <c r="B204" s="130" t="s">
        <v>636</v>
      </c>
      <c r="C204" s="130" t="s">
        <v>159</v>
      </c>
      <c r="D204" s="130" t="s">
        <v>159</v>
      </c>
      <c r="E204" s="130" t="s">
        <v>619</v>
      </c>
      <c r="F204" s="130" t="s">
        <v>620</v>
      </c>
      <c r="G204" s="130" t="s">
        <v>137</v>
      </c>
      <c r="I204" s="130" t="s">
        <v>416</v>
      </c>
      <c r="J204" s="130" t="s">
        <v>159</v>
      </c>
      <c r="K204" s="130" t="s">
        <v>619</v>
      </c>
      <c r="L204" s="130" t="s">
        <v>554</v>
      </c>
      <c r="M204" s="128">
        <v>8</v>
      </c>
      <c r="N204" s="128">
        <f t="shared" si="3"/>
        <v>-1</v>
      </c>
      <c r="O204" s="130" t="s">
        <v>159</v>
      </c>
      <c r="P204" s="130" t="s">
        <v>159</v>
      </c>
      <c r="Q204" s="130" t="s">
        <v>160</v>
      </c>
      <c r="R204" s="128">
        <v>0</v>
      </c>
      <c r="S204" s="130" t="s">
        <v>555</v>
      </c>
    </row>
    <row r="205" spans="1:19" x14ac:dyDescent="0.25">
      <c r="A205" s="130" t="s">
        <v>637</v>
      </c>
      <c r="B205" s="130" t="s">
        <v>638</v>
      </c>
      <c r="C205" s="130" t="s">
        <v>159</v>
      </c>
      <c r="D205" s="130" t="s">
        <v>159</v>
      </c>
      <c r="E205" s="130" t="s">
        <v>619</v>
      </c>
      <c r="F205" s="130" t="s">
        <v>620</v>
      </c>
      <c r="G205" s="130" t="s">
        <v>137</v>
      </c>
      <c r="I205" s="130" t="s">
        <v>416</v>
      </c>
      <c r="J205" s="130" t="s">
        <v>159</v>
      </c>
      <c r="K205" s="130" t="s">
        <v>619</v>
      </c>
      <c r="L205" s="130" t="s">
        <v>554</v>
      </c>
      <c r="M205" s="128">
        <v>8</v>
      </c>
      <c r="N205" s="128">
        <f t="shared" si="3"/>
        <v>-1</v>
      </c>
      <c r="O205" s="130" t="s">
        <v>159</v>
      </c>
      <c r="P205" s="130" t="s">
        <v>159</v>
      </c>
      <c r="Q205" s="130" t="s">
        <v>160</v>
      </c>
      <c r="R205" s="128">
        <v>0</v>
      </c>
      <c r="S205" s="130" t="s">
        <v>555</v>
      </c>
    </row>
    <row r="206" spans="1:19" x14ac:dyDescent="0.25">
      <c r="A206" s="130" t="s">
        <v>639</v>
      </c>
      <c r="B206" s="130" t="s">
        <v>640</v>
      </c>
      <c r="C206" s="130" t="s">
        <v>159</v>
      </c>
      <c r="D206" s="130" t="s">
        <v>159</v>
      </c>
      <c r="E206" s="130" t="s">
        <v>619</v>
      </c>
      <c r="F206" s="130" t="s">
        <v>620</v>
      </c>
      <c r="G206" s="130" t="s">
        <v>137</v>
      </c>
      <c r="I206" s="130" t="s">
        <v>416</v>
      </c>
      <c r="J206" s="130" t="s">
        <v>159</v>
      </c>
      <c r="K206" s="130" t="s">
        <v>619</v>
      </c>
      <c r="L206" s="130" t="s">
        <v>554</v>
      </c>
      <c r="M206" s="128">
        <v>8</v>
      </c>
      <c r="N206" s="128">
        <f t="shared" si="3"/>
        <v>-1</v>
      </c>
      <c r="O206" s="130" t="s">
        <v>159</v>
      </c>
      <c r="P206" s="130" t="s">
        <v>159</v>
      </c>
      <c r="Q206" s="130" t="s">
        <v>160</v>
      </c>
      <c r="R206" s="128">
        <v>0</v>
      </c>
      <c r="S206" s="130" t="s">
        <v>555</v>
      </c>
    </row>
    <row r="207" spans="1:19" x14ac:dyDescent="0.25">
      <c r="A207" s="130" t="s">
        <v>641</v>
      </c>
      <c r="B207" s="130" t="s">
        <v>642</v>
      </c>
      <c r="C207" s="130" t="s">
        <v>159</v>
      </c>
      <c r="D207" s="130" t="s">
        <v>159</v>
      </c>
      <c r="E207" s="130" t="s">
        <v>619</v>
      </c>
      <c r="F207" s="130" t="s">
        <v>620</v>
      </c>
      <c r="G207" s="130" t="s">
        <v>137</v>
      </c>
      <c r="I207" s="130" t="s">
        <v>416</v>
      </c>
      <c r="J207" s="130" t="s">
        <v>159</v>
      </c>
      <c r="K207" s="130" t="s">
        <v>619</v>
      </c>
      <c r="L207" s="130" t="s">
        <v>554</v>
      </c>
      <c r="M207" s="128">
        <v>8</v>
      </c>
      <c r="N207" s="128">
        <f t="shared" si="3"/>
        <v>-1</v>
      </c>
      <c r="O207" s="130" t="s">
        <v>159</v>
      </c>
      <c r="P207" s="130" t="s">
        <v>159</v>
      </c>
      <c r="Q207" s="130" t="s">
        <v>160</v>
      </c>
      <c r="R207" s="128">
        <v>0</v>
      </c>
      <c r="S207" s="130" t="s">
        <v>555</v>
      </c>
    </row>
    <row r="208" spans="1:19" x14ac:dyDescent="0.25">
      <c r="A208" s="130" t="s">
        <v>643</v>
      </c>
      <c r="B208" s="130" t="s">
        <v>644</v>
      </c>
      <c r="C208" s="130" t="s">
        <v>159</v>
      </c>
      <c r="D208" s="130" t="s">
        <v>159</v>
      </c>
      <c r="E208" s="130" t="s">
        <v>619</v>
      </c>
      <c r="F208" s="130" t="s">
        <v>620</v>
      </c>
      <c r="G208" s="130" t="s">
        <v>137</v>
      </c>
      <c r="I208" s="130" t="s">
        <v>416</v>
      </c>
      <c r="J208" s="130" t="s">
        <v>159</v>
      </c>
      <c r="K208" s="130" t="s">
        <v>619</v>
      </c>
      <c r="L208" s="130" t="s">
        <v>554</v>
      </c>
      <c r="M208" s="128">
        <v>8</v>
      </c>
      <c r="N208" s="128">
        <f t="shared" si="3"/>
        <v>-1</v>
      </c>
      <c r="O208" s="130" t="s">
        <v>159</v>
      </c>
      <c r="P208" s="130" t="s">
        <v>159</v>
      </c>
      <c r="Q208" s="130" t="s">
        <v>160</v>
      </c>
      <c r="R208" s="128">
        <v>0</v>
      </c>
      <c r="S208" s="130" t="s">
        <v>555</v>
      </c>
    </row>
    <row r="209" spans="1:19" x14ac:dyDescent="0.25">
      <c r="A209" s="130" t="s">
        <v>645</v>
      </c>
      <c r="B209" s="130" t="s">
        <v>646</v>
      </c>
      <c r="C209" s="130" t="s">
        <v>159</v>
      </c>
      <c r="D209" s="130" t="s">
        <v>159</v>
      </c>
      <c r="E209" s="130" t="s">
        <v>619</v>
      </c>
      <c r="F209" s="130" t="s">
        <v>620</v>
      </c>
      <c r="G209" s="130" t="s">
        <v>137</v>
      </c>
      <c r="I209" s="130" t="s">
        <v>416</v>
      </c>
      <c r="J209" s="130" t="s">
        <v>159</v>
      </c>
      <c r="K209" s="130" t="s">
        <v>619</v>
      </c>
      <c r="L209" s="130" t="s">
        <v>554</v>
      </c>
      <c r="M209" s="128">
        <v>8</v>
      </c>
      <c r="N209" s="128">
        <f t="shared" si="3"/>
        <v>-1</v>
      </c>
      <c r="O209" s="130" t="s">
        <v>159</v>
      </c>
      <c r="P209" s="130" t="s">
        <v>159</v>
      </c>
      <c r="Q209" s="130" t="s">
        <v>160</v>
      </c>
      <c r="R209" s="128">
        <v>0</v>
      </c>
      <c r="S209" s="130" t="s">
        <v>555</v>
      </c>
    </row>
    <row r="210" spans="1:19" x14ac:dyDescent="0.25">
      <c r="A210" s="130" t="s">
        <v>647</v>
      </c>
      <c r="B210" s="130" t="s">
        <v>648</v>
      </c>
      <c r="C210" s="130" t="s">
        <v>159</v>
      </c>
      <c r="D210" s="130" t="s">
        <v>159</v>
      </c>
      <c r="E210" s="130" t="s">
        <v>619</v>
      </c>
      <c r="F210" s="130" t="s">
        <v>620</v>
      </c>
      <c r="G210" s="130" t="s">
        <v>137</v>
      </c>
      <c r="I210" s="130" t="s">
        <v>416</v>
      </c>
      <c r="J210" s="130" t="s">
        <v>159</v>
      </c>
      <c r="K210" s="130" t="s">
        <v>619</v>
      </c>
      <c r="L210" s="130" t="s">
        <v>554</v>
      </c>
      <c r="M210" s="128">
        <v>8</v>
      </c>
      <c r="N210" s="128">
        <f t="shared" si="3"/>
        <v>-1</v>
      </c>
      <c r="O210" s="130" t="s">
        <v>159</v>
      </c>
      <c r="P210" s="130" t="s">
        <v>159</v>
      </c>
      <c r="Q210" s="130" t="s">
        <v>160</v>
      </c>
      <c r="R210" s="128">
        <v>0</v>
      </c>
      <c r="S210" s="130" t="s">
        <v>555</v>
      </c>
    </row>
    <row r="211" spans="1:19" x14ac:dyDescent="0.25">
      <c r="A211" s="130" t="s">
        <v>649</v>
      </c>
      <c r="B211" s="130" t="s">
        <v>650</v>
      </c>
      <c r="C211" s="130" t="s">
        <v>159</v>
      </c>
      <c r="D211" s="130" t="s">
        <v>159</v>
      </c>
      <c r="E211" s="130" t="s">
        <v>619</v>
      </c>
      <c r="F211" s="130" t="s">
        <v>620</v>
      </c>
      <c r="G211" s="130" t="s">
        <v>137</v>
      </c>
      <c r="I211" s="130" t="s">
        <v>416</v>
      </c>
      <c r="J211" s="130" t="s">
        <v>159</v>
      </c>
      <c r="K211" s="130" t="s">
        <v>619</v>
      </c>
      <c r="L211" s="130" t="s">
        <v>554</v>
      </c>
      <c r="M211" s="128">
        <v>8</v>
      </c>
      <c r="N211" s="128">
        <f t="shared" si="3"/>
        <v>-1</v>
      </c>
      <c r="O211" s="130" t="s">
        <v>159</v>
      </c>
      <c r="P211" s="130" t="s">
        <v>159</v>
      </c>
      <c r="Q211" s="130" t="s">
        <v>160</v>
      </c>
      <c r="R211" s="128">
        <v>0</v>
      </c>
      <c r="S211" s="130" t="s">
        <v>555</v>
      </c>
    </row>
    <row r="212" spans="1:19" x14ac:dyDescent="0.25">
      <c r="A212" s="130" t="s">
        <v>651</v>
      </c>
      <c r="B212" s="130" t="s">
        <v>652</v>
      </c>
      <c r="C212" s="130" t="s">
        <v>159</v>
      </c>
      <c r="D212" s="130" t="s">
        <v>159</v>
      </c>
      <c r="E212" s="130" t="s">
        <v>619</v>
      </c>
      <c r="F212" s="130" t="s">
        <v>620</v>
      </c>
      <c r="G212" s="130" t="s">
        <v>137</v>
      </c>
      <c r="I212" s="130" t="s">
        <v>416</v>
      </c>
      <c r="J212" s="130" t="s">
        <v>159</v>
      </c>
      <c r="K212" s="130" t="s">
        <v>619</v>
      </c>
      <c r="L212" s="130" t="s">
        <v>554</v>
      </c>
      <c r="M212" s="128">
        <v>8</v>
      </c>
      <c r="N212" s="128">
        <f t="shared" si="3"/>
        <v>-1</v>
      </c>
      <c r="O212" s="130" t="s">
        <v>159</v>
      </c>
      <c r="P212" s="130" t="s">
        <v>159</v>
      </c>
      <c r="Q212" s="130" t="s">
        <v>160</v>
      </c>
      <c r="R212" s="128">
        <v>0</v>
      </c>
      <c r="S212" s="130" t="s">
        <v>555</v>
      </c>
    </row>
    <row r="213" spans="1:19" x14ac:dyDescent="0.25">
      <c r="A213" s="130" t="s">
        <v>653</v>
      </c>
      <c r="B213" s="130" t="s">
        <v>654</v>
      </c>
      <c r="C213" s="130" t="s">
        <v>159</v>
      </c>
      <c r="D213" s="130" t="s">
        <v>159</v>
      </c>
      <c r="E213" s="130" t="s">
        <v>619</v>
      </c>
      <c r="F213" s="130" t="s">
        <v>620</v>
      </c>
      <c r="G213" s="130" t="s">
        <v>137</v>
      </c>
      <c r="I213" s="130" t="s">
        <v>416</v>
      </c>
      <c r="J213" s="130" t="s">
        <v>159</v>
      </c>
      <c r="K213" s="130" t="s">
        <v>619</v>
      </c>
      <c r="L213" s="130" t="s">
        <v>554</v>
      </c>
      <c r="M213" s="128">
        <v>8</v>
      </c>
      <c r="N213" s="128">
        <f t="shared" si="3"/>
        <v>-1</v>
      </c>
      <c r="O213" s="130" t="s">
        <v>159</v>
      </c>
      <c r="P213" s="130" t="s">
        <v>159</v>
      </c>
      <c r="Q213" s="130" t="s">
        <v>160</v>
      </c>
      <c r="R213" s="128">
        <v>0</v>
      </c>
      <c r="S213" s="130" t="s">
        <v>555</v>
      </c>
    </row>
    <row r="214" spans="1:19" x14ac:dyDescent="0.25">
      <c r="A214" s="130" t="s">
        <v>655</v>
      </c>
      <c r="B214" s="130" t="s">
        <v>656</v>
      </c>
      <c r="C214" s="130" t="s">
        <v>159</v>
      </c>
      <c r="D214" s="130" t="s">
        <v>159</v>
      </c>
      <c r="E214" s="130" t="s">
        <v>619</v>
      </c>
      <c r="F214" s="130" t="s">
        <v>620</v>
      </c>
      <c r="G214" s="130" t="s">
        <v>137</v>
      </c>
      <c r="I214" s="130" t="s">
        <v>416</v>
      </c>
      <c r="J214" s="130" t="s">
        <v>159</v>
      </c>
      <c r="K214" s="130" t="s">
        <v>619</v>
      </c>
      <c r="L214" s="130" t="s">
        <v>554</v>
      </c>
      <c r="M214" s="128">
        <v>8</v>
      </c>
      <c r="N214" s="128">
        <f t="shared" si="3"/>
        <v>-1</v>
      </c>
      <c r="O214" s="130" t="s">
        <v>159</v>
      </c>
      <c r="P214" s="130" t="s">
        <v>159</v>
      </c>
      <c r="Q214" s="130" t="s">
        <v>160</v>
      </c>
      <c r="R214" s="128">
        <v>0</v>
      </c>
      <c r="S214" s="130" t="s">
        <v>555</v>
      </c>
    </row>
    <row r="215" spans="1:19" x14ac:dyDescent="0.25">
      <c r="A215" s="130" t="s">
        <v>657</v>
      </c>
      <c r="B215" s="130" t="s">
        <v>658</v>
      </c>
      <c r="C215" s="130" t="s">
        <v>159</v>
      </c>
      <c r="D215" s="130" t="s">
        <v>159</v>
      </c>
      <c r="E215" s="130" t="s">
        <v>619</v>
      </c>
      <c r="F215" s="130" t="s">
        <v>620</v>
      </c>
      <c r="G215" s="130" t="s">
        <v>137</v>
      </c>
      <c r="I215" s="130" t="s">
        <v>416</v>
      </c>
      <c r="J215" s="130" t="s">
        <v>159</v>
      </c>
      <c r="K215" s="130" t="s">
        <v>619</v>
      </c>
      <c r="L215" s="130" t="s">
        <v>554</v>
      </c>
      <c r="M215" s="128">
        <v>8</v>
      </c>
      <c r="N215" s="128">
        <f t="shared" si="3"/>
        <v>-1</v>
      </c>
      <c r="O215" s="130" t="s">
        <v>159</v>
      </c>
      <c r="P215" s="130" t="s">
        <v>159</v>
      </c>
      <c r="Q215" s="130" t="s">
        <v>160</v>
      </c>
      <c r="R215" s="128">
        <v>0</v>
      </c>
      <c r="S215" s="130" t="s">
        <v>555</v>
      </c>
    </row>
    <row r="216" spans="1:19" x14ac:dyDescent="0.25">
      <c r="A216" s="130" t="s">
        <v>659</v>
      </c>
      <c r="B216" s="130" t="s">
        <v>660</v>
      </c>
      <c r="C216" s="130" t="s">
        <v>159</v>
      </c>
      <c r="D216" s="130" t="s">
        <v>159</v>
      </c>
      <c r="E216" s="130" t="s">
        <v>619</v>
      </c>
      <c r="F216" s="130" t="s">
        <v>620</v>
      </c>
      <c r="G216" s="130" t="s">
        <v>137</v>
      </c>
      <c r="I216" s="130" t="s">
        <v>416</v>
      </c>
      <c r="J216" s="130" t="s">
        <v>159</v>
      </c>
      <c r="K216" s="130" t="s">
        <v>619</v>
      </c>
      <c r="L216" s="130" t="s">
        <v>554</v>
      </c>
      <c r="M216" s="128">
        <v>8</v>
      </c>
      <c r="N216" s="128">
        <f t="shared" si="3"/>
        <v>-1</v>
      </c>
      <c r="O216" s="130" t="s">
        <v>159</v>
      </c>
      <c r="P216" s="130" t="s">
        <v>159</v>
      </c>
      <c r="Q216" s="130" t="s">
        <v>160</v>
      </c>
      <c r="R216" s="128">
        <v>0</v>
      </c>
      <c r="S216" s="130" t="s">
        <v>555</v>
      </c>
    </row>
    <row r="217" spans="1:19" x14ac:dyDescent="0.25">
      <c r="A217" s="130" t="s">
        <v>661</v>
      </c>
      <c r="B217" s="130" t="s">
        <v>662</v>
      </c>
      <c r="C217" s="130" t="s">
        <v>159</v>
      </c>
      <c r="D217" s="130" t="s">
        <v>159</v>
      </c>
      <c r="E217" s="130" t="s">
        <v>663</v>
      </c>
      <c r="F217" s="130" t="s">
        <v>664</v>
      </c>
      <c r="G217" s="130" t="s">
        <v>137</v>
      </c>
      <c r="I217" s="130" t="s">
        <v>416</v>
      </c>
      <c r="J217" s="130" t="s">
        <v>159</v>
      </c>
      <c r="K217" s="130" t="s">
        <v>663</v>
      </c>
      <c r="L217" s="130" t="s">
        <v>554</v>
      </c>
      <c r="M217" s="128">
        <v>8</v>
      </c>
      <c r="N217" s="128">
        <f t="shared" si="3"/>
        <v>-1</v>
      </c>
      <c r="O217" s="130" t="s">
        <v>159</v>
      </c>
      <c r="P217" s="130" t="s">
        <v>159</v>
      </c>
      <c r="Q217" s="130" t="s">
        <v>160</v>
      </c>
      <c r="R217" s="128">
        <v>0</v>
      </c>
      <c r="S217" s="130" t="s">
        <v>555</v>
      </c>
    </row>
    <row r="218" spans="1:19" x14ac:dyDescent="0.25">
      <c r="A218" s="130" t="s">
        <v>665</v>
      </c>
      <c r="B218" s="130" t="s">
        <v>666</v>
      </c>
      <c r="C218" s="130" t="s">
        <v>159</v>
      </c>
      <c r="D218" s="130" t="s">
        <v>159</v>
      </c>
      <c r="E218" s="130" t="s">
        <v>663</v>
      </c>
      <c r="F218" s="130" t="s">
        <v>664</v>
      </c>
      <c r="G218" s="130" t="s">
        <v>137</v>
      </c>
      <c r="I218" s="130" t="s">
        <v>416</v>
      </c>
      <c r="J218" s="130" t="s">
        <v>159</v>
      </c>
      <c r="K218" s="130" t="s">
        <v>663</v>
      </c>
      <c r="L218" s="130" t="s">
        <v>554</v>
      </c>
      <c r="M218" s="128">
        <v>8</v>
      </c>
      <c r="N218" s="128">
        <f t="shared" si="3"/>
        <v>-1</v>
      </c>
      <c r="O218" s="130" t="s">
        <v>159</v>
      </c>
      <c r="P218" s="130" t="s">
        <v>159</v>
      </c>
      <c r="Q218" s="130" t="s">
        <v>160</v>
      </c>
      <c r="R218" s="128">
        <v>0</v>
      </c>
      <c r="S218" s="130" t="s">
        <v>555</v>
      </c>
    </row>
    <row r="219" spans="1:19" x14ac:dyDescent="0.25">
      <c r="A219" s="130" t="s">
        <v>667</v>
      </c>
      <c r="B219" s="130" t="s">
        <v>668</v>
      </c>
      <c r="C219" s="130" t="s">
        <v>159</v>
      </c>
      <c r="D219" s="130" t="s">
        <v>159</v>
      </c>
      <c r="E219" s="130" t="s">
        <v>663</v>
      </c>
      <c r="F219" s="130" t="s">
        <v>664</v>
      </c>
      <c r="G219" s="130" t="s">
        <v>137</v>
      </c>
      <c r="I219" s="130" t="s">
        <v>416</v>
      </c>
      <c r="J219" s="130" t="s">
        <v>159</v>
      </c>
      <c r="K219" s="130" t="s">
        <v>663</v>
      </c>
      <c r="L219" s="130" t="s">
        <v>554</v>
      </c>
      <c r="M219" s="128">
        <v>8</v>
      </c>
      <c r="N219" s="128">
        <f t="shared" si="3"/>
        <v>-1</v>
      </c>
      <c r="O219" s="130" t="s">
        <v>159</v>
      </c>
      <c r="P219" s="130" t="s">
        <v>159</v>
      </c>
      <c r="Q219" s="130" t="s">
        <v>160</v>
      </c>
      <c r="R219" s="128">
        <v>0</v>
      </c>
      <c r="S219" s="130" t="s">
        <v>555</v>
      </c>
    </row>
    <row r="220" spans="1:19" x14ac:dyDescent="0.25">
      <c r="A220" s="130" t="s">
        <v>669</v>
      </c>
      <c r="B220" s="130" t="s">
        <v>670</v>
      </c>
      <c r="C220" s="130" t="s">
        <v>159</v>
      </c>
      <c r="D220" s="130" t="s">
        <v>159</v>
      </c>
      <c r="E220" s="130" t="s">
        <v>663</v>
      </c>
      <c r="F220" s="130" t="s">
        <v>664</v>
      </c>
      <c r="G220" s="130" t="s">
        <v>137</v>
      </c>
      <c r="I220" s="130" t="s">
        <v>416</v>
      </c>
      <c r="J220" s="130" t="s">
        <v>159</v>
      </c>
      <c r="K220" s="130" t="s">
        <v>663</v>
      </c>
      <c r="L220" s="130" t="s">
        <v>554</v>
      </c>
      <c r="M220" s="128">
        <v>8</v>
      </c>
      <c r="N220" s="128">
        <f t="shared" si="3"/>
        <v>-1</v>
      </c>
      <c r="O220" s="130" t="s">
        <v>159</v>
      </c>
      <c r="P220" s="130" t="s">
        <v>159</v>
      </c>
      <c r="Q220" s="130" t="s">
        <v>160</v>
      </c>
      <c r="R220" s="128">
        <v>0</v>
      </c>
      <c r="S220" s="130" t="s">
        <v>555</v>
      </c>
    </row>
    <row r="221" spans="1:19" x14ac:dyDescent="0.25">
      <c r="A221" s="130" t="s">
        <v>671</v>
      </c>
      <c r="B221" s="130" t="s">
        <v>672</v>
      </c>
      <c r="C221" s="130" t="s">
        <v>159</v>
      </c>
      <c r="D221" s="130" t="s">
        <v>159</v>
      </c>
      <c r="E221" s="130" t="s">
        <v>663</v>
      </c>
      <c r="F221" s="130" t="s">
        <v>664</v>
      </c>
      <c r="G221" s="130" t="s">
        <v>137</v>
      </c>
      <c r="I221" s="130" t="s">
        <v>416</v>
      </c>
      <c r="J221" s="130" t="s">
        <v>159</v>
      </c>
      <c r="K221" s="130" t="s">
        <v>663</v>
      </c>
      <c r="L221" s="130" t="s">
        <v>554</v>
      </c>
      <c r="M221" s="128">
        <v>8</v>
      </c>
      <c r="N221" s="128">
        <f t="shared" si="3"/>
        <v>-1</v>
      </c>
      <c r="O221" s="130" t="s">
        <v>159</v>
      </c>
      <c r="P221" s="130" t="s">
        <v>159</v>
      </c>
      <c r="Q221" s="130" t="s">
        <v>160</v>
      </c>
      <c r="R221" s="128">
        <v>0</v>
      </c>
      <c r="S221" s="130" t="s">
        <v>555</v>
      </c>
    </row>
    <row r="222" spans="1:19" x14ac:dyDescent="0.25">
      <c r="A222" s="130" t="s">
        <v>673</v>
      </c>
      <c r="B222" s="130" t="s">
        <v>674</v>
      </c>
      <c r="C222" s="130" t="s">
        <v>159</v>
      </c>
      <c r="D222" s="130" t="s">
        <v>159</v>
      </c>
      <c r="E222" s="130" t="s">
        <v>663</v>
      </c>
      <c r="F222" s="130" t="s">
        <v>664</v>
      </c>
      <c r="G222" s="130" t="s">
        <v>137</v>
      </c>
      <c r="I222" s="130" t="s">
        <v>416</v>
      </c>
      <c r="J222" s="130" t="s">
        <v>159</v>
      </c>
      <c r="K222" s="130" t="s">
        <v>663</v>
      </c>
      <c r="L222" s="130" t="s">
        <v>554</v>
      </c>
      <c r="M222" s="128">
        <v>8</v>
      </c>
      <c r="N222" s="128">
        <f t="shared" si="3"/>
        <v>-1</v>
      </c>
      <c r="O222" s="130" t="s">
        <v>159</v>
      </c>
      <c r="P222" s="130" t="s">
        <v>159</v>
      </c>
      <c r="Q222" s="130" t="s">
        <v>160</v>
      </c>
      <c r="R222" s="128">
        <v>0</v>
      </c>
      <c r="S222" s="130" t="s">
        <v>555</v>
      </c>
    </row>
    <row r="223" spans="1:19" x14ac:dyDescent="0.25">
      <c r="A223" s="130" t="s">
        <v>675</v>
      </c>
      <c r="B223" s="130" t="s">
        <v>676</v>
      </c>
      <c r="C223" s="130" t="s">
        <v>159</v>
      </c>
      <c r="D223" s="130" t="s">
        <v>159</v>
      </c>
      <c r="E223" s="130" t="s">
        <v>663</v>
      </c>
      <c r="F223" s="130" t="s">
        <v>664</v>
      </c>
      <c r="G223" s="130" t="s">
        <v>137</v>
      </c>
      <c r="I223" s="130" t="s">
        <v>416</v>
      </c>
      <c r="J223" s="130" t="s">
        <v>159</v>
      </c>
      <c r="K223" s="130" t="s">
        <v>663</v>
      </c>
      <c r="L223" s="130" t="s">
        <v>554</v>
      </c>
      <c r="M223" s="128">
        <v>8</v>
      </c>
      <c r="N223" s="128">
        <f t="shared" si="3"/>
        <v>-1</v>
      </c>
      <c r="O223" s="130" t="s">
        <v>159</v>
      </c>
      <c r="P223" s="130" t="s">
        <v>159</v>
      </c>
      <c r="Q223" s="130" t="s">
        <v>160</v>
      </c>
      <c r="R223" s="128">
        <v>0</v>
      </c>
      <c r="S223" s="130" t="s">
        <v>555</v>
      </c>
    </row>
    <row r="224" spans="1:19" x14ac:dyDescent="0.25">
      <c r="A224" s="130" t="s">
        <v>677</v>
      </c>
      <c r="B224" s="130" t="s">
        <v>678</v>
      </c>
      <c r="C224" s="130" t="s">
        <v>159</v>
      </c>
      <c r="D224" s="130" t="s">
        <v>159</v>
      </c>
      <c r="E224" s="130" t="s">
        <v>663</v>
      </c>
      <c r="F224" s="130" t="s">
        <v>664</v>
      </c>
      <c r="G224" s="130" t="s">
        <v>137</v>
      </c>
      <c r="I224" s="130" t="s">
        <v>416</v>
      </c>
      <c r="J224" s="130" t="s">
        <v>159</v>
      </c>
      <c r="K224" s="130" t="s">
        <v>663</v>
      </c>
      <c r="L224" s="130" t="s">
        <v>554</v>
      </c>
      <c r="M224" s="128">
        <v>8</v>
      </c>
      <c r="N224" s="128">
        <f t="shared" si="3"/>
        <v>-1</v>
      </c>
      <c r="O224" s="130" t="s">
        <v>159</v>
      </c>
      <c r="P224" s="130" t="s">
        <v>159</v>
      </c>
      <c r="Q224" s="130" t="s">
        <v>160</v>
      </c>
      <c r="R224" s="128">
        <v>0</v>
      </c>
      <c r="S224" s="130" t="s">
        <v>555</v>
      </c>
    </row>
    <row r="225" spans="1:19" x14ac:dyDescent="0.25">
      <c r="A225" s="130" t="s">
        <v>679</v>
      </c>
      <c r="B225" s="130" t="s">
        <v>680</v>
      </c>
      <c r="C225" s="130" t="s">
        <v>159</v>
      </c>
      <c r="D225" s="130" t="s">
        <v>159</v>
      </c>
      <c r="E225" s="130" t="s">
        <v>681</v>
      </c>
      <c r="F225" s="130" t="s">
        <v>682</v>
      </c>
      <c r="G225" s="130" t="s">
        <v>137</v>
      </c>
      <c r="I225" s="130" t="s">
        <v>416</v>
      </c>
      <c r="J225" s="130" t="s">
        <v>159</v>
      </c>
      <c r="K225" s="130" t="s">
        <v>681</v>
      </c>
      <c r="L225" s="130" t="s">
        <v>554</v>
      </c>
      <c r="M225" s="128">
        <v>8</v>
      </c>
      <c r="N225" s="128">
        <f t="shared" si="3"/>
        <v>-1</v>
      </c>
      <c r="O225" s="130" t="s">
        <v>159</v>
      </c>
      <c r="P225" s="130" t="s">
        <v>159</v>
      </c>
      <c r="Q225" s="130" t="s">
        <v>160</v>
      </c>
      <c r="R225" s="128">
        <v>0</v>
      </c>
      <c r="S225" s="130" t="s">
        <v>555</v>
      </c>
    </row>
    <row r="226" spans="1:19" x14ac:dyDescent="0.25">
      <c r="A226" s="130" t="s">
        <v>683</v>
      </c>
      <c r="B226" s="130" t="s">
        <v>684</v>
      </c>
      <c r="C226" s="130" t="s">
        <v>159</v>
      </c>
      <c r="D226" s="130" t="s">
        <v>159</v>
      </c>
      <c r="E226" s="130" t="s">
        <v>681</v>
      </c>
      <c r="F226" s="130" t="s">
        <v>682</v>
      </c>
      <c r="G226" s="130" t="s">
        <v>137</v>
      </c>
      <c r="I226" s="130" t="s">
        <v>416</v>
      </c>
      <c r="J226" s="130" t="s">
        <v>159</v>
      </c>
      <c r="K226" s="130" t="s">
        <v>681</v>
      </c>
      <c r="L226" s="130" t="s">
        <v>554</v>
      </c>
      <c r="M226" s="128">
        <v>8</v>
      </c>
      <c r="N226" s="128">
        <f t="shared" si="3"/>
        <v>-1</v>
      </c>
      <c r="O226" s="130" t="s">
        <v>159</v>
      </c>
      <c r="P226" s="130" t="s">
        <v>159</v>
      </c>
      <c r="Q226" s="130" t="s">
        <v>160</v>
      </c>
      <c r="R226" s="128">
        <v>0</v>
      </c>
      <c r="S226" s="130" t="s">
        <v>555</v>
      </c>
    </row>
    <row r="227" spans="1:19" x14ac:dyDescent="0.25">
      <c r="A227" s="130" t="s">
        <v>685</v>
      </c>
      <c r="B227" s="130" t="s">
        <v>686</v>
      </c>
      <c r="C227" s="130" t="s">
        <v>159</v>
      </c>
      <c r="D227" s="130" t="s">
        <v>159</v>
      </c>
      <c r="E227" s="130" t="s">
        <v>681</v>
      </c>
      <c r="F227" s="130" t="s">
        <v>682</v>
      </c>
      <c r="G227" s="130" t="s">
        <v>137</v>
      </c>
      <c r="I227" s="130" t="s">
        <v>416</v>
      </c>
      <c r="J227" s="130" t="s">
        <v>159</v>
      </c>
      <c r="K227" s="130" t="s">
        <v>681</v>
      </c>
      <c r="L227" s="130" t="s">
        <v>554</v>
      </c>
      <c r="M227" s="128">
        <v>8</v>
      </c>
      <c r="N227" s="128">
        <f t="shared" si="3"/>
        <v>-1</v>
      </c>
      <c r="O227" s="130" t="s">
        <v>159</v>
      </c>
      <c r="P227" s="130" t="s">
        <v>159</v>
      </c>
      <c r="Q227" s="130" t="s">
        <v>160</v>
      </c>
      <c r="R227" s="128">
        <v>0</v>
      </c>
      <c r="S227" s="130" t="s">
        <v>555</v>
      </c>
    </row>
    <row r="228" spans="1:19" x14ac:dyDescent="0.25">
      <c r="A228" s="130" t="s">
        <v>687</v>
      </c>
      <c r="B228" s="130" t="s">
        <v>688</v>
      </c>
      <c r="C228" s="130" t="s">
        <v>159</v>
      </c>
      <c r="D228" s="130" t="s">
        <v>159</v>
      </c>
      <c r="E228" s="130" t="s">
        <v>681</v>
      </c>
      <c r="F228" s="130" t="s">
        <v>682</v>
      </c>
      <c r="G228" s="130" t="s">
        <v>137</v>
      </c>
      <c r="I228" s="130" t="s">
        <v>416</v>
      </c>
      <c r="J228" s="130" t="s">
        <v>159</v>
      </c>
      <c r="K228" s="130" t="s">
        <v>681</v>
      </c>
      <c r="L228" s="130" t="s">
        <v>554</v>
      </c>
      <c r="M228" s="128">
        <v>8</v>
      </c>
      <c r="N228" s="128">
        <f t="shared" si="3"/>
        <v>-1</v>
      </c>
      <c r="O228" s="130" t="s">
        <v>159</v>
      </c>
      <c r="P228" s="130" t="s">
        <v>159</v>
      </c>
      <c r="Q228" s="130" t="s">
        <v>160</v>
      </c>
      <c r="R228" s="128">
        <v>0</v>
      </c>
      <c r="S228" s="130" t="s">
        <v>555</v>
      </c>
    </row>
    <row r="229" spans="1:19" x14ac:dyDescent="0.25">
      <c r="A229" s="130" t="s">
        <v>689</v>
      </c>
      <c r="B229" s="130" t="s">
        <v>690</v>
      </c>
      <c r="C229" s="130" t="s">
        <v>159</v>
      </c>
      <c r="D229" s="130" t="s">
        <v>159</v>
      </c>
      <c r="E229" s="130" t="s">
        <v>681</v>
      </c>
      <c r="F229" s="130" t="s">
        <v>682</v>
      </c>
      <c r="G229" s="130" t="s">
        <v>137</v>
      </c>
      <c r="I229" s="130" t="s">
        <v>416</v>
      </c>
      <c r="J229" s="130" t="s">
        <v>159</v>
      </c>
      <c r="K229" s="130" t="s">
        <v>681</v>
      </c>
      <c r="L229" s="130" t="s">
        <v>554</v>
      </c>
      <c r="M229" s="128">
        <v>8</v>
      </c>
      <c r="N229" s="128">
        <f t="shared" si="3"/>
        <v>-1</v>
      </c>
      <c r="O229" s="130" t="s">
        <v>159</v>
      </c>
      <c r="P229" s="130" t="s">
        <v>159</v>
      </c>
      <c r="Q229" s="130" t="s">
        <v>160</v>
      </c>
      <c r="R229" s="128">
        <v>0</v>
      </c>
      <c r="S229" s="130" t="s">
        <v>555</v>
      </c>
    </row>
    <row r="230" spans="1:19" x14ac:dyDescent="0.25">
      <c r="A230" s="130" t="s">
        <v>691</v>
      </c>
      <c r="B230" s="130" t="s">
        <v>692</v>
      </c>
      <c r="C230" s="130" t="s">
        <v>159</v>
      </c>
      <c r="D230" s="130" t="s">
        <v>159</v>
      </c>
      <c r="E230" s="130" t="s">
        <v>693</v>
      </c>
      <c r="F230" s="130" t="s">
        <v>694</v>
      </c>
      <c r="G230" s="130" t="s">
        <v>137</v>
      </c>
      <c r="I230" s="130" t="s">
        <v>416</v>
      </c>
      <c r="J230" s="130" t="s">
        <v>159</v>
      </c>
      <c r="K230" s="130" t="s">
        <v>693</v>
      </c>
      <c r="L230" s="130" t="s">
        <v>554</v>
      </c>
      <c r="M230" s="128">
        <v>6</v>
      </c>
      <c r="N230" s="128">
        <f t="shared" si="3"/>
        <v>-3</v>
      </c>
      <c r="O230" s="130" t="s">
        <v>159</v>
      </c>
      <c r="P230" s="130" t="s">
        <v>159</v>
      </c>
      <c r="Q230" s="130" t="s">
        <v>160</v>
      </c>
      <c r="R230" s="128">
        <v>0</v>
      </c>
      <c r="S230" s="130" t="s">
        <v>695</v>
      </c>
    </row>
    <row r="231" spans="1:19" x14ac:dyDescent="0.25">
      <c r="A231" s="130" t="s">
        <v>696</v>
      </c>
      <c r="B231" s="130" t="s">
        <v>697</v>
      </c>
      <c r="C231" s="130" t="s">
        <v>159</v>
      </c>
      <c r="D231" s="130" t="s">
        <v>159</v>
      </c>
      <c r="E231" s="130" t="s">
        <v>693</v>
      </c>
      <c r="F231" s="130" t="s">
        <v>694</v>
      </c>
      <c r="G231" s="130" t="s">
        <v>137</v>
      </c>
      <c r="I231" s="130" t="s">
        <v>416</v>
      </c>
      <c r="J231" s="130" t="s">
        <v>159</v>
      </c>
      <c r="K231" s="130" t="s">
        <v>693</v>
      </c>
      <c r="L231" s="130" t="s">
        <v>554</v>
      </c>
      <c r="M231" s="128">
        <v>6</v>
      </c>
      <c r="N231" s="128">
        <f t="shared" si="3"/>
        <v>-3</v>
      </c>
      <c r="O231" s="130" t="s">
        <v>159</v>
      </c>
      <c r="P231" s="130" t="s">
        <v>159</v>
      </c>
      <c r="Q231" s="130" t="s">
        <v>160</v>
      </c>
      <c r="R231" s="128">
        <v>0</v>
      </c>
      <c r="S231" s="130" t="s">
        <v>695</v>
      </c>
    </row>
    <row r="232" spans="1:19" x14ac:dyDescent="0.25">
      <c r="A232" s="130" t="s">
        <v>698</v>
      </c>
      <c r="B232" s="130" t="s">
        <v>699</v>
      </c>
      <c r="C232" s="130" t="s">
        <v>159</v>
      </c>
      <c r="D232" s="130" t="s">
        <v>159</v>
      </c>
      <c r="E232" s="130" t="s">
        <v>693</v>
      </c>
      <c r="F232" s="130" t="s">
        <v>694</v>
      </c>
      <c r="G232" s="130" t="s">
        <v>137</v>
      </c>
      <c r="I232" s="130" t="s">
        <v>416</v>
      </c>
      <c r="J232" s="130" t="s">
        <v>159</v>
      </c>
      <c r="K232" s="130" t="s">
        <v>693</v>
      </c>
      <c r="L232" s="130" t="s">
        <v>554</v>
      </c>
      <c r="M232" s="128">
        <v>6</v>
      </c>
      <c r="N232" s="128">
        <f t="shared" si="3"/>
        <v>-3</v>
      </c>
      <c r="O232" s="130" t="s">
        <v>159</v>
      </c>
      <c r="P232" s="130" t="s">
        <v>159</v>
      </c>
      <c r="Q232" s="130" t="s">
        <v>160</v>
      </c>
      <c r="R232" s="128">
        <v>0</v>
      </c>
      <c r="S232" s="130" t="s">
        <v>695</v>
      </c>
    </row>
    <row r="233" spans="1:19" x14ac:dyDescent="0.25">
      <c r="A233" s="130" t="s">
        <v>700</v>
      </c>
      <c r="B233" s="130" t="s">
        <v>701</v>
      </c>
      <c r="C233" s="130" t="s">
        <v>159</v>
      </c>
      <c r="D233" s="130" t="s">
        <v>159</v>
      </c>
      <c r="E233" s="130" t="s">
        <v>693</v>
      </c>
      <c r="F233" s="130" t="s">
        <v>694</v>
      </c>
      <c r="G233" s="130" t="s">
        <v>137</v>
      </c>
      <c r="I233" s="130" t="s">
        <v>416</v>
      </c>
      <c r="J233" s="130" t="s">
        <v>159</v>
      </c>
      <c r="K233" s="130" t="s">
        <v>693</v>
      </c>
      <c r="L233" s="130" t="s">
        <v>554</v>
      </c>
      <c r="M233" s="128">
        <v>6</v>
      </c>
      <c r="N233" s="128">
        <f t="shared" si="3"/>
        <v>-3</v>
      </c>
      <c r="O233" s="130" t="s">
        <v>159</v>
      </c>
      <c r="P233" s="130" t="s">
        <v>159</v>
      </c>
      <c r="Q233" s="130" t="s">
        <v>160</v>
      </c>
      <c r="R233" s="128">
        <v>0</v>
      </c>
      <c r="S233" s="130" t="s">
        <v>695</v>
      </c>
    </row>
    <row r="234" spans="1:19" x14ac:dyDescent="0.25">
      <c r="A234" s="130" t="s">
        <v>702</v>
      </c>
      <c r="B234" s="130" t="s">
        <v>703</v>
      </c>
      <c r="C234" s="130" t="s">
        <v>159</v>
      </c>
      <c r="D234" s="130" t="s">
        <v>159</v>
      </c>
      <c r="E234" s="130" t="s">
        <v>693</v>
      </c>
      <c r="F234" s="130" t="s">
        <v>694</v>
      </c>
      <c r="G234" s="130" t="s">
        <v>137</v>
      </c>
      <c r="I234" s="130" t="s">
        <v>416</v>
      </c>
      <c r="J234" s="130" t="s">
        <v>159</v>
      </c>
      <c r="K234" s="130" t="s">
        <v>693</v>
      </c>
      <c r="L234" s="130" t="s">
        <v>554</v>
      </c>
      <c r="M234" s="128">
        <v>6</v>
      </c>
      <c r="N234" s="128">
        <f t="shared" si="3"/>
        <v>-3</v>
      </c>
      <c r="O234" s="130" t="s">
        <v>159</v>
      </c>
      <c r="P234" s="130" t="s">
        <v>159</v>
      </c>
      <c r="Q234" s="130" t="s">
        <v>160</v>
      </c>
      <c r="R234" s="128">
        <v>0</v>
      </c>
      <c r="S234" s="130" t="s">
        <v>695</v>
      </c>
    </row>
    <row r="235" spans="1:19" x14ac:dyDescent="0.25">
      <c r="A235" s="130" t="s">
        <v>704</v>
      </c>
      <c r="B235" s="130" t="s">
        <v>705</v>
      </c>
      <c r="C235" s="130" t="s">
        <v>159</v>
      </c>
      <c r="D235" s="130" t="s">
        <v>159</v>
      </c>
      <c r="E235" s="130" t="s">
        <v>693</v>
      </c>
      <c r="F235" s="130" t="s">
        <v>694</v>
      </c>
      <c r="G235" s="130" t="s">
        <v>137</v>
      </c>
      <c r="I235" s="130" t="s">
        <v>416</v>
      </c>
      <c r="J235" s="130" t="s">
        <v>159</v>
      </c>
      <c r="K235" s="130" t="s">
        <v>693</v>
      </c>
      <c r="L235" s="130" t="s">
        <v>554</v>
      </c>
      <c r="M235" s="128">
        <v>6</v>
      </c>
      <c r="N235" s="128">
        <f t="shared" si="3"/>
        <v>-3</v>
      </c>
      <c r="O235" s="130" t="s">
        <v>159</v>
      </c>
      <c r="P235" s="130" t="s">
        <v>159</v>
      </c>
      <c r="Q235" s="130" t="s">
        <v>160</v>
      </c>
      <c r="R235" s="128">
        <v>0</v>
      </c>
      <c r="S235" s="130" t="s">
        <v>695</v>
      </c>
    </row>
    <row r="236" spans="1:19" x14ac:dyDescent="0.25">
      <c r="A236" s="130" t="s">
        <v>706</v>
      </c>
      <c r="B236" s="130" t="s">
        <v>707</v>
      </c>
      <c r="C236" s="130" t="s">
        <v>159</v>
      </c>
      <c r="D236" s="130" t="s">
        <v>159</v>
      </c>
      <c r="E236" s="130" t="s">
        <v>693</v>
      </c>
      <c r="F236" s="130" t="s">
        <v>694</v>
      </c>
      <c r="G236" s="130" t="s">
        <v>137</v>
      </c>
      <c r="I236" s="130" t="s">
        <v>416</v>
      </c>
      <c r="J236" s="130" t="s">
        <v>159</v>
      </c>
      <c r="K236" s="130" t="s">
        <v>693</v>
      </c>
      <c r="L236" s="130" t="s">
        <v>554</v>
      </c>
      <c r="M236" s="128">
        <v>6</v>
      </c>
      <c r="N236" s="128">
        <f t="shared" si="3"/>
        <v>-3</v>
      </c>
      <c r="O236" s="130" t="s">
        <v>159</v>
      </c>
      <c r="P236" s="130" t="s">
        <v>159</v>
      </c>
      <c r="Q236" s="130" t="s">
        <v>160</v>
      </c>
      <c r="R236" s="128">
        <v>0</v>
      </c>
      <c r="S236" s="130" t="s">
        <v>695</v>
      </c>
    </row>
    <row r="237" spans="1:19" x14ac:dyDescent="0.25">
      <c r="A237" s="130" t="s">
        <v>708</v>
      </c>
      <c r="B237" s="130" t="s">
        <v>709</v>
      </c>
      <c r="C237" s="130" t="s">
        <v>159</v>
      </c>
      <c r="D237" s="130" t="s">
        <v>159</v>
      </c>
      <c r="E237" s="130" t="s">
        <v>693</v>
      </c>
      <c r="F237" s="130" t="s">
        <v>694</v>
      </c>
      <c r="G237" s="130" t="s">
        <v>137</v>
      </c>
      <c r="I237" s="130" t="s">
        <v>416</v>
      </c>
      <c r="J237" s="130" t="s">
        <v>159</v>
      </c>
      <c r="K237" s="130" t="s">
        <v>693</v>
      </c>
      <c r="L237" s="130" t="s">
        <v>554</v>
      </c>
      <c r="M237" s="128">
        <v>6</v>
      </c>
      <c r="N237" s="128">
        <f t="shared" si="3"/>
        <v>-3</v>
      </c>
      <c r="O237" s="130" t="s">
        <v>159</v>
      </c>
      <c r="P237" s="130" t="s">
        <v>159</v>
      </c>
      <c r="Q237" s="130" t="s">
        <v>160</v>
      </c>
      <c r="R237" s="128">
        <v>0</v>
      </c>
      <c r="S237" s="130" t="s">
        <v>695</v>
      </c>
    </row>
    <row r="238" spans="1:19" x14ac:dyDescent="0.25">
      <c r="A238" s="130" t="s">
        <v>710</v>
      </c>
      <c r="B238" s="130" t="s">
        <v>711</v>
      </c>
      <c r="C238" s="130" t="s">
        <v>159</v>
      </c>
      <c r="D238" s="130" t="s">
        <v>159</v>
      </c>
      <c r="E238" s="130" t="s">
        <v>693</v>
      </c>
      <c r="F238" s="130" t="s">
        <v>694</v>
      </c>
      <c r="G238" s="130" t="s">
        <v>137</v>
      </c>
      <c r="I238" s="130" t="s">
        <v>416</v>
      </c>
      <c r="J238" s="130" t="s">
        <v>159</v>
      </c>
      <c r="K238" s="130" t="s">
        <v>693</v>
      </c>
      <c r="L238" s="130" t="s">
        <v>554</v>
      </c>
      <c r="M238" s="128">
        <v>6</v>
      </c>
      <c r="N238" s="128">
        <f t="shared" si="3"/>
        <v>-3</v>
      </c>
      <c r="O238" s="130" t="s">
        <v>159</v>
      </c>
      <c r="P238" s="130" t="s">
        <v>159</v>
      </c>
      <c r="Q238" s="130" t="s">
        <v>160</v>
      </c>
      <c r="R238" s="128">
        <v>0</v>
      </c>
      <c r="S238" s="130" t="s">
        <v>695</v>
      </c>
    </row>
    <row r="239" spans="1:19" x14ac:dyDescent="0.25">
      <c r="A239" s="130" t="s">
        <v>712</v>
      </c>
      <c r="B239" s="130" t="s">
        <v>713</v>
      </c>
      <c r="C239" s="130" t="s">
        <v>159</v>
      </c>
      <c r="D239" s="130" t="s">
        <v>159</v>
      </c>
      <c r="E239" s="130" t="s">
        <v>693</v>
      </c>
      <c r="F239" s="130" t="s">
        <v>694</v>
      </c>
      <c r="G239" s="130" t="s">
        <v>137</v>
      </c>
      <c r="I239" s="130" t="s">
        <v>416</v>
      </c>
      <c r="J239" s="130" t="s">
        <v>159</v>
      </c>
      <c r="K239" s="130" t="s">
        <v>693</v>
      </c>
      <c r="L239" s="130" t="s">
        <v>554</v>
      </c>
      <c r="M239" s="128">
        <v>6</v>
      </c>
      <c r="N239" s="128">
        <f t="shared" si="3"/>
        <v>-3</v>
      </c>
      <c r="O239" s="130" t="s">
        <v>159</v>
      </c>
      <c r="P239" s="130" t="s">
        <v>159</v>
      </c>
      <c r="Q239" s="130" t="s">
        <v>160</v>
      </c>
      <c r="R239" s="128">
        <v>0</v>
      </c>
      <c r="S239" s="130" t="s">
        <v>695</v>
      </c>
    </row>
    <row r="240" spans="1:19" x14ac:dyDescent="0.25">
      <c r="A240" s="130" t="s">
        <v>714</v>
      </c>
      <c r="B240" s="130" t="s">
        <v>715</v>
      </c>
      <c r="C240" s="130" t="s">
        <v>159</v>
      </c>
      <c r="D240" s="130" t="s">
        <v>159</v>
      </c>
      <c r="E240" s="130" t="s">
        <v>693</v>
      </c>
      <c r="F240" s="130" t="s">
        <v>694</v>
      </c>
      <c r="G240" s="130" t="s">
        <v>137</v>
      </c>
      <c r="I240" s="130" t="s">
        <v>416</v>
      </c>
      <c r="J240" s="130" t="s">
        <v>159</v>
      </c>
      <c r="K240" s="130" t="s">
        <v>693</v>
      </c>
      <c r="L240" s="130" t="s">
        <v>554</v>
      </c>
      <c r="M240" s="128">
        <v>6</v>
      </c>
      <c r="N240" s="128">
        <f t="shared" si="3"/>
        <v>-3</v>
      </c>
      <c r="O240" s="130" t="s">
        <v>159</v>
      </c>
      <c r="P240" s="130" t="s">
        <v>159</v>
      </c>
      <c r="Q240" s="130" t="s">
        <v>160</v>
      </c>
      <c r="R240" s="128">
        <v>0</v>
      </c>
      <c r="S240" s="130" t="s">
        <v>695</v>
      </c>
    </row>
    <row r="241" spans="1:19" x14ac:dyDescent="0.25">
      <c r="A241" s="130" t="s">
        <v>716</v>
      </c>
      <c r="B241" s="130" t="s">
        <v>717</v>
      </c>
      <c r="C241" s="130" t="s">
        <v>159</v>
      </c>
      <c r="D241" s="130" t="s">
        <v>159</v>
      </c>
      <c r="E241" s="130" t="s">
        <v>693</v>
      </c>
      <c r="F241" s="130" t="s">
        <v>694</v>
      </c>
      <c r="G241" s="130" t="s">
        <v>137</v>
      </c>
      <c r="I241" s="130" t="s">
        <v>416</v>
      </c>
      <c r="J241" s="130" t="s">
        <v>159</v>
      </c>
      <c r="K241" s="130" t="s">
        <v>693</v>
      </c>
      <c r="L241" s="130" t="s">
        <v>554</v>
      </c>
      <c r="M241" s="128">
        <v>6</v>
      </c>
      <c r="N241" s="128">
        <f t="shared" si="3"/>
        <v>-3</v>
      </c>
      <c r="O241" s="130" t="s">
        <v>159</v>
      </c>
      <c r="P241" s="130" t="s">
        <v>159</v>
      </c>
      <c r="Q241" s="130" t="s">
        <v>160</v>
      </c>
      <c r="R241" s="128">
        <v>0</v>
      </c>
      <c r="S241" s="130" t="s">
        <v>695</v>
      </c>
    </row>
    <row r="242" spans="1:19" x14ac:dyDescent="0.25">
      <c r="A242" s="130" t="s">
        <v>718</v>
      </c>
      <c r="B242" s="130" t="s">
        <v>719</v>
      </c>
      <c r="C242" s="130" t="s">
        <v>159</v>
      </c>
      <c r="D242" s="130" t="s">
        <v>159</v>
      </c>
      <c r="E242" s="130" t="s">
        <v>693</v>
      </c>
      <c r="F242" s="130" t="s">
        <v>694</v>
      </c>
      <c r="G242" s="130" t="s">
        <v>137</v>
      </c>
      <c r="I242" s="130" t="s">
        <v>416</v>
      </c>
      <c r="J242" s="130" t="s">
        <v>159</v>
      </c>
      <c r="K242" s="130" t="s">
        <v>693</v>
      </c>
      <c r="L242" s="130" t="s">
        <v>554</v>
      </c>
      <c r="M242" s="128">
        <v>6</v>
      </c>
      <c r="N242" s="128">
        <f t="shared" si="3"/>
        <v>-3</v>
      </c>
      <c r="O242" s="130" t="s">
        <v>159</v>
      </c>
      <c r="P242" s="130" t="s">
        <v>159</v>
      </c>
      <c r="Q242" s="130" t="s">
        <v>160</v>
      </c>
      <c r="R242" s="128">
        <v>0</v>
      </c>
      <c r="S242" s="130" t="s">
        <v>695</v>
      </c>
    </row>
    <row r="243" spans="1:19" x14ac:dyDescent="0.25">
      <c r="A243" s="130" t="s">
        <v>720</v>
      </c>
      <c r="B243" s="130" t="s">
        <v>721</v>
      </c>
      <c r="C243" s="130" t="s">
        <v>159</v>
      </c>
      <c r="D243" s="130" t="s">
        <v>159</v>
      </c>
      <c r="E243" s="130" t="s">
        <v>693</v>
      </c>
      <c r="F243" s="130" t="s">
        <v>694</v>
      </c>
      <c r="G243" s="130" t="s">
        <v>137</v>
      </c>
      <c r="I243" s="130" t="s">
        <v>416</v>
      </c>
      <c r="J243" s="130" t="s">
        <v>159</v>
      </c>
      <c r="K243" s="130" t="s">
        <v>693</v>
      </c>
      <c r="L243" s="130" t="s">
        <v>554</v>
      </c>
      <c r="M243" s="128">
        <v>6</v>
      </c>
      <c r="N243" s="128">
        <f t="shared" si="3"/>
        <v>-3</v>
      </c>
      <c r="O243" s="130" t="s">
        <v>159</v>
      </c>
      <c r="P243" s="130" t="s">
        <v>159</v>
      </c>
      <c r="Q243" s="130" t="s">
        <v>160</v>
      </c>
      <c r="R243" s="128">
        <v>0</v>
      </c>
      <c r="S243" s="130" t="s">
        <v>695</v>
      </c>
    </row>
    <row r="244" spans="1:19" x14ac:dyDescent="0.25">
      <c r="A244" s="130" t="s">
        <v>722</v>
      </c>
      <c r="B244" s="130" t="s">
        <v>723</v>
      </c>
      <c r="C244" s="130" t="s">
        <v>159</v>
      </c>
      <c r="D244" s="130" t="s">
        <v>159</v>
      </c>
      <c r="E244" s="130" t="s">
        <v>693</v>
      </c>
      <c r="F244" s="130" t="s">
        <v>694</v>
      </c>
      <c r="G244" s="130" t="s">
        <v>137</v>
      </c>
      <c r="I244" s="130" t="s">
        <v>416</v>
      </c>
      <c r="J244" s="130" t="s">
        <v>159</v>
      </c>
      <c r="K244" s="130" t="s">
        <v>693</v>
      </c>
      <c r="L244" s="130" t="s">
        <v>554</v>
      </c>
      <c r="M244" s="128">
        <v>6</v>
      </c>
      <c r="N244" s="128">
        <f t="shared" si="3"/>
        <v>-3</v>
      </c>
      <c r="O244" s="130" t="s">
        <v>159</v>
      </c>
      <c r="P244" s="130" t="s">
        <v>159</v>
      </c>
      <c r="Q244" s="130" t="s">
        <v>160</v>
      </c>
      <c r="R244" s="128">
        <v>0</v>
      </c>
      <c r="S244" s="130" t="s">
        <v>695</v>
      </c>
    </row>
    <row r="245" spans="1:19" x14ac:dyDescent="0.25">
      <c r="A245" s="130" t="s">
        <v>724</v>
      </c>
      <c r="B245" s="130" t="s">
        <v>725</v>
      </c>
      <c r="C245" s="130" t="s">
        <v>159</v>
      </c>
      <c r="D245" s="130" t="s">
        <v>159</v>
      </c>
      <c r="E245" s="130" t="s">
        <v>693</v>
      </c>
      <c r="F245" s="130" t="s">
        <v>694</v>
      </c>
      <c r="G245" s="130" t="s">
        <v>137</v>
      </c>
      <c r="I245" s="130" t="s">
        <v>416</v>
      </c>
      <c r="J245" s="130" t="s">
        <v>159</v>
      </c>
      <c r="K245" s="130" t="s">
        <v>693</v>
      </c>
      <c r="L245" s="130" t="s">
        <v>554</v>
      </c>
      <c r="M245" s="128">
        <v>6</v>
      </c>
      <c r="N245" s="128">
        <f t="shared" si="3"/>
        <v>-3</v>
      </c>
      <c r="O245" s="130" t="s">
        <v>159</v>
      </c>
      <c r="P245" s="130" t="s">
        <v>159</v>
      </c>
      <c r="Q245" s="130" t="s">
        <v>160</v>
      </c>
      <c r="R245" s="128">
        <v>0</v>
      </c>
      <c r="S245" s="130" t="s">
        <v>695</v>
      </c>
    </row>
    <row r="246" spans="1:19" x14ac:dyDescent="0.25">
      <c r="A246" s="130" t="s">
        <v>726</v>
      </c>
      <c r="B246" s="130" t="s">
        <v>727</v>
      </c>
      <c r="C246" s="130" t="s">
        <v>134</v>
      </c>
      <c r="D246" s="130" t="s">
        <v>134</v>
      </c>
      <c r="E246" s="130" t="s">
        <v>728</v>
      </c>
      <c r="F246" s="130" t="s">
        <v>729</v>
      </c>
      <c r="G246" s="130" t="s">
        <v>137</v>
      </c>
      <c r="I246" s="130" t="s">
        <v>416</v>
      </c>
      <c r="J246" s="130" t="s">
        <v>159</v>
      </c>
      <c r="K246" s="130" t="s">
        <v>728</v>
      </c>
      <c r="L246" s="130" t="s">
        <v>139</v>
      </c>
      <c r="M246" s="128">
        <v>6</v>
      </c>
      <c r="N246" s="128">
        <f t="shared" si="3"/>
        <v>-4</v>
      </c>
      <c r="O246" s="130" t="s">
        <v>134</v>
      </c>
      <c r="P246" s="130" t="s">
        <v>134</v>
      </c>
      <c r="Q246" s="130" t="s">
        <v>139</v>
      </c>
      <c r="R246" s="128">
        <v>6</v>
      </c>
      <c r="S246" s="130" t="s">
        <v>695</v>
      </c>
    </row>
    <row r="247" spans="1:19" x14ac:dyDescent="0.25">
      <c r="A247" s="130" t="s">
        <v>730</v>
      </c>
      <c r="B247" s="130" t="s">
        <v>731</v>
      </c>
      <c r="C247" s="130" t="s">
        <v>134</v>
      </c>
      <c r="D247" s="130" t="s">
        <v>134</v>
      </c>
      <c r="E247" s="130" t="s">
        <v>728</v>
      </c>
      <c r="F247" s="130" t="s">
        <v>729</v>
      </c>
      <c r="G247" s="130" t="s">
        <v>137</v>
      </c>
      <c r="I247" s="130" t="s">
        <v>416</v>
      </c>
      <c r="J247" s="130" t="s">
        <v>159</v>
      </c>
      <c r="K247" s="130" t="s">
        <v>728</v>
      </c>
      <c r="L247" s="130" t="s">
        <v>139</v>
      </c>
      <c r="M247" s="128">
        <v>6</v>
      </c>
      <c r="N247" s="128">
        <f t="shared" si="3"/>
        <v>-4</v>
      </c>
      <c r="O247" s="130" t="s">
        <v>134</v>
      </c>
      <c r="P247" s="130" t="s">
        <v>134</v>
      </c>
      <c r="Q247" s="130" t="s">
        <v>139</v>
      </c>
      <c r="R247" s="128">
        <v>6</v>
      </c>
      <c r="S247" s="130" t="s">
        <v>695</v>
      </c>
    </row>
    <row r="248" spans="1:19" x14ac:dyDescent="0.25">
      <c r="A248" s="130" t="s">
        <v>732</v>
      </c>
      <c r="B248" s="130" t="s">
        <v>733</v>
      </c>
      <c r="C248" s="130" t="s">
        <v>134</v>
      </c>
      <c r="D248" s="130" t="s">
        <v>134</v>
      </c>
      <c r="E248" s="130" t="s">
        <v>728</v>
      </c>
      <c r="F248" s="130" t="s">
        <v>729</v>
      </c>
      <c r="G248" s="130" t="s">
        <v>137</v>
      </c>
      <c r="I248" s="130" t="s">
        <v>416</v>
      </c>
      <c r="J248" s="130" t="s">
        <v>159</v>
      </c>
      <c r="K248" s="130" t="s">
        <v>728</v>
      </c>
      <c r="L248" s="130" t="s">
        <v>139</v>
      </c>
      <c r="M248" s="128">
        <v>6</v>
      </c>
      <c r="N248" s="128">
        <f t="shared" si="3"/>
        <v>-4</v>
      </c>
      <c r="O248" s="130" t="s">
        <v>134</v>
      </c>
      <c r="P248" s="130" t="s">
        <v>134</v>
      </c>
      <c r="Q248" s="130" t="s">
        <v>139</v>
      </c>
      <c r="R248" s="128">
        <v>6</v>
      </c>
      <c r="S248" s="130" t="s">
        <v>695</v>
      </c>
    </row>
    <row r="249" spans="1:19" x14ac:dyDescent="0.25">
      <c r="A249" s="130" t="s">
        <v>734</v>
      </c>
      <c r="B249" s="130" t="s">
        <v>735</v>
      </c>
      <c r="C249" s="130" t="s">
        <v>134</v>
      </c>
      <c r="D249" s="130" t="s">
        <v>134</v>
      </c>
      <c r="E249" s="130" t="s">
        <v>728</v>
      </c>
      <c r="F249" s="130" t="s">
        <v>729</v>
      </c>
      <c r="G249" s="130" t="s">
        <v>137</v>
      </c>
      <c r="I249" s="130" t="s">
        <v>416</v>
      </c>
      <c r="J249" s="130" t="s">
        <v>159</v>
      </c>
      <c r="K249" s="130" t="s">
        <v>728</v>
      </c>
      <c r="L249" s="130" t="s">
        <v>139</v>
      </c>
      <c r="M249" s="128">
        <v>6</v>
      </c>
      <c r="N249" s="128">
        <f t="shared" si="3"/>
        <v>-4</v>
      </c>
      <c r="O249" s="130" t="s">
        <v>134</v>
      </c>
      <c r="P249" s="130" t="s">
        <v>134</v>
      </c>
      <c r="Q249" s="130" t="s">
        <v>139</v>
      </c>
      <c r="R249" s="128">
        <v>6</v>
      </c>
      <c r="S249" s="130" t="s">
        <v>695</v>
      </c>
    </row>
    <row r="250" spans="1:19" x14ac:dyDescent="0.25">
      <c r="A250" s="130" t="s">
        <v>736</v>
      </c>
      <c r="B250" s="130" t="s">
        <v>737</v>
      </c>
      <c r="C250" s="130" t="s">
        <v>134</v>
      </c>
      <c r="D250" s="130" t="s">
        <v>134</v>
      </c>
      <c r="E250" s="130" t="s">
        <v>728</v>
      </c>
      <c r="F250" s="130" t="s">
        <v>729</v>
      </c>
      <c r="G250" s="130" t="s">
        <v>137</v>
      </c>
      <c r="I250" s="130" t="s">
        <v>416</v>
      </c>
      <c r="J250" s="130" t="s">
        <v>159</v>
      </c>
      <c r="K250" s="130" t="s">
        <v>728</v>
      </c>
      <c r="L250" s="130" t="s">
        <v>139</v>
      </c>
      <c r="M250" s="128">
        <v>6</v>
      </c>
      <c r="N250" s="128">
        <f t="shared" si="3"/>
        <v>-4</v>
      </c>
      <c r="O250" s="130" t="s">
        <v>134</v>
      </c>
      <c r="P250" s="130" t="s">
        <v>134</v>
      </c>
      <c r="Q250" s="130" t="s">
        <v>139</v>
      </c>
      <c r="R250" s="128">
        <v>6</v>
      </c>
      <c r="S250" s="130" t="s">
        <v>695</v>
      </c>
    </row>
    <row r="251" spans="1:19" x14ac:dyDescent="0.25">
      <c r="A251" s="130" t="s">
        <v>738</v>
      </c>
      <c r="B251" s="130" t="s">
        <v>739</v>
      </c>
      <c r="C251" s="130" t="s">
        <v>134</v>
      </c>
      <c r="D251" s="130" t="s">
        <v>134</v>
      </c>
      <c r="E251" s="130" t="s">
        <v>728</v>
      </c>
      <c r="F251" s="130" t="s">
        <v>729</v>
      </c>
      <c r="G251" s="130" t="s">
        <v>137</v>
      </c>
      <c r="I251" s="130" t="s">
        <v>416</v>
      </c>
      <c r="J251" s="130" t="s">
        <v>159</v>
      </c>
      <c r="K251" s="130" t="s">
        <v>728</v>
      </c>
      <c r="L251" s="130" t="s">
        <v>139</v>
      </c>
      <c r="M251" s="128">
        <v>6</v>
      </c>
      <c r="N251" s="128">
        <f t="shared" si="3"/>
        <v>-4</v>
      </c>
      <c r="O251" s="130" t="s">
        <v>134</v>
      </c>
      <c r="P251" s="130" t="s">
        <v>134</v>
      </c>
      <c r="Q251" s="130" t="s">
        <v>139</v>
      </c>
      <c r="R251" s="128">
        <v>6</v>
      </c>
      <c r="S251" s="130" t="s">
        <v>695</v>
      </c>
    </row>
    <row r="252" spans="1:19" x14ac:dyDescent="0.25">
      <c r="A252" s="130" t="s">
        <v>740</v>
      </c>
      <c r="B252" s="130" t="s">
        <v>741</v>
      </c>
      <c r="C252" s="130" t="s">
        <v>134</v>
      </c>
      <c r="D252" s="130" t="s">
        <v>134</v>
      </c>
      <c r="E252" s="130" t="s">
        <v>728</v>
      </c>
      <c r="F252" s="130" t="s">
        <v>729</v>
      </c>
      <c r="G252" s="130" t="s">
        <v>137</v>
      </c>
      <c r="I252" s="130" t="s">
        <v>416</v>
      </c>
      <c r="J252" s="130" t="s">
        <v>159</v>
      </c>
      <c r="K252" s="130" t="s">
        <v>728</v>
      </c>
      <c r="L252" s="130" t="s">
        <v>139</v>
      </c>
      <c r="M252" s="128">
        <v>6</v>
      </c>
      <c r="N252" s="128">
        <f t="shared" si="3"/>
        <v>-4</v>
      </c>
      <c r="O252" s="130" t="s">
        <v>134</v>
      </c>
      <c r="P252" s="130" t="s">
        <v>134</v>
      </c>
      <c r="Q252" s="130" t="s">
        <v>139</v>
      </c>
      <c r="R252" s="128">
        <v>6</v>
      </c>
      <c r="S252" s="130" t="s">
        <v>695</v>
      </c>
    </row>
    <row r="253" spans="1:19" x14ac:dyDescent="0.25">
      <c r="A253" s="130" t="s">
        <v>742</v>
      </c>
      <c r="B253" s="130" t="s">
        <v>743</v>
      </c>
      <c r="C253" s="130" t="s">
        <v>134</v>
      </c>
      <c r="D253" s="130" t="s">
        <v>134</v>
      </c>
      <c r="E253" s="130" t="s">
        <v>728</v>
      </c>
      <c r="F253" s="130" t="s">
        <v>729</v>
      </c>
      <c r="G253" s="130" t="s">
        <v>137</v>
      </c>
      <c r="I253" s="130" t="s">
        <v>416</v>
      </c>
      <c r="J253" s="130" t="s">
        <v>159</v>
      </c>
      <c r="K253" s="130" t="s">
        <v>728</v>
      </c>
      <c r="L253" s="130" t="s">
        <v>139</v>
      </c>
      <c r="M253" s="128">
        <v>6</v>
      </c>
      <c r="N253" s="128">
        <f t="shared" si="3"/>
        <v>-4</v>
      </c>
      <c r="O253" s="130" t="s">
        <v>134</v>
      </c>
      <c r="P253" s="130" t="s">
        <v>134</v>
      </c>
      <c r="Q253" s="130" t="s">
        <v>139</v>
      </c>
      <c r="R253" s="128">
        <v>6</v>
      </c>
      <c r="S253" s="130" t="s">
        <v>695</v>
      </c>
    </row>
    <row r="254" spans="1:19" x14ac:dyDescent="0.25">
      <c r="A254" s="130" t="s">
        <v>744</v>
      </c>
      <c r="B254" s="130" t="s">
        <v>745</v>
      </c>
      <c r="C254" s="130" t="s">
        <v>134</v>
      </c>
      <c r="D254" s="130" t="s">
        <v>134</v>
      </c>
      <c r="E254" s="130" t="s">
        <v>728</v>
      </c>
      <c r="F254" s="130" t="s">
        <v>729</v>
      </c>
      <c r="G254" s="130" t="s">
        <v>137</v>
      </c>
      <c r="I254" s="130" t="s">
        <v>416</v>
      </c>
      <c r="J254" s="130" t="s">
        <v>159</v>
      </c>
      <c r="K254" s="130" t="s">
        <v>728</v>
      </c>
      <c r="L254" s="130" t="s">
        <v>139</v>
      </c>
      <c r="M254" s="128">
        <v>6</v>
      </c>
      <c r="N254" s="128">
        <f t="shared" si="3"/>
        <v>-4</v>
      </c>
      <c r="O254" s="130" t="s">
        <v>134</v>
      </c>
      <c r="P254" s="130" t="s">
        <v>134</v>
      </c>
      <c r="Q254" s="130" t="s">
        <v>139</v>
      </c>
      <c r="R254" s="128">
        <v>6</v>
      </c>
      <c r="S254" s="130" t="s">
        <v>695</v>
      </c>
    </row>
    <row r="255" spans="1:19" x14ac:dyDescent="0.25">
      <c r="A255" s="130" t="s">
        <v>746</v>
      </c>
      <c r="B255" s="130" t="s">
        <v>747</v>
      </c>
      <c r="C255" s="130" t="s">
        <v>134</v>
      </c>
      <c r="D255" s="130" t="s">
        <v>134</v>
      </c>
      <c r="E255" s="130" t="s">
        <v>728</v>
      </c>
      <c r="F255" s="130" t="s">
        <v>729</v>
      </c>
      <c r="G255" s="130" t="s">
        <v>137</v>
      </c>
      <c r="I255" s="130" t="s">
        <v>416</v>
      </c>
      <c r="J255" s="130" t="s">
        <v>159</v>
      </c>
      <c r="K255" s="130" t="s">
        <v>728</v>
      </c>
      <c r="L255" s="130" t="s">
        <v>139</v>
      </c>
      <c r="M255" s="128">
        <v>6</v>
      </c>
      <c r="N255" s="128">
        <f t="shared" si="3"/>
        <v>-4</v>
      </c>
      <c r="O255" s="130" t="s">
        <v>134</v>
      </c>
      <c r="P255" s="130" t="s">
        <v>134</v>
      </c>
      <c r="Q255" s="130" t="s">
        <v>139</v>
      </c>
      <c r="R255" s="128">
        <v>6</v>
      </c>
      <c r="S255" s="130" t="s">
        <v>695</v>
      </c>
    </row>
    <row r="256" spans="1:19" x14ac:dyDescent="0.25">
      <c r="A256" s="130" t="s">
        <v>748</v>
      </c>
      <c r="B256" s="130" t="s">
        <v>749</v>
      </c>
      <c r="C256" s="130" t="s">
        <v>134</v>
      </c>
      <c r="D256" s="127" t="s">
        <v>159</v>
      </c>
      <c r="E256" s="130" t="s">
        <v>750</v>
      </c>
      <c r="F256" s="130" t="s">
        <v>751</v>
      </c>
      <c r="G256" s="130" t="s">
        <v>137</v>
      </c>
      <c r="I256" s="130" t="s">
        <v>416</v>
      </c>
      <c r="J256" s="130" t="s">
        <v>159</v>
      </c>
      <c r="K256" s="130" t="s">
        <v>750</v>
      </c>
      <c r="L256" s="130" t="s">
        <v>139</v>
      </c>
      <c r="M256" s="128">
        <v>8</v>
      </c>
      <c r="N256" s="128">
        <f t="shared" si="3"/>
        <v>-2</v>
      </c>
      <c r="O256" s="130" t="s">
        <v>159</v>
      </c>
      <c r="P256" s="127" t="s">
        <v>159</v>
      </c>
      <c r="Q256" s="130" t="s">
        <v>160</v>
      </c>
      <c r="R256" s="128">
        <v>0</v>
      </c>
      <c r="S256" s="130" t="s">
        <v>752</v>
      </c>
    </row>
    <row r="257" spans="1:19" x14ac:dyDescent="0.25">
      <c r="A257" s="130" t="s">
        <v>753</v>
      </c>
      <c r="B257" s="130" t="s">
        <v>754</v>
      </c>
      <c r="C257" s="130" t="s">
        <v>134</v>
      </c>
      <c r="D257" s="127" t="s">
        <v>159</v>
      </c>
      <c r="E257" s="130" t="s">
        <v>750</v>
      </c>
      <c r="F257" s="130" t="s">
        <v>751</v>
      </c>
      <c r="G257" s="130" t="s">
        <v>137</v>
      </c>
      <c r="I257" s="130" t="s">
        <v>416</v>
      </c>
      <c r="J257" s="130" t="s">
        <v>159</v>
      </c>
      <c r="K257" s="130" t="s">
        <v>750</v>
      </c>
      <c r="L257" s="130" t="s">
        <v>139</v>
      </c>
      <c r="M257" s="128">
        <v>8</v>
      </c>
      <c r="N257" s="128">
        <f t="shared" si="3"/>
        <v>-2</v>
      </c>
      <c r="O257" s="130" t="s">
        <v>159</v>
      </c>
      <c r="P257" s="127" t="s">
        <v>159</v>
      </c>
      <c r="Q257" s="130" t="s">
        <v>160</v>
      </c>
      <c r="R257" s="128">
        <v>0</v>
      </c>
      <c r="S257" s="130" t="s">
        <v>752</v>
      </c>
    </row>
    <row r="258" spans="1:19" x14ac:dyDescent="0.25">
      <c r="A258" s="130" t="s">
        <v>755</v>
      </c>
      <c r="B258" s="130" t="s">
        <v>756</v>
      </c>
      <c r="C258" s="130" t="s">
        <v>134</v>
      </c>
      <c r="D258" s="130" t="s">
        <v>134</v>
      </c>
      <c r="E258" s="130" t="s">
        <v>757</v>
      </c>
      <c r="F258" s="130" t="s">
        <v>758</v>
      </c>
      <c r="G258" s="130" t="s">
        <v>137</v>
      </c>
      <c r="I258" s="130" t="s">
        <v>416</v>
      </c>
      <c r="J258" s="130" t="s">
        <v>159</v>
      </c>
      <c r="K258" s="130" t="s">
        <v>757</v>
      </c>
      <c r="L258" s="130" t="s">
        <v>139</v>
      </c>
      <c r="M258" s="128">
        <v>8</v>
      </c>
      <c r="N258" s="128">
        <f t="shared" si="3"/>
        <v>-2</v>
      </c>
      <c r="O258" s="130" t="s">
        <v>159</v>
      </c>
      <c r="P258" s="130" t="s">
        <v>159</v>
      </c>
      <c r="Q258" s="130" t="s">
        <v>160</v>
      </c>
      <c r="R258" s="128">
        <v>0</v>
      </c>
      <c r="S258" s="130" t="s">
        <v>752</v>
      </c>
    </row>
    <row r="259" spans="1:19" x14ac:dyDescent="0.25">
      <c r="A259" s="130" t="s">
        <v>759</v>
      </c>
      <c r="B259" s="130" t="s">
        <v>760</v>
      </c>
      <c r="C259" s="130" t="s">
        <v>134</v>
      </c>
      <c r="D259" s="130" t="s">
        <v>134</v>
      </c>
      <c r="E259" s="130" t="s">
        <v>757</v>
      </c>
      <c r="F259" s="130" t="s">
        <v>758</v>
      </c>
      <c r="G259" s="130" t="s">
        <v>137</v>
      </c>
      <c r="I259" s="130" t="s">
        <v>416</v>
      </c>
      <c r="J259" s="130" t="s">
        <v>159</v>
      </c>
      <c r="K259" s="130" t="s">
        <v>757</v>
      </c>
      <c r="L259" s="130" t="s">
        <v>139</v>
      </c>
      <c r="M259" s="128">
        <v>8</v>
      </c>
      <c r="N259" s="128">
        <f t="shared" ref="N259:N322" si="4">M259-L259</f>
        <v>-2</v>
      </c>
      <c r="O259" s="130" t="s">
        <v>159</v>
      </c>
      <c r="P259" s="130" t="s">
        <v>159</v>
      </c>
      <c r="Q259" s="130" t="s">
        <v>160</v>
      </c>
      <c r="R259" s="128">
        <v>0</v>
      </c>
      <c r="S259" s="130" t="s">
        <v>752</v>
      </c>
    </row>
    <row r="260" spans="1:19" x14ac:dyDescent="0.25">
      <c r="A260" s="130" t="s">
        <v>761</v>
      </c>
      <c r="B260" s="130" t="s">
        <v>762</v>
      </c>
      <c r="C260" s="130" t="s">
        <v>134</v>
      </c>
      <c r="D260" s="130" t="s">
        <v>134</v>
      </c>
      <c r="E260" s="130" t="s">
        <v>763</v>
      </c>
      <c r="F260" s="130" t="s">
        <v>764</v>
      </c>
      <c r="G260" s="130" t="s">
        <v>137</v>
      </c>
      <c r="I260" s="130" t="s">
        <v>416</v>
      </c>
      <c r="J260" s="130" t="s">
        <v>159</v>
      </c>
      <c r="K260" s="130" t="s">
        <v>761</v>
      </c>
      <c r="L260" s="130" t="s">
        <v>543</v>
      </c>
      <c r="M260" s="128">
        <v>7</v>
      </c>
      <c r="N260" s="128">
        <f t="shared" si="4"/>
        <v>-1</v>
      </c>
      <c r="O260" s="130" t="s">
        <v>159</v>
      </c>
      <c r="P260" s="130" t="s">
        <v>159</v>
      </c>
      <c r="Q260" s="130" t="s">
        <v>160</v>
      </c>
      <c r="R260" s="128">
        <v>0</v>
      </c>
      <c r="S260" s="130" t="s">
        <v>448</v>
      </c>
    </row>
    <row r="261" spans="1:19" x14ac:dyDescent="0.25">
      <c r="A261" s="130" t="s">
        <v>765</v>
      </c>
      <c r="B261" s="130" t="s">
        <v>766</v>
      </c>
      <c r="C261" s="130" t="s">
        <v>134</v>
      </c>
      <c r="D261" s="130" t="s">
        <v>134</v>
      </c>
      <c r="E261" s="130" t="s">
        <v>767</v>
      </c>
      <c r="F261" s="130" t="s">
        <v>768</v>
      </c>
      <c r="G261" s="130" t="s">
        <v>137</v>
      </c>
      <c r="I261" s="130" t="s">
        <v>416</v>
      </c>
      <c r="J261" s="130" t="s">
        <v>159</v>
      </c>
      <c r="K261" s="130" t="s">
        <v>761</v>
      </c>
      <c r="L261" s="130" t="s">
        <v>543</v>
      </c>
      <c r="M261" s="128">
        <v>7</v>
      </c>
      <c r="N261" s="128">
        <f t="shared" si="4"/>
        <v>-1</v>
      </c>
      <c r="O261" s="130" t="s">
        <v>159</v>
      </c>
      <c r="P261" s="130" t="s">
        <v>159</v>
      </c>
      <c r="Q261" s="130" t="s">
        <v>160</v>
      </c>
      <c r="R261" s="128">
        <v>0</v>
      </c>
      <c r="S261" s="130" t="s">
        <v>448</v>
      </c>
    </row>
    <row r="262" spans="1:19" x14ac:dyDescent="0.25">
      <c r="A262" s="130" t="s">
        <v>769</v>
      </c>
      <c r="B262" s="130" t="s">
        <v>770</v>
      </c>
      <c r="C262" s="130" t="s">
        <v>134</v>
      </c>
      <c r="D262" s="130" t="s">
        <v>134</v>
      </c>
      <c r="E262" s="130" t="s">
        <v>767</v>
      </c>
      <c r="F262" s="130" t="s">
        <v>768</v>
      </c>
      <c r="G262" s="130" t="s">
        <v>137</v>
      </c>
      <c r="I262" s="130" t="s">
        <v>416</v>
      </c>
      <c r="J262" s="130" t="s">
        <v>159</v>
      </c>
      <c r="K262" s="130" t="s">
        <v>761</v>
      </c>
      <c r="L262" s="130" t="s">
        <v>543</v>
      </c>
      <c r="M262" s="128">
        <v>7</v>
      </c>
      <c r="N262" s="128">
        <f t="shared" si="4"/>
        <v>-1</v>
      </c>
      <c r="O262" s="130" t="s">
        <v>159</v>
      </c>
      <c r="P262" s="130" t="s">
        <v>159</v>
      </c>
      <c r="Q262" s="130" t="s">
        <v>160</v>
      </c>
      <c r="R262" s="128">
        <v>0</v>
      </c>
      <c r="S262" s="130" t="s">
        <v>448</v>
      </c>
    </row>
    <row r="263" spans="1:19" x14ac:dyDescent="0.25">
      <c r="A263" s="130" t="s">
        <v>771</v>
      </c>
      <c r="B263" s="130" t="s">
        <v>772</v>
      </c>
      <c r="C263" s="130" t="s">
        <v>134</v>
      </c>
      <c r="D263" s="130" t="s">
        <v>134</v>
      </c>
      <c r="E263" s="130" t="s">
        <v>767</v>
      </c>
      <c r="F263" s="130" t="s">
        <v>768</v>
      </c>
      <c r="G263" s="130" t="s">
        <v>137</v>
      </c>
      <c r="I263" s="130" t="s">
        <v>416</v>
      </c>
      <c r="J263" s="130" t="s">
        <v>159</v>
      </c>
      <c r="K263" s="130" t="s">
        <v>761</v>
      </c>
      <c r="L263" s="130" t="s">
        <v>543</v>
      </c>
      <c r="M263" s="128">
        <v>7</v>
      </c>
      <c r="N263" s="128">
        <f t="shared" si="4"/>
        <v>-1</v>
      </c>
      <c r="O263" s="130" t="s">
        <v>159</v>
      </c>
      <c r="P263" s="130" t="s">
        <v>159</v>
      </c>
      <c r="Q263" s="130" t="s">
        <v>160</v>
      </c>
      <c r="R263" s="128">
        <v>0</v>
      </c>
      <c r="S263" s="130" t="s">
        <v>448</v>
      </c>
    </row>
    <row r="264" spans="1:19" x14ac:dyDescent="0.25">
      <c r="A264" s="130" t="s">
        <v>773</v>
      </c>
      <c r="B264" s="130" t="s">
        <v>774</v>
      </c>
      <c r="C264" s="130" t="s">
        <v>134</v>
      </c>
      <c r="D264" s="130" t="s">
        <v>134</v>
      </c>
      <c r="E264" s="130" t="s">
        <v>767</v>
      </c>
      <c r="F264" s="130" t="s">
        <v>768</v>
      </c>
      <c r="G264" s="130" t="s">
        <v>137</v>
      </c>
      <c r="I264" s="130" t="s">
        <v>416</v>
      </c>
      <c r="J264" s="130" t="s">
        <v>159</v>
      </c>
      <c r="K264" s="130" t="s">
        <v>761</v>
      </c>
      <c r="L264" s="130" t="s">
        <v>543</v>
      </c>
      <c r="M264" s="128">
        <v>7</v>
      </c>
      <c r="N264" s="128">
        <f t="shared" si="4"/>
        <v>-1</v>
      </c>
      <c r="O264" s="130" t="s">
        <v>159</v>
      </c>
      <c r="P264" s="130" t="s">
        <v>159</v>
      </c>
      <c r="Q264" s="130" t="s">
        <v>160</v>
      </c>
      <c r="R264" s="128">
        <v>0</v>
      </c>
      <c r="S264" s="130" t="s">
        <v>448</v>
      </c>
    </row>
    <row r="265" spans="1:19" x14ac:dyDescent="0.25">
      <c r="A265" s="130" t="s">
        <v>775</v>
      </c>
      <c r="B265" s="130" t="s">
        <v>776</v>
      </c>
      <c r="C265" s="130" t="s">
        <v>134</v>
      </c>
      <c r="D265" s="130" t="s">
        <v>134</v>
      </c>
      <c r="E265" s="130" t="s">
        <v>767</v>
      </c>
      <c r="F265" s="130" t="s">
        <v>768</v>
      </c>
      <c r="G265" s="130" t="s">
        <v>137</v>
      </c>
      <c r="I265" s="130" t="s">
        <v>416</v>
      </c>
      <c r="J265" s="130" t="s">
        <v>159</v>
      </c>
      <c r="K265" s="130" t="s">
        <v>761</v>
      </c>
      <c r="L265" s="130" t="s">
        <v>543</v>
      </c>
      <c r="M265" s="128">
        <v>7</v>
      </c>
      <c r="N265" s="128">
        <f t="shared" si="4"/>
        <v>-1</v>
      </c>
      <c r="O265" s="130" t="s">
        <v>159</v>
      </c>
      <c r="P265" s="130" t="s">
        <v>159</v>
      </c>
      <c r="Q265" s="130" t="s">
        <v>160</v>
      </c>
      <c r="R265" s="128">
        <v>0</v>
      </c>
      <c r="S265" s="130" t="s">
        <v>448</v>
      </c>
    </row>
    <row r="266" spans="1:19" x14ac:dyDescent="0.25">
      <c r="A266" s="130" t="s">
        <v>777</v>
      </c>
      <c r="B266" s="130" t="s">
        <v>778</v>
      </c>
      <c r="C266" s="130" t="s">
        <v>134</v>
      </c>
      <c r="D266" s="130" t="s">
        <v>134</v>
      </c>
      <c r="E266" s="130" t="s">
        <v>779</v>
      </c>
      <c r="F266" s="130" t="s">
        <v>780</v>
      </c>
      <c r="G266" s="130" t="s">
        <v>137</v>
      </c>
      <c r="I266" s="130" t="s">
        <v>416</v>
      </c>
      <c r="J266" s="130" t="s">
        <v>159</v>
      </c>
      <c r="K266" s="130" t="s">
        <v>779</v>
      </c>
      <c r="L266" s="130" t="s">
        <v>543</v>
      </c>
      <c r="M266" s="128">
        <v>7</v>
      </c>
      <c r="N266" s="128">
        <f t="shared" si="4"/>
        <v>-1</v>
      </c>
      <c r="O266" s="130" t="s">
        <v>134</v>
      </c>
      <c r="P266" s="130" t="s">
        <v>134</v>
      </c>
      <c r="Q266" s="130" t="s">
        <v>543</v>
      </c>
      <c r="R266" s="128">
        <v>7</v>
      </c>
      <c r="S266" s="130" t="s">
        <v>448</v>
      </c>
    </row>
    <row r="267" spans="1:19" x14ac:dyDescent="0.25">
      <c r="A267" s="130" t="s">
        <v>781</v>
      </c>
      <c r="B267" s="130" t="s">
        <v>782</v>
      </c>
      <c r="C267" s="130" t="s">
        <v>134</v>
      </c>
      <c r="D267" s="130" t="s">
        <v>134</v>
      </c>
      <c r="E267" s="130" t="s">
        <v>779</v>
      </c>
      <c r="F267" s="130" t="s">
        <v>780</v>
      </c>
      <c r="G267" s="130" t="s">
        <v>137</v>
      </c>
      <c r="I267" s="130" t="s">
        <v>416</v>
      </c>
      <c r="J267" s="130" t="s">
        <v>159</v>
      </c>
      <c r="K267" s="130" t="s">
        <v>779</v>
      </c>
      <c r="L267" s="130" t="s">
        <v>543</v>
      </c>
      <c r="M267" s="128">
        <v>7</v>
      </c>
      <c r="N267" s="128">
        <f t="shared" si="4"/>
        <v>-1</v>
      </c>
      <c r="O267" s="130" t="s">
        <v>134</v>
      </c>
      <c r="P267" s="130" t="s">
        <v>134</v>
      </c>
      <c r="Q267" s="130" t="s">
        <v>543</v>
      </c>
      <c r="R267" s="128">
        <v>7</v>
      </c>
      <c r="S267" s="130" t="s">
        <v>448</v>
      </c>
    </row>
    <row r="268" spans="1:19" x14ac:dyDescent="0.25">
      <c r="A268" s="130" t="s">
        <v>783</v>
      </c>
      <c r="B268" s="130" t="s">
        <v>784</v>
      </c>
      <c r="C268" s="130" t="s">
        <v>134</v>
      </c>
      <c r="D268" s="130" t="s">
        <v>134</v>
      </c>
      <c r="E268" s="130" t="s">
        <v>785</v>
      </c>
      <c r="F268" s="130" t="s">
        <v>780</v>
      </c>
      <c r="G268" s="130" t="s">
        <v>137</v>
      </c>
      <c r="I268" s="130" t="s">
        <v>416</v>
      </c>
      <c r="J268" s="130" t="s">
        <v>159</v>
      </c>
      <c r="K268" s="130" t="s">
        <v>779</v>
      </c>
      <c r="L268" s="130" t="s">
        <v>543</v>
      </c>
      <c r="M268" s="128">
        <v>7</v>
      </c>
      <c r="N268" s="128">
        <f t="shared" si="4"/>
        <v>-1</v>
      </c>
      <c r="O268" s="130" t="s">
        <v>159</v>
      </c>
      <c r="P268" s="130" t="s">
        <v>159</v>
      </c>
      <c r="Q268" s="130" t="s">
        <v>160</v>
      </c>
      <c r="R268" s="128">
        <v>0</v>
      </c>
      <c r="S268" s="130" t="s">
        <v>448</v>
      </c>
    </row>
    <row r="269" spans="1:19" x14ac:dyDescent="0.25">
      <c r="A269" s="130" t="s">
        <v>786</v>
      </c>
      <c r="B269" s="130" t="s">
        <v>787</v>
      </c>
      <c r="C269" s="130" t="s">
        <v>134</v>
      </c>
      <c r="D269" s="130" t="s">
        <v>134</v>
      </c>
      <c r="E269" s="130" t="s">
        <v>785</v>
      </c>
      <c r="F269" s="130" t="s">
        <v>780</v>
      </c>
      <c r="G269" s="130" t="s">
        <v>137</v>
      </c>
      <c r="I269" s="130" t="s">
        <v>416</v>
      </c>
      <c r="J269" s="130" t="s">
        <v>159</v>
      </c>
      <c r="K269" s="130" t="s">
        <v>779</v>
      </c>
      <c r="L269" s="130" t="s">
        <v>543</v>
      </c>
      <c r="M269" s="128">
        <v>7</v>
      </c>
      <c r="N269" s="128">
        <f t="shared" si="4"/>
        <v>-1</v>
      </c>
      <c r="O269" s="130" t="s">
        <v>159</v>
      </c>
      <c r="P269" s="130" t="s">
        <v>159</v>
      </c>
      <c r="Q269" s="130" t="s">
        <v>160</v>
      </c>
      <c r="R269" s="128">
        <v>0</v>
      </c>
      <c r="S269" s="130" t="s">
        <v>448</v>
      </c>
    </row>
    <row r="270" spans="1:19" x14ac:dyDescent="0.25">
      <c r="A270" s="130" t="s">
        <v>788</v>
      </c>
      <c r="B270" s="130" t="s">
        <v>789</v>
      </c>
      <c r="C270" s="130" t="s">
        <v>134</v>
      </c>
      <c r="D270" s="130" t="s">
        <v>134</v>
      </c>
      <c r="E270" s="130" t="s">
        <v>790</v>
      </c>
      <c r="F270" s="130" t="s">
        <v>791</v>
      </c>
      <c r="G270" s="130" t="s">
        <v>137</v>
      </c>
      <c r="I270" s="130" t="s">
        <v>416</v>
      </c>
      <c r="J270" s="130" t="s">
        <v>159</v>
      </c>
      <c r="K270" s="130" t="s">
        <v>779</v>
      </c>
      <c r="L270" s="130" t="s">
        <v>543</v>
      </c>
      <c r="M270" s="128">
        <v>7</v>
      </c>
      <c r="N270" s="128">
        <f t="shared" si="4"/>
        <v>-1</v>
      </c>
      <c r="O270" s="130" t="s">
        <v>159</v>
      </c>
      <c r="P270" s="130" t="s">
        <v>159</v>
      </c>
      <c r="Q270" s="130" t="s">
        <v>160</v>
      </c>
      <c r="R270" s="128">
        <v>0</v>
      </c>
      <c r="S270" s="130" t="s">
        <v>448</v>
      </c>
    </row>
    <row r="271" spans="1:19" x14ac:dyDescent="0.25">
      <c r="A271" s="130" t="s">
        <v>792</v>
      </c>
      <c r="B271" s="130" t="s">
        <v>793</v>
      </c>
      <c r="C271" s="130" t="s">
        <v>134</v>
      </c>
      <c r="D271" s="130" t="s">
        <v>134</v>
      </c>
      <c r="E271" s="130" t="s">
        <v>790</v>
      </c>
      <c r="F271" s="130" t="s">
        <v>791</v>
      </c>
      <c r="G271" s="130" t="s">
        <v>137</v>
      </c>
      <c r="I271" s="130" t="s">
        <v>416</v>
      </c>
      <c r="J271" s="130" t="s">
        <v>159</v>
      </c>
      <c r="K271" s="130" t="s">
        <v>779</v>
      </c>
      <c r="L271" s="130" t="s">
        <v>543</v>
      </c>
      <c r="M271" s="128">
        <v>7</v>
      </c>
      <c r="N271" s="128">
        <f t="shared" si="4"/>
        <v>-1</v>
      </c>
      <c r="O271" s="130" t="s">
        <v>159</v>
      </c>
      <c r="P271" s="130" t="s">
        <v>159</v>
      </c>
      <c r="Q271" s="130" t="s">
        <v>160</v>
      </c>
      <c r="R271" s="128">
        <v>0</v>
      </c>
      <c r="S271" s="130" t="s">
        <v>448</v>
      </c>
    </row>
    <row r="272" spans="1:19" x14ac:dyDescent="0.25">
      <c r="A272" s="130" t="s">
        <v>794</v>
      </c>
      <c r="B272" s="130" t="s">
        <v>795</v>
      </c>
      <c r="C272" s="130" t="s">
        <v>134</v>
      </c>
      <c r="D272" s="130" t="s">
        <v>134</v>
      </c>
      <c r="E272" s="130" t="s">
        <v>790</v>
      </c>
      <c r="F272" s="130" t="s">
        <v>791</v>
      </c>
      <c r="G272" s="130" t="s">
        <v>137</v>
      </c>
      <c r="I272" s="130" t="s">
        <v>416</v>
      </c>
      <c r="J272" s="130" t="s">
        <v>159</v>
      </c>
      <c r="K272" s="130" t="s">
        <v>779</v>
      </c>
      <c r="L272" s="130" t="s">
        <v>543</v>
      </c>
      <c r="M272" s="128">
        <v>7</v>
      </c>
      <c r="N272" s="128">
        <f t="shared" si="4"/>
        <v>-1</v>
      </c>
      <c r="O272" s="130" t="s">
        <v>159</v>
      </c>
      <c r="P272" s="130" t="s">
        <v>159</v>
      </c>
      <c r="Q272" s="130" t="s">
        <v>160</v>
      </c>
      <c r="R272" s="128">
        <v>0</v>
      </c>
      <c r="S272" s="130" t="s">
        <v>448</v>
      </c>
    </row>
    <row r="273" spans="1:19" x14ac:dyDescent="0.25">
      <c r="A273" s="130" t="s">
        <v>796</v>
      </c>
      <c r="B273" s="130" t="s">
        <v>797</v>
      </c>
      <c r="C273" s="130" t="s">
        <v>134</v>
      </c>
      <c r="D273" s="130" t="s">
        <v>134</v>
      </c>
      <c r="E273" s="130" t="s">
        <v>790</v>
      </c>
      <c r="F273" s="130" t="s">
        <v>791</v>
      </c>
      <c r="G273" s="130" t="s">
        <v>137</v>
      </c>
      <c r="I273" s="130" t="s">
        <v>416</v>
      </c>
      <c r="J273" s="130" t="s">
        <v>159</v>
      </c>
      <c r="K273" s="130" t="s">
        <v>779</v>
      </c>
      <c r="L273" s="130" t="s">
        <v>543</v>
      </c>
      <c r="M273" s="128">
        <v>7</v>
      </c>
      <c r="N273" s="128">
        <f t="shared" si="4"/>
        <v>-1</v>
      </c>
      <c r="O273" s="130" t="s">
        <v>159</v>
      </c>
      <c r="P273" s="130" t="s">
        <v>159</v>
      </c>
      <c r="Q273" s="130" t="s">
        <v>160</v>
      </c>
      <c r="R273" s="128">
        <v>0</v>
      </c>
      <c r="S273" s="130" t="s">
        <v>448</v>
      </c>
    </row>
    <row r="274" spans="1:19" x14ac:dyDescent="0.25">
      <c r="A274" s="130" t="s">
        <v>798</v>
      </c>
      <c r="B274" s="130" t="s">
        <v>799</v>
      </c>
      <c r="C274" s="130" t="s">
        <v>134</v>
      </c>
      <c r="D274" s="130" t="s">
        <v>134</v>
      </c>
      <c r="E274" s="130" t="s">
        <v>790</v>
      </c>
      <c r="F274" s="130" t="s">
        <v>791</v>
      </c>
      <c r="G274" s="130" t="s">
        <v>137</v>
      </c>
      <c r="I274" s="130" t="s">
        <v>416</v>
      </c>
      <c r="J274" s="130" t="s">
        <v>159</v>
      </c>
      <c r="K274" s="130" t="s">
        <v>779</v>
      </c>
      <c r="L274" s="130" t="s">
        <v>543</v>
      </c>
      <c r="M274" s="128">
        <v>7</v>
      </c>
      <c r="N274" s="128">
        <f t="shared" si="4"/>
        <v>-1</v>
      </c>
      <c r="O274" s="130" t="s">
        <v>159</v>
      </c>
      <c r="P274" s="130" t="s">
        <v>159</v>
      </c>
      <c r="Q274" s="130" t="s">
        <v>160</v>
      </c>
      <c r="R274" s="128">
        <v>0</v>
      </c>
      <c r="S274" s="130" t="s">
        <v>448</v>
      </c>
    </row>
    <row r="275" spans="1:19" x14ac:dyDescent="0.25">
      <c r="A275" s="130" t="s">
        <v>800</v>
      </c>
      <c r="B275" s="130" t="s">
        <v>801</v>
      </c>
      <c r="C275" s="130" t="s">
        <v>134</v>
      </c>
      <c r="D275" s="130" t="s">
        <v>134</v>
      </c>
      <c r="E275" s="130" t="s">
        <v>802</v>
      </c>
      <c r="F275" s="130" t="s">
        <v>803</v>
      </c>
      <c r="G275" s="130" t="s">
        <v>137</v>
      </c>
      <c r="I275" s="130" t="s">
        <v>416</v>
      </c>
      <c r="J275" s="130" t="s">
        <v>159</v>
      </c>
      <c r="K275" s="130" t="s">
        <v>779</v>
      </c>
      <c r="L275" s="130" t="s">
        <v>543</v>
      </c>
      <c r="M275" s="128">
        <v>7</v>
      </c>
      <c r="N275" s="128">
        <f t="shared" si="4"/>
        <v>-1</v>
      </c>
      <c r="O275" s="130" t="s">
        <v>134</v>
      </c>
      <c r="P275" s="130" t="s">
        <v>134</v>
      </c>
      <c r="Q275" s="130" t="s">
        <v>543</v>
      </c>
      <c r="R275" s="128">
        <v>7</v>
      </c>
      <c r="S275" s="130" t="s">
        <v>448</v>
      </c>
    </row>
    <row r="276" spans="1:19" x14ac:dyDescent="0.25">
      <c r="A276" s="130" t="s">
        <v>804</v>
      </c>
      <c r="B276" s="130" t="s">
        <v>805</v>
      </c>
      <c r="C276" s="130" t="s">
        <v>134</v>
      </c>
      <c r="D276" s="130" t="s">
        <v>134</v>
      </c>
      <c r="E276" s="130" t="s">
        <v>802</v>
      </c>
      <c r="F276" s="130" t="s">
        <v>803</v>
      </c>
      <c r="G276" s="130" t="s">
        <v>137</v>
      </c>
      <c r="I276" s="130" t="s">
        <v>416</v>
      </c>
      <c r="J276" s="130" t="s">
        <v>159</v>
      </c>
      <c r="K276" s="130" t="s">
        <v>779</v>
      </c>
      <c r="L276" s="130" t="s">
        <v>543</v>
      </c>
      <c r="M276" s="128">
        <v>7</v>
      </c>
      <c r="N276" s="128">
        <f t="shared" si="4"/>
        <v>-1</v>
      </c>
      <c r="O276" s="130" t="s">
        <v>134</v>
      </c>
      <c r="P276" s="130" t="s">
        <v>134</v>
      </c>
      <c r="Q276" s="130" t="s">
        <v>543</v>
      </c>
      <c r="R276" s="128">
        <v>7</v>
      </c>
      <c r="S276" s="130" t="s">
        <v>448</v>
      </c>
    </row>
    <row r="277" spans="1:19" x14ac:dyDescent="0.25">
      <c r="A277" s="130" t="s">
        <v>806</v>
      </c>
      <c r="B277" s="130" t="s">
        <v>807</v>
      </c>
      <c r="C277" s="130" t="s">
        <v>134</v>
      </c>
      <c r="D277" s="130" t="s">
        <v>134</v>
      </c>
      <c r="E277" s="130" t="s">
        <v>802</v>
      </c>
      <c r="F277" s="130" t="s">
        <v>803</v>
      </c>
      <c r="G277" s="130" t="s">
        <v>137</v>
      </c>
      <c r="I277" s="130" t="s">
        <v>416</v>
      </c>
      <c r="J277" s="130" t="s">
        <v>159</v>
      </c>
      <c r="K277" s="130" t="s">
        <v>779</v>
      </c>
      <c r="L277" s="130" t="s">
        <v>543</v>
      </c>
      <c r="M277" s="128">
        <v>7</v>
      </c>
      <c r="N277" s="128">
        <f t="shared" si="4"/>
        <v>-1</v>
      </c>
      <c r="O277" s="130" t="s">
        <v>134</v>
      </c>
      <c r="P277" s="130" t="s">
        <v>134</v>
      </c>
      <c r="Q277" s="130" t="s">
        <v>543</v>
      </c>
      <c r="R277" s="128">
        <v>7</v>
      </c>
      <c r="S277" s="130" t="s">
        <v>448</v>
      </c>
    </row>
    <row r="278" spans="1:19" x14ac:dyDescent="0.25">
      <c r="A278" s="130" t="s">
        <v>808</v>
      </c>
      <c r="B278" s="130" t="s">
        <v>809</v>
      </c>
      <c r="C278" s="130" t="s">
        <v>134</v>
      </c>
      <c r="D278" s="130" t="s">
        <v>134</v>
      </c>
      <c r="E278" s="130" t="s">
        <v>802</v>
      </c>
      <c r="F278" s="130" t="s">
        <v>803</v>
      </c>
      <c r="G278" s="130" t="s">
        <v>137</v>
      </c>
      <c r="I278" s="130" t="s">
        <v>416</v>
      </c>
      <c r="J278" s="130" t="s">
        <v>159</v>
      </c>
      <c r="K278" s="130" t="s">
        <v>779</v>
      </c>
      <c r="L278" s="130" t="s">
        <v>543</v>
      </c>
      <c r="M278" s="128">
        <v>7</v>
      </c>
      <c r="N278" s="128">
        <f t="shared" si="4"/>
        <v>-1</v>
      </c>
      <c r="O278" s="130" t="s">
        <v>134</v>
      </c>
      <c r="P278" s="130" t="s">
        <v>134</v>
      </c>
      <c r="Q278" s="130" t="s">
        <v>543</v>
      </c>
      <c r="R278" s="128">
        <v>7</v>
      </c>
      <c r="S278" s="130" t="s">
        <v>448</v>
      </c>
    </row>
    <row r="279" spans="1:19" x14ac:dyDescent="0.25">
      <c r="A279" s="130" t="s">
        <v>810</v>
      </c>
      <c r="B279" s="130" t="s">
        <v>811</v>
      </c>
      <c r="C279" s="130" t="s">
        <v>134</v>
      </c>
      <c r="D279" s="130" t="s">
        <v>134</v>
      </c>
      <c r="E279" s="130" t="s">
        <v>812</v>
      </c>
      <c r="F279" s="130" t="s">
        <v>813</v>
      </c>
      <c r="G279" s="130" t="s">
        <v>137</v>
      </c>
      <c r="I279" s="130" t="s">
        <v>416</v>
      </c>
      <c r="J279" s="130" t="s">
        <v>159</v>
      </c>
      <c r="K279" s="130" t="s">
        <v>779</v>
      </c>
      <c r="L279" s="130" t="s">
        <v>543</v>
      </c>
      <c r="M279" s="128">
        <v>7</v>
      </c>
      <c r="N279" s="128">
        <f t="shared" si="4"/>
        <v>-1</v>
      </c>
      <c r="O279" s="130" t="s">
        <v>134</v>
      </c>
      <c r="P279" s="130" t="s">
        <v>134</v>
      </c>
      <c r="Q279" s="130" t="s">
        <v>543</v>
      </c>
      <c r="R279" s="128">
        <v>7</v>
      </c>
      <c r="S279" s="130" t="s">
        <v>448</v>
      </c>
    </row>
    <row r="280" spans="1:19" x14ac:dyDescent="0.25">
      <c r="A280" s="130" t="s">
        <v>814</v>
      </c>
      <c r="B280" s="130" t="s">
        <v>815</v>
      </c>
      <c r="C280" s="130" t="s">
        <v>134</v>
      </c>
      <c r="D280" s="130" t="s">
        <v>134</v>
      </c>
      <c r="E280" s="130" t="s">
        <v>779</v>
      </c>
      <c r="F280" s="130" t="s">
        <v>780</v>
      </c>
      <c r="G280" s="130" t="s">
        <v>137</v>
      </c>
      <c r="I280" s="130" t="s">
        <v>416</v>
      </c>
      <c r="J280" s="130" t="s">
        <v>159</v>
      </c>
      <c r="K280" s="130" t="s">
        <v>779</v>
      </c>
      <c r="L280" s="130" t="s">
        <v>543</v>
      </c>
      <c r="M280" s="128">
        <v>7</v>
      </c>
      <c r="N280" s="128">
        <f t="shared" si="4"/>
        <v>-1</v>
      </c>
      <c r="O280" s="130" t="s">
        <v>134</v>
      </c>
      <c r="P280" s="130" t="s">
        <v>134</v>
      </c>
      <c r="Q280" s="130" t="s">
        <v>543</v>
      </c>
      <c r="R280" s="128">
        <v>7</v>
      </c>
      <c r="S280" s="130" t="s">
        <v>448</v>
      </c>
    </row>
    <row r="281" spans="1:19" x14ac:dyDescent="0.25">
      <c r="A281" s="130" t="s">
        <v>816</v>
      </c>
      <c r="B281" s="130" t="s">
        <v>817</v>
      </c>
      <c r="C281" s="130" t="s">
        <v>134</v>
      </c>
      <c r="D281" s="130" t="s">
        <v>134</v>
      </c>
      <c r="E281" s="130" t="s">
        <v>779</v>
      </c>
      <c r="F281" s="130" t="s">
        <v>780</v>
      </c>
      <c r="G281" s="130" t="s">
        <v>137</v>
      </c>
      <c r="I281" s="130" t="s">
        <v>416</v>
      </c>
      <c r="J281" s="130" t="s">
        <v>159</v>
      </c>
      <c r="K281" s="130" t="s">
        <v>779</v>
      </c>
      <c r="L281" s="130" t="s">
        <v>543</v>
      </c>
      <c r="M281" s="128">
        <v>7</v>
      </c>
      <c r="N281" s="128">
        <f t="shared" si="4"/>
        <v>-1</v>
      </c>
      <c r="O281" s="130" t="s">
        <v>134</v>
      </c>
      <c r="P281" s="130" t="s">
        <v>134</v>
      </c>
      <c r="Q281" s="130" t="s">
        <v>543</v>
      </c>
      <c r="R281" s="128">
        <v>7</v>
      </c>
      <c r="S281" s="130" t="s">
        <v>448</v>
      </c>
    </row>
    <row r="282" spans="1:19" x14ac:dyDescent="0.25">
      <c r="A282" s="130" t="s">
        <v>818</v>
      </c>
      <c r="B282" s="130" t="s">
        <v>819</v>
      </c>
      <c r="C282" s="130" t="s">
        <v>134</v>
      </c>
      <c r="D282" s="130" t="s">
        <v>134</v>
      </c>
      <c r="E282" s="130" t="s">
        <v>779</v>
      </c>
      <c r="F282" s="130" t="s">
        <v>780</v>
      </c>
      <c r="G282" s="130" t="s">
        <v>137</v>
      </c>
      <c r="I282" s="130" t="s">
        <v>416</v>
      </c>
      <c r="J282" s="130" t="s">
        <v>159</v>
      </c>
      <c r="K282" s="130" t="s">
        <v>779</v>
      </c>
      <c r="L282" s="130" t="s">
        <v>543</v>
      </c>
      <c r="M282" s="128">
        <v>7</v>
      </c>
      <c r="N282" s="128">
        <f t="shared" si="4"/>
        <v>-1</v>
      </c>
      <c r="O282" s="130" t="s">
        <v>134</v>
      </c>
      <c r="P282" s="130" t="s">
        <v>134</v>
      </c>
      <c r="Q282" s="130" t="s">
        <v>543</v>
      </c>
      <c r="R282" s="128">
        <v>7</v>
      </c>
      <c r="S282" s="130" t="s">
        <v>448</v>
      </c>
    </row>
    <row r="283" spans="1:19" x14ac:dyDescent="0.25">
      <c r="A283" s="130" t="s">
        <v>820</v>
      </c>
      <c r="B283" s="130" t="s">
        <v>821</v>
      </c>
      <c r="C283" s="130" t="s">
        <v>134</v>
      </c>
      <c r="D283" s="130" t="s">
        <v>134</v>
      </c>
      <c r="E283" s="130" t="s">
        <v>779</v>
      </c>
      <c r="F283" s="130" t="s">
        <v>780</v>
      </c>
      <c r="G283" s="130" t="s">
        <v>137</v>
      </c>
      <c r="I283" s="130" t="s">
        <v>416</v>
      </c>
      <c r="J283" s="130" t="s">
        <v>159</v>
      </c>
      <c r="K283" s="130" t="s">
        <v>779</v>
      </c>
      <c r="L283" s="130" t="s">
        <v>543</v>
      </c>
      <c r="M283" s="128">
        <v>7</v>
      </c>
      <c r="N283" s="128">
        <f t="shared" si="4"/>
        <v>-1</v>
      </c>
      <c r="O283" s="130" t="s">
        <v>134</v>
      </c>
      <c r="P283" s="130" t="s">
        <v>134</v>
      </c>
      <c r="Q283" s="130" t="s">
        <v>543</v>
      </c>
      <c r="R283" s="128">
        <v>7</v>
      </c>
      <c r="S283" s="130" t="s">
        <v>448</v>
      </c>
    </row>
    <row r="284" spans="1:19" x14ac:dyDescent="0.25">
      <c r="A284" s="130" t="s">
        <v>822</v>
      </c>
      <c r="B284" s="130" t="s">
        <v>823</v>
      </c>
      <c r="C284" s="130" t="s">
        <v>134</v>
      </c>
      <c r="D284" s="130" t="s">
        <v>134</v>
      </c>
      <c r="E284" s="130" t="s">
        <v>779</v>
      </c>
      <c r="F284" s="130" t="s">
        <v>780</v>
      </c>
      <c r="G284" s="130" t="s">
        <v>137</v>
      </c>
      <c r="I284" s="130" t="s">
        <v>416</v>
      </c>
      <c r="J284" s="130" t="s">
        <v>159</v>
      </c>
      <c r="K284" s="130" t="s">
        <v>779</v>
      </c>
      <c r="L284" s="130" t="s">
        <v>543</v>
      </c>
      <c r="M284" s="128">
        <v>7</v>
      </c>
      <c r="N284" s="128">
        <f t="shared" si="4"/>
        <v>-1</v>
      </c>
      <c r="O284" s="130" t="s">
        <v>134</v>
      </c>
      <c r="P284" s="130" t="s">
        <v>134</v>
      </c>
      <c r="Q284" s="130" t="s">
        <v>543</v>
      </c>
      <c r="R284" s="128">
        <v>7</v>
      </c>
      <c r="S284" s="130" t="s">
        <v>448</v>
      </c>
    </row>
    <row r="285" spans="1:19" x14ac:dyDescent="0.25">
      <c r="A285" s="130" t="s">
        <v>824</v>
      </c>
      <c r="B285" s="130" t="s">
        <v>825</v>
      </c>
      <c r="C285" s="130" t="s">
        <v>134</v>
      </c>
      <c r="D285" s="130" t="s">
        <v>134</v>
      </c>
      <c r="E285" s="130" t="s">
        <v>779</v>
      </c>
      <c r="F285" s="130" t="s">
        <v>780</v>
      </c>
      <c r="G285" s="130" t="s">
        <v>137</v>
      </c>
      <c r="I285" s="130" t="s">
        <v>416</v>
      </c>
      <c r="J285" s="130" t="s">
        <v>159</v>
      </c>
      <c r="K285" s="130" t="s">
        <v>779</v>
      </c>
      <c r="L285" s="130" t="s">
        <v>543</v>
      </c>
      <c r="M285" s="128">
        <v>7</v>
      </c>
      <c r="N285" s="128">
        <f t="shared" si="4"/>
        <v>-1</v>
      </c>
      <c r="O285" s="130" t="s">
        <v>134</v>
      </c>
      <c r="P285" s="130" t="s">
        <v>134</v>
      </c>
      <c r="Q285" s="130" t="s">
        <v>543</v>
      </c>
      <c r="R285" s="128">
        <v>7</v>
      </c>
      <c r="S285" s="130" t="s">
        <v>448</v>
      </c>
    </row>
    <row r="286" spans="1:19" x14ac:dyDescent="0.25">
      <c r="A286" s="130" t="s">
        <v>826</v>
      </c>
      <c r="B286" s="130" t="s">
        <v>827</v>
      </c>
      <c r="C286" s="130" t="s">
        <v>134</v>
      </c>
      <c r="D286" s="130" t="s">
        <v>134</v>
      </c>
      <c r="E286" s="130" t="s">
        <v>779</v>
      </c>
      <c r="F286" s="130" t="s">
        <v>780</v>
      </c>
      <c r="G286" s="130" t="s">
        <v>137</v>
      </c>
      <c r="I286" s="130" t="s">
        <v>416</v>
      </c>
      <c r="J286" s="130" t="s">
        <v>159</v>
      </c>
      <c r="K286" s="130" t="s">
        <v>779</v>
      </c>
      <c r="L286" s="130" t="s">
        <v>543</v>
      </c>
      <c r="M286" s="128">
        <v>7</v>
      </c>
      <c r="N286" s="128">
        <f t="shared" si="4"/>
        <v>-1</v>
      </c>
      <c r="O286" s="130" t="s">
        <v>134</v>
      </c>
      <c r="P286" s="130" t="s">
        <v>134</v>
      </c>
      <c r="Q286" s="130" t="s">
        <v>543</v>
      </c>
      <c r="R286" s="128">
        <v>7</v>
      </c>
      <c r="S286" s="130" t="s">
        <v>448</v>
      </c>
    </row>
    <row r="287" spans="1:19" x14ac:dyDescent="0.25">
      <c r="A287" s="130" t="s">
        <v>828</v>
      </c>
      <c r="B287" s="130" t="s">
        <v>829</v>
      </c>
      <c r="C287" s="130" t="s">
        <v>134</v>
      </c>
      <c r="D287" s="130" t="s">
        <v>134</v>
      </c>
      <c r="E287" s="130" t="s">
        <v>779</v>
      </c>
      <c r="F287" s="130" t="s">
        <v>780</v>
      </c>
      <c r="G287" s="130" t="s">
        <v>137</v>
      </c>
      <c r="I287" s="130" t="s">
        <v>416</v>
      </c>
      <c r="J287" s="130" t="s">
        <v>159</v>
      </c>
      <c r="K287" s="130" t="s">
        <v>779</v>
      </c>
      <c r="L287" s="130" t="s">
        <v>543</v>
      </c>
      <c r="M287" s="128">
        <v>7</v>
      </c>
      <c r="N287" s="128">
        <f t="shared" si="4"/>
        <v>-1</v>
      </c>
      <c r="O287" s="130" t="s">
        <v>134</v>
      </c>
      <c r="P287" s="130" t="s">
        <v>134</v>
      </c>
      <c r="Q287" s="130" t="s">
        <v>543</v>
      </c>
      <c r="R287" s="128">
        <v>7</v>
      </c>
      <c r="S287" s="130" t="s">
        <v>448</v>
      </c>
    </row>
    <row r="288" spans="1:19" x14ac:dyDescent="0.25">
      <c r="A288" s="130" t="s">
        <v>830</v>
      </c>
      <c r="B288" s="130" t="s">
        <v>831</v>
      </c>
      <c r="C288" s="130" t="s">
        <v>134</v>
      </c>
      <c r="D288" s="130" t="s">
        <v>134</v>
      </c>
      <c r="E288" s="130" t="s">
        <v>779</v>
      </c>
      <c r="F288" s="130" t="s">
        <v>780</v>
      </c>
      <c r="G288" s="130" t="s">
        <v>137</v>
      </c>
      <c r="I288" s="130" t="s">
        <v>416</v>
      </c>
      <c r="J288" s="130" t="s">
        <v>159</v>
      </c>
      <c r="K288" s="130" t="s">
        <v>779</v>
      </c>
      <c r="L288" s="130" t="s">
        <v>543</v>
      </c>
      <c r="M288" s="128">
        <v>7</v>
      </c>
      <c r="N288" s="128">
        <f t="shared" si="4"/>
        <v>-1</v>
      </c>
      <c r="O288" s="130" t="s">
        <v>134</v>
      </c>
      <c r="P288" s="130" t="s">
        <v>134</v>
      </c>
      <c r="Q288" s="130" t="s">
        <v>543</v>
      </c>
      <c r="R288" s="128">
        <v>7</v>
      </c>
      <c r="S288" s="130" t="s">
        <v>448</v>
      </c>
    </row>
    <row r="289" spans="1:19" x14ac:dyDescent="0.25">
      <c r="A289" s="130" t="s">
        <v>832</v>
      </c>
      <c r="B289" s="130" t="s">
        <v>833</v>
      </c>
      <c r="C289" s="130" t="s">
        <v>134</v>
      </c>
      <c r="D289" s="130" t="s">
        <v>134</v>
      </c>
      <c r="E289" s="130" t="s">
        <v>779</v>
      </c>
      <c r="F289" s="130" t="s">
        <v>780</v>
      </c>
      <c r="G289" s="130" t="s">
        <v>137</v>
      </c>
      <c r="I289" s="130" t="s">
        <v>416</v>
      </c>
      <c r="J289" s="130" t="s">
        <v>159</v>
      </c>
      <c r="K289" s="130" t="s">
        <v>779</v>
      </c>
      <c r="L289" s="130" t="s">
        <v>543</v>
      </c>
      <c r="M289" s="128">
        <v>7</v>
      </c>
      <c r="N289" s="128">
        <f t="shared" si="4"/>
        <v>-1</v>
      </c>
      <c r="O289" s="130" t="s">
        <v>134</v>
      </c>
      <c r="P289" s="130" t="s">
        <v>134</v>
      </c>
      <c r="Q289" s="130" t="s">
        <v>543</v>
      </c>
      <c r="R289" s="128">
        <v>7</v>
      </c>
      <c r="S289" s="130" t="s">
        <v>448</v>
      </c>
    </row>
    <row r="290" spans="1:19" x14ac:dyDescent="0.25">
      <c r="A290" s="130" t="s">
        <v>779</v>
      </c>
      <c r="B290" s="130" t="s">
        <v>834</v>
      </c>
      <c r="C290" s="130" t="s">
        <v>134</v>
      </c>
      <c r="D290" s="130" t="s">
        <v>134</v>
      </c>
      <c r="E290" s="130" t="s">
        <v>835</v>
      </c>
      <c r="F290" s="130" t="s">
        <v>836</v>
      </c>
      <c r="G290" s="130" t="s">
        <v>137</v>
      </c>
      <c r="I290" s="130" t="s">
        <v>416</v>
      </c>
      <c r="J290" s="130" t="s">
        <v>159</v>
      </c>
      <c r="K290" s="130" t="s">
        <v>779</v>
      </c>
      <c r="L290" s="130" t="s">
        <v>543</v>
      </c>
      <c r="M290" s="128">
        <v>7</v>
      </c>
      <c r="N290" s="128">
        <f t="shared" si="4"/>
        <v>-1</v>
      </c>
      <c r="O290" s="130" t="s">
        <v>159</v>
      </c>
      <c r="P290" s="130" t="s">
        <v>159</v>
      </c>
      <c r="Q290" s="130" t="s">
        <v>160</v>
      </c>
      <c r="R290" s="128">
        <v>0</v>
      </c>
      <c r="S290" s="130" t="s">
        <v>448</v>
      </c>
    </row>
    <row r="291" spans="1:19" x14ac:dyDescent="0.25">
      <c r="A291" s="130" t="s">
        <v>837</v>
      </c>
      <c r="B291" s="130" t="s">
        <v>838</v>
      </c>
      <c r="C291" s="130" t="s">
        <v>134</v>
      </c>
      <c r="D291" s="130" t="s">
        <v>134</v>
      </c>
      <c r="E291" s="130" t="s">
        <v>839</v>
      </c>
      <c r="F291" s="130" t="s">
        <v>840</v>
      </c>
      <c r="G291" s="130" t="s">
        <v>137</v>
      </c>
      <c r="I291" s="130" t="s">
        <v>416</v>
      </c>
      <c r="J291" s="130" t="s">
        <v>159</v>
      </c>
      <c r="K291" s="130" t="s">
        <v>839</v>
      </c>
      <c r="L291" s="130" t="s">
        <v>543</v>
      </c>
      <c r="M291" s="128">
        <v>10</v>
      </c>
      <c r="N291" s="128">
        <f t="shared" si="4"/>
        <v>2</v>
      </c>
      <c r="O291" s="130" t="s">
        <v>134</v>
      </c>
      <c r="P291" s="130" t="s">
        <v>134</v>
      </c>
      <c r="Q291" s="130" t="s">
        <v>543</v>
      </c>
      <c r="R291" s="128">
        <v>10</v>
      </c>
      <c r="S291" s="130" t="s">
        <v>841</v>
      </c>
    </row>
    <row r="292" spans="1:19" x14ac:dyDescent="0.25">
      <c r="A292" s="130" t="s">
        <v>842</v>
      </c>
      <c r="B292" s="130" t="s">
        <v>843</v>
      </c>
      <c r="C292" s="130" t="s">
        <v>134</v>
      </c>
      <c r="D292" s="130" t="s">
        <v>134</v>
      </c>
      <c r="E292" s="130" t="s">
        <v>839</v>
      </c>
      <c r="F292" s="130" t="s">
        <v>840</v>
      </c>
      <c r="G292" s="130" t="s">
        <v>137</v>
      </c>
      <c r="I292" s="130" t="s">
        <v>416</v>
      </c>
      <c r="J292" s="130" t="s">
        <v>159</v>
      </c>
      <c r="K292" s="130" t="s">
        <v>839</v>
      </c>
      <c r="L292" s="130" t="s">
        <v>543</v>
      </c>
      <c r="M292" s="128">
        <v>10</v>
      </c>
      <c r="N292" s="128">
        <f t="shared" si="4"/>
        <v>2</v>
      </c>
      <c r="O292" s="130" t="s">
        <v>134</v>
      </c>
      <c r="P292" s="130" t="s">
        <v>134</v>
      </c>
      <c r="Q292" s="130" t="s">
        <v>543</v>
      </c>
      <c r="R292" s="128">
        <v>10</v>
      </c>
      <c r="S292" s="130" t="s">
        <v>841</v>
      </c>
    </row>
    <row r="293" spans="1:19" x14ac:dyDescent="0.25">
      <c r="A293" s="130" t="s">
        <v>844</v>
      </c>
      <c r="B293" s="130" t="s">
        <v>845</v>
      </c>
      <c r="C293" s="130" t="s">
        <v>134</v>
      </c>
      <c r="D293" s="130" t="s">
        <v>134</v>
      </c>
      <c r="E293" s="130" t="s">
        <v>839</v>
      </c>
      <c r="F293" s="130" t="s">
        <v>840</v>
      </c>
      <c r="G293" s="130" t="s">
        <v>137</v>
      </c>
      <c r="I293" s="130" t="s">
        <v>416</v>
      </c>
      <c r="J293" s="130" t="s">
        <v>159</v>
      </c>
      <c r="K293" s="130" t="s">
        <v>839</v>
      </c>
      <c r="L293" s="130" t="s">
        <v>543</v>
      </c>
      <c r="M293" s="128">
        <v>10</v>
      </c>
      <c r="N293" s="128">
        <f t="shared" si="4"/>
        <v>2</v>
      </c>
      <c r="O293" s="130" t="s">
        <v>134</v>
      </c>
      <c r="P293" s="130" t="s">
        <v>134</v>
      </c>
      <c r="Q293" s="130" t="s">
        <v>543</v>
      </c>
      <c r="R293" s="128">
        <v>10</v>
      </c>
      <c r="S293" s="130" t="s">
        <v>841</v>
      </c>
    </row>
    <row r="294" spans="1:19" x14ac:dyDescent="0.25">
      <c r="A294" s="130" t="s">
        <v>846</v>
      </c>
      <c r="B294" s="130" t="s">
        <v>847</v>
      </c>
      <c r="C294" s="130" t="s">
        <v>134</v>
      </c>
      <c r="D294" s="130" t="s">
        <v>134</v>
      </c>
      <c r="E294" s="130" t="s">
        <v>848</v>
      </c>
      <c r="F294" s="130" t="s">
        <v>849</v>
      </c>
      <c r="G294" s="130" t="s">
        <v>137</v>
      </c>
      <c r="I294" s="130" t="s">
        <v>416</v>
      </c>
      <c r="J294" s="130" t="s">
        <v>159</v>
      </c>
      <c r="K294" s="130" t="s">
        <v>850</v>
      </c>
      <c r="L294" s="130" t="s">
        <v>543</v>
      </c>
      <c r="M294" s="128">
        <v>8</v>
      </c>
      <c r="N294" s="128">
        <f t="shared" si="4"/>
        <v>0</v>
      </c>
      <c r="O294" s="130" t="s">
        <v>134</v>
      </c>
      <c r="P294" s="130" t="s">
        <v>134</v>
      </c>
      <c r="Q294" s="130" t="s">
        <v>543</v>
      </c>
      <c r="R294" s="128">
        <v>8</v>
      </c>
      <c r="S294" s="130" t="s">
        <v>851</v>
      </c>
    </row>
    <row r="295" spans="1:19" x14ac:dyDescent="0.25">
      <c r="A295" s="130" t="s">
        <v>852</v>
      </c>
      <c r="B295" s="130" t="s">
        <v>853</v>
      </c>
      <c r="C295" s="130" t="s">
        <v>134</v>
      </c>
      <c r="D295" s="130" t="s">
        <v>134</v>
      </c>
      <c r="E295" s="130" t="s">
        <v>854</v>
      </c>
      <c r="F295" s="130" t="s">
        <v>855</v>
      </c>
      <c r="G295" s="130" t="s">
        <v>137</v>
      </c>
      <c r="I295" s="130" t="s">
        <v>416</v>
      </c>
      <c r="J295" s="130" t="s">
        <v>159</v>
      </c>
      <c r="K295" s="130" t="s">
        <v>850</v>
      </c>
      <c r="L295" s="130" t="s">
        <v>543</v>
      </c>
      <c r="M295" s="128">
        <v>8</v>
      </c>
      <c r="N295" s="128">
        <f t="shared" si="4"/>
        <v>0</v>
      </c>
      <c r="O295" s="130" t="s">
        <v>134</v>
      </c>
      <c r="P295" s="130" t="s">
        <v>134</v>
      </c>
      <c r="Q295" s="130" t="s">
        <v>543</v>
      </c>
      <c r="R295" s="128">
        <v>8</v>
      </c>
      <c r="S295" s="130" t="s">
        <v>851</v>
      </c>
    </row>
    <row r="296" spans="1:19" x14ac:dyDescent="0.25">
      <c r="A296" s="130" t="s">
        <v>856</v>
      </c>
      <c r="B296" s="130" t="s">
        <v>857</v>
      </c>
      <c r="C296" s="130" t="s">
        <v>134</v>
      </c>
      <c r="D296" s="130" t="s">
        <v>134</v>
      </c>
      <c r="E296" s="130" t="s">
        <v>848</v>
      </c>
      <c r="F296" s="130" t="s">
        <v>849</v>
      </c>
      <c r="G296" s="130" t="s">
        <v>137</v>
      </c>
      <c r="I296" s="130" t="s">
        <v>416</v>
      </c>
      <c r="J296" s="130" t="s">
        <v>159</v>
      </c>
      <c r="K296" s="130" t="s">
        <v>850</v>
      </c>
      <c r="L296" s="130" t="s">
        <v>543</v>
      </c>
      <c r="M296" s="128">
        <v>8</v>
      </c>
      <c r="N296" s="128">
        <f t="shared" si="4"/>
        <v>0</v>
      </c>
      <c r="O296" s="130" t="s">
        <v>134</v>
      </c>
      <c r="P296" s="130" t="s">
        <v>134</v>
      </c>
      <c r="Q296" s="130" t="s">
        <v>543</v>
      </c>
      <c r="R296" s="128">
        <v>8</v>
      </c>
      <c r="S296" s="130" t="s">
        <v>851</v>
      </c>
    </row>
    <row r="297" spans="1:19" x14ac:dyDescent="0.25">
      <c r="A297" s="130" t="s">
        <v>858</v>
      </c>
      <c r="B297" s="130" t="s">
        <v>859</v>
      </c>
      <c r="C297" s="130" t="s">
        <v>860</v>
      </c>
      <c r="D297" s="130" t="s">
        <v>860</v>
      </c>
      <c r="E297" s="130" t="s">
        <v>848</v>
      </c>
      <c r="F297" s="130" t="s">
        <v>849</v>
      </c>
      <c r="G297" s="130" t="s">
        <v>137</v>
      </c>
      <c r="I297" s="130" t="s">
        <v>416</v>
      </c>
      <c r="J297" s="130" t="s">
        <v>159</v>
      </c>
      <c r="K297" s="130" t="s">
        <v>850</v>
      </c>
      <c r="L297" s="130" t="s">
        <v>543</v>
      </c>
      <c r="M297" s="128">
        <v>8</v>
      </c>
      <c r="N297" s="128">
        <f t="shared" si="4"/>
        <v>0</v>
      </c>
      <c r="O297" s="130" t="s">
        <v>860</v>
      </c>
      <c r="P297" s="130" t="s">
        <v>860</v>
      </c>
      <c r="Q297" s="130" t="s">
        <v>160</v>
      </c>
      <c r="R297" s="128">
        <v>0</v>
      </c>
      <c r="S297" s="130" t="s">
        <v>851</v>
      </c>
    </row>
    <row r="298" spans="1:19" x14ac:dyDescent="0.25">
      <c r="A298" s="130" t="s">
        <v>861</v>
      </c>
      <c r="B298" s="130" t="s">
        <v>862</v>
      </c>
      <c r="C298" s="130" t="s">
        <v>134</v>
      </c>
      <c r="D298" s="130" t="s">
        <v>134</v>
      </c>
      <c r="E298" s="130" t="s">
        <v>848</v>
      </c>
      <c r="F298" s="130" t="s">
        <v>849</v>
      </c>
      <c r="G298" s="130" t="s">
        <v>137</v>
      </c>
      <c r="I298" s="130" t="s">
        <v>416</v>
      </c>
      <c r="J298" s="130" t="s">
        <v>159</v>
      </c>
      <c r="K298" s="130" t="s">
        <v>850</v>
      </c>
      <c r="L298" s="130" t="s">
        <v>543</v>
      </c>
      <c r="M298" s="128">
        <v>8</v>
      </c>
      <c r="N298" s="128">
        <f t="shared" si="4"/>
        <v>0</v>
      </c>
      <c r="O298" s="130" t="s">
        <v>134</v>
      </c>
      <c r="P298" s="130" t="s">
        <v>134</v>
      </c>
      <c r="Q298" s="130" t="s">
        <v>543</v>
      </c>
      <c r="R298" s="128">
        <v>8</v>
      </c>
      <c r="S298" s="130" t="s">
        <v>851</v>
      </c>
    </row>
    <row r="299" spans="1:19" x14ac:dyDescent="0.25">
      <c r="A299" s="130" t="s">
        <v>863</v>
      </c>
      <c r="B299" s="130" t="s">
        <v>864</v>
      </c>
      <c r="C299" s="130" t="s">
        <v>134</v>
      </c>
      <c r="D299" s="130" t="s">
        <v>134</v>
      </c>
      <c r="E299" s="130" t="s">
        <v>848</v>
      </c>
      <c r="F299" s="130" t="s">
        <v>849</v>
      </c>
      <c r="G299" s="130" t="s">
        <v>137</v>
      </c>
      <c r="I299" s="130" t="s">
        <v>416</v>
      </c>
      <c r="J299" s="130" t="s">
        <v>159</v>
      </c>
      <c r="K299" s="130" t="s">
        <v>850</v>
      </c>
      <c r="L299" s="130" t="s">
        <v>543</v>
      </c>
      <c r="M299" s="128">
        <v>8</v>
      </c>
      <c r="N299" s="128">
        <f t="shared" si="4"/>
        <v>0</v>
      </c>
      <c r="O299" s="130" t="s">
        <v>134</v>
      </c>
      <c r="P299" s="130" t="s">
        <v>134</v>
      </c>
      <c r="Q299" s="130" t="s">
        <v>543</v>
      </c>
      <c r="R299" s="128">
        <v>8</v>
      </c>
      <c r="S299" s="130" t="s">
        <v>851</v>
      </c>
    </row>
    <row r="300" spans="1:19" x14ac:dyDescent="0.25">
      <c r="A300" s="130" t="s">
        <v>865</v>
      </c>
      <c r="B300" s="130" t="s">
        <v>866</v>
      </c>
      <c r="C300" s="130" t="s">
        <v>860</v>
      </c>
      <c r="D300" s="130" t="s">
        <v>860</v>
      </c>
      <c r="E300" s="130" t="s">
        <v>848</v>
      </c>
      <c r="F300" s="130" t="s">
        <v>849</v>
      </c>
      <c r="G300" s="130" t="s">
        <v>137</v>
      </c>
      <c r="I300" s="130" t="s">
        <v>416</v>
      </c>
      <c r="J300" s="130" t="s">
        <v>159</v>
      </c>
      <c r="K300" s="130" t="s">
        <v>850</v>
      </c>
      <c r="L300" s="130" t="s">
        <v>543</v>
      </c>
      <c r="M300" s="128">
        <v>8</v>
      </c>
      <c r="N300" s="128">
        <f t="shared" si="4"/>
        <v>0</v>
      </c>
      <c r="O300" s="130" t="s">
        <v>860</v>
      </c>
      <c r="P300" s="130" t="s">
        <v>860</v>
      </c>
      <c r="Q300" s="130" t="s">
        <v>160</v>
      </c>
      <c r="R300" s="128">
        <v>0</v>
      </c>
      <c r="S300" s="130" t="s">
        <v>851</v>
      </c>
    </row>
    <row r="301" spans="1:19" x14ac:dyDescent="0.25">
      <c r="A301" s="130" t="s">
        <v>867</v>
      </c>
      <c r="B301" s="130" t="s">
        <v>868</v>
      </c>
      <c r="C301" s="130" t="s">
        <v>860</v>
      </c>
      <c r="D301" s="130" t="s">
        <v>860</v>
      </c>
      <c r="E301" s="130" t="s">
        <v>848</v>
      </c>
      <c r="F301" s="130" t="s">
        <v>849</v>
      </c>
      <c r="G301" s="130" t="s">
        <v>137</v>
      </c>
      <c r="I301" s="130" t="s">
        <v>416</v>
      </c>
      <c r="J301" s="130" t="s">
        <v>159</v>
      </c>
      <c r="K301" s="130" t="s">
        <v>850</v>
      </c>
      <c r="L301" s="130" t="s">
        <v>543</v>
      </c>
      <c r="M301" s="128">
        <v>8</v>
      </c>
      <c r="N301" s="128">
        <f t="shared" si="4"/>
        <v>0</v>
      </c>
      <c r="O301" s="130" t="s">
        <v>860</v>
      </c>
      <c r="P301" s="130" t="s">
        <v>860</v>
      </c>
      <c r="Q301" s="130" t="s">
        <v>160</v>
      </c>
      <c r="R301" s="128">
        <v>0</v>
      </c>
      <c r="S301" s="130" t="s">
        <v>851</v>
      </c>
    </row>
    <row r="302" spans="1:19" x14ac:dyDescent="0.25">
      <c r="A302" s="130" t="s">
        <v>869</v>
      </c>
      <c r="B302" s="130" t="s">
        <v>870</v>
      </c>
      <c r="C302" s="130" t="s">
        <v>860</v>
      </c>
      <c r="D302" s="130" t="s">
        <v>860</v>
      </c>
      <c r="E302" s="130" t="s">
        <v>871</v>
      </c>
      <c r="F302" s="130" t="s">
        <v>872</v>
      </c>
      <c r="G302" s="130" t="s">
        <v>137</v>
      </c>
      <c r="I302" s="130" t="s">
        <v>416</v>
      </c>
      <c r="J302" s="130" t="s">
        <v>159</v>
      </c>
      <c r="K302" s="130" t="s">
        <v>850</v>
      </c>
      <c r="L302" s="130" t="s">
        <v>543</v>
      </c>
      <c r="M302" s="128">
        <v>8</v>
      </c>
      <c r="N302" s="128">
        <f t="shared" si="4"/>
        <v>0</v>
      </c>
      <c r="O302" s="130" t="s">
        <v>860</v>
      </c>
      <c r="P302" s="130" t="s">
        <v>860</v>
      </c>
      <c r="Q302" s="130" t="s">
        <v>160</v>
      </c>
      <c r="R302" s="128">
        <v>0</v>
      </c>
      <c r="S302" s="130" t="s">
        <v>851</v>
      </c>
    </row>
    <row r="303" spans="1:19" x14ac:dyDescent="0.25">
      <c r="A303" s="130" t="s">
        <v>873</v>
      </c>
      <c r="B303" s="130" t="s">
        <v>874</v>
      </c>
      <c r="C303" s="130" t="s">
        <v>860</v>
      </c>
      <c r="D303" s="130" t="s">
        <v>860</v>
      </c>
      <c r="E303" s="130" t="s">
        <v>871</v>
      </c>
      <c r="F303" s="130" t="s">
        <v>872</v>
      </c>
      <c r="G303" s="130" t="s">
        <v>137</v>
      </c>
      <c r="I303" s="130" t="s">
        <v>416</v>
      </c>
      <c r="J303" s="130" t="s">
        <v>159</v>
      </c>
      <c r="K303" s="130" t="s">
        <v>850</v>
      </c>
      <c r="L303" s="130" t="s">
        <v>543</v>
      </c>
      <c r="M303" s="128">
        <v>8</v>
      </c>
      <c r="N303" s="128">
        <f t="shared" si="4"/>
        <v>0</v>
      </c>
      <c r="O303" s="130" t="s">
        <v>860</v>
      </c>
      <c r="P303" s="130" t="s">
        <v>860</v>
      </c>
      <c r="Q303" s="130" t="s">
        <v>160</v>
      </c>
      <c r="R303" s="128">
        <v>0</v>
      </c>
      <c r="S303" s="130" t="s">
        <v>851</v>
      </c>
    </row>
    <row r="304" spans="1:19" x14ac:dyDescent="0.25">
      <c r="A304" s="130" t="s">
        <v>875</v>
      </c>
      <c r="B304" s="130" t="s">
        <v>876</v>
      </c>
      <c r="C304" s="130" t="s">
        <v>860</v>
      </c>
      <c r="D304" s="130" t="s">
        <v>860</v>
      </c>
      <c r="E304" s="130" t="s">
        <v>871</v>
      </c>
      <c r="F304" s="130" t="s">
        <v>872</v>
      </c>
      <c r="G304" s="130" t="s">
        <v>137</v>
      </c>
      <c r="I304" s="130" t="s">
        <v>416</v>
      </c>
      <c r="J304" s="130" t="s">
        <v>159</v>
      </c>
      <c r="K304" s="130" t="s">
        <v>850</v>
      </c>
      <c r="L304" s="130" t="s">
        <v>543</v>
      </c>
      <c r="M304" s="128">
        <v>8</v>
      </c>
      <c r="N304" s="128">
        <f t="shared" si="4"/>
        <v>0</v>
      </c>
      <c r="O304" s="130" t="s">
        <v>860</v>
      </c>
      <c r="P304" s="130" t="s">
        <v>860</v>
      </c>
      <c r="Q304" s="130" t="s">
        <v>160</v>
      </c>
      <c r="R304" s="128">
        <v>0</v>
      </c>
      <c r="S304" s="130" t="s">
        <v>851</v>
      </c>
    </row>
    <row r="305" spans="1:19" x14ac:dyDescent="0.25">
      <c r="A305" s="130" t="s">
        <v>877</v>
      </c>
      <c r="B305" s="130" t="s">
        <v>878</v>
      </c>
      <c r="C305" s="130" t="s">
        <v>860</v>
      </c>
      <c r="D305" s="130" t="s">
        <v>860</v>
      </c>
      <c r="E305" s="130" t="s">
        <v>871</v>
      </c>
      <c r="F305" s="130" t="s">
        <v>872</v>
      </c>
      <c r="G305" s="130" t="s">
        <v>137</v>
      </c>
      <c r="I305" s="130" t="s">
        <v>416</v>
      </c>
      <c r="J305" s="130" t="s">
        <v>159</v>
      </c>
      <c r="K305" s="130" t="s">
        <v>850</v>
      </c>
      <c r="L305" s="130" t="s">
        <v>543</v>
      </c>
      <c r="M305" s="128">
        <v>8</v>
      </c>
      <c r="N305" s="128">
        <f t="shared" si="4"/>
        <v>0</v>
      </c>
      <c r="O305" s="130" t="s">
        <v>860</v>
      </c>
      <c r="P305" s="130" t="s">
        <v>860</v>
      </c>
      <c r="Q305" s="130" t="s">
        <v>160</v>
      </c>
      <c r="R305" s="128">
        <v>0</v>
      </c>
      <c r="S305" s="130" t="s">
        <v>851</v>
      </c>
    </row>
    <row r="306" spans="1:19" x14ac:dyDescent="0.25">
      <c r="A306" s="130" t="s">
        <v>879</v>
      </c>
      <c r="B306" s="130" t="s">
        <v>880</v>
      </c>
      <c r="C306" s="130" t="s">
        <v>860</v>
      </c>
      <c r="D306" s="130" t="s">
        <v>860</v>
      </c>
      <c r="E306" s="130" t="s">
        <v>871</v>
      </c>
      <c r="F306" s="130" t="s">
        <v>872</v>
      </c>
      <c r="G306" s="130" t="s">
        <v>137</v>
      </c>
      <c r="I306" s="130" t="s">
        <v>416</v>
      </c>
      <c r="J306" s="130" t="s">
        <v>159</v>
      </c>
      <c r="K306" s="130" t="s">
        <v>850</v>
      </c>
      <c r="L306" s="130" t="s">
        <v>543</v>
      </c>
      <c r="M306" s="128">
        <v>8</v>
      </c>
      <c r="N306" s="128">
        <f t="shared" si="4"/>
        <v>0</v>
      </c>
      <c r="O306" s="130" t="s">
        <v>860</v>
      </c>
      <c r="P306" s="130" t="s">
        <v>860</v>
      </c>
      <c r="Q306" s="130" t="s">
        <v>160</v>
      </c>
      <c r="R306" s="128">
        <v>0</v>
      </c>
      <c r="S306" s="130" t="s">
        <v>851</v>
      </c>
    </row>
    <row r="307" spans="1:19" x14ac:dyDescent="0.25">
      <c r="A307" s="130" t="s">
        <v>881</v>
      </c>
      <c r="B307" s="130" t="s">
        <v>882</v>
      </c>
      <c r="C307" s="130" t="s">
        <v>860</v>
      </c>
      <c r="D307" s="130" t="s">
        <v>860</v>
      </c>
      <c r="E307" s="130" t="s">
        <v>871</v>
      </c>
      <c r="F307" s="130" t="s">
        <v>872</v>
      </c>
      <c r="G307" s="130" t="s">
        <v>137</v>
      </c>
      <c r="I307" s="130" t="s">
        <v>416</v>
      </c>
      <c r="J307" s="130" t="s">
        <v>159</v>
      </c>
      <c r="K307" s="130" t="s">
        <v>850</v>
      </c>
      <c r="L307" s="130" t="s">
        <v>543</v>
      </c>
      <c r="M307" s="128">
        <v>8</v>
      </c>
      <c r="N307" s="128">
        <f t="shared" si="4"/>
        <v>0</v>
      </c>
      <c r="O307" s="130" t="s">
        <v>860</v>
      </c>
      <c r="P307" s="130" t="s">
        <v>860</v>
      </c>
      <c r="Q307" s="130" t="s">
        <v>160</v>
      </c>
      <c r="R307" s="128">
        <v>0</v>
      </c>
      <c r="S307" s="130" t="s">
        <v>851</v>
      </c>
    </row>
    <row r="308" spans="1:19" x14ac:dyDescent="0.25">
      <c r="A308" s="130" t="s">
        <v>883</v>
      </c>
      <c r="B308" s="130" t="s">
        <v>884</v>
      </c>
      <c r="C308" s="130" t="s">
        <v>860</v>
      </c>
      <c r="D308" s="130" t="s">
        <v>860</v>
      </c>
      <c r="E308" s="130" t="s">
        <v>871</v>
      </c>
      <c r="F308" s="130" t="s">
        <v>872</v>
      </c>
      <c r="G308" s="130" t="s">
        <v>137</v>
      </c>
      <c r="I308" s="130" t="s">
        <v>416</v>
      </c>
      <c r="J308" s="130" t="s">
        <v>159</v>
      </c>
      <c r="K308" s="130" t="s">
        <v>850</v>
      </c>
      <c r="L308" s="130" t="s">
        <v>543</v>
      </c>
      <c r="M308" s="128">
        <v>8</v>
      </c>
      <c r="N308" s="128">
        <f t="shared" si="4"/>
        <v>0</v>
      </c>
      <c r="O308" s="130" t="s">
        <v>860</v>
      </c>
      <c r="P308" s="130" t="s">
        <v>860</v>
      </c>
      <c r="Q308" s="130" t="s">
        <v>160</v>
      </c>
      <c r="R308" s="128">
        <v>0</v>
      </c>
      <c r="S308" s="130" t="s">
        <v>851</v>
      </c>
    </row>
    <row r="309" spans="1:19" x14ac:dyDescent="0.25">
      <c r="A309" s="130" t="s">
        <v>885</v>
      </c>
      <c r="B309" s="130" t="s">
        <v>886</v>
      </c>
      <c r="C309" s="130" t="s">
        <v>860</v>
      </c>
      <c r="D309" s="130" t="s">
        <v>860</v>
      </c>
      <c r="E309" s="130" t="s">
        <v>871</v>
      </c>
      <c r="F309" s="130" t="s">
        <v>872</v>
      </c>
      <c r="G309" s="130" t="s">
        <v>137</v>
      </c>
      <c r="I309" s="130" t="s">
        <v>416</v>
      </c>
      <c r="J309" s="130" t="s">
        <v>159</v>
      </c>
      <c r="K309" s="130" t="s">
        <v>850</v>
      </c>
      <c r="L309" s="130" t="s">
        <v>543</v>
      </c>
      <c r="M309" s="128">
        <v>8</v>
      </c>
      <c r="N309" s="128">
        <f t="shared" si="4"/>
        <v>0</v>
      </c>
      <c r="O309" s="130" t="s">
        <v>860</v>
      </c>
      <c r="P309" s="130" t="s">
        <v>860</v>
      </c>
      <c r="Q309" s="130" t="s">
        <v>160</v>
      </c>
      <c r="R309" s="128">
        <v>0</v>
      </c>
      <c r="S309" s="130" t="s">
        <v>851</v>
      </c>
    </row>
    <row r="310" spans="1:19" x14ac:dyDescent="0.25">
      <c r="A310" s="130" t="s">
        <v>887</v>
      </c>
      <c r="B310" s="130" t="s">
        <v>888</v>
      </c>
      <c r="C310" s="130" t="s">
        <v>860</v>
      </c>
      <c r="D310" s="130" t="s">
        <v>860</v>
      </c>
      <c r="E310" s="130" t="s">
        <v>871</v>
      </c>
      <c r="F310" s="130" t="s">
        <v>872</v>
      </c>
      <c r="G310" s="130" t="s">
        <v>137</v>
      </c>
      <c r="I310" s="130" t="s">
        <v>416</v>
      </c>
      <c r="J310" s="130" t="s">
        <v>159</v>
      </c>
      <c r="K310" s="130" t="s">
        <v>850</v>
      </c>
      <c r="L310" s="130" t="s">
        <v>543</v>
      </c>
      <c r="M310" s="128">
        <v>8</v>
      </c>
      <c r="N310" s="128">
        <f t="shared" si="4"/>
        <v>0</v>
      </c>
      <c r="O310" s="130" t="s">
        <v>860</v>
      </c>
      <c r="P310" s="130" t="s">
        <v>860</v>
      </c>
      <c r="Q310" s="130" t="s">
        <v>160</v>
      </c>
      <c r="R310" s="128">
        <v>0</v>
      </c>
      <c r="S310" s="130" t="s">
        <v>851</v>
      </c>
    </row>
    <row r="311" spans="1:19" x14ac:dyDescent="0.25">
      <c r="A311" s="130" t="s">
        <v>889</v>
      </c>
      <c r="B311" s="130" t="s">
        <v>890</v>
      </c>
      <c r="C311" s="130" t="s">
        <v>134</v>
      </c>
      <c r="D311" s="130" t="s">
        <v>134</v>
      </c>
      <c r="E311" s="130" t="s">
        <v>891</v>
      </c>
      <c r="F311" s="130" t="s">
        <v>892</v>
      </c>
      <c r="G311" s="130" t="s">
        <v>137</v>
      </c>
      <c r="I311" s="130" t="s">
        <v>416</v>
      </c>
      <c r="J311" s="130" t="s">
        <v>159</v>
      </c>
      <c r="K311" s="130" t="s">
        <v>893</v>
      </c>
      <c r="L311" s="130" t="s">
        <v>543</v>
      </c>
      <c r="M311" s="128">
        <v>8</v>
      </c>
      <c r="N311" s="128">
        <f t="shared" si="4"/>
        <v>0</v>
      </c>
      <c r="O311" s="130" t="s">
        <v>134</v>
      </c>
      <c r="P311" s="130" t="s">
        <v>134</v>
      </c>
      <c r="Q311" s="130" t="s">
        <v>543</v>
      </c>
      <c r="R311" s="128">
        <v>8</v>
      </c>
      <c r="S311" s="130" t="s">
        <v>851</v>
      </c>
    </row>
    <row r="312" spans="1:19" x14ac:dyDescent="0.25">
      <c r="A312" s="130" t="s">
        <v>894</v>
      </c>
      <c r="B312" s="130" t="s">
        <v>895</v>
      </c>
      <c r="C312" s="130" t="s">
        <v>134</v>
      </c>
      <c r="D312" s="130" t="s">
        <v>134</v>
      </c>
      <c r="E312" s="130" t="s">
        <v>891</v>
      </c>
      <c r="F312" s="130" t="s">
        <v>892</v>
      </c>
      <c r="G312" s="130" t="s">
        <v>137</v>
      </c>
      <c r="I312" s="130" t="s">
        <v>416</v>
      </c>
      <c r="J312" s="130" t="s">
        <v>159</v>
      </c>
      <c r="K312" s="130" t="s">
        <v>893</v>
      </c>
      <c r="L312" s="130" t="s">
        <v>543</v>
      </c>
      <c r="M312" s="128">
        <v>8</v>
      </c>
      <c r="N312" s="128">
        <f t="shared" si="4"/>
        <v>0</v>
      </c>
      <c r="O312" s="130" t="s">
        <v>134</v>
      </c>
      <c r="P312" s="130" t="s">
        <v>134</v>
      </c>
      <c r="Q312" s="130" t="s">
        <v>543</v>
      </c>
      <c r="R312" s="128">
        <v>8</v>
      </c>
      <c r="S312" s="130" t="s">
        <v>851</v>
      </c>
    </row>
    <row r="313" spans="1:19" x14ac:dyDescent="0.25">
      <c r="A313" s="130" t="s">
        <v>896</v>
      </c>
      <c r="B313" s="130" t="s">
        <v>897</v>
      </c>
      <c r="C313" s="130" t="s">
        <v>134</v>
      </c>
      <c r="D313" s="130" t="s">
        <v>134</v>
      </c>
      <c r="E313" s="130" t="s">
        <v>891</v>
      </c>
      <c r="F313" s="130" t="s">
        <v>892</v>
      </c>
      <c r="G313" s="130" t="s">
        <v>137</v>
      </c>
      <c r="I313" s="130" t="s">
        <v>416</v>
      </c>
      <c r="J313" s="130" t="s">
        <v>159</v>
      </c>
      <c r="K313" s="130" t="s">
        <v>893</v>
      </c>
      <c r="L313" s="130" t="s">
        <v>543</v>
      </c>
      <c r="M313" s="128">
        <v>8</v>
      </c>
      <c r="N313" s="128">
        <f t="shared" si="4"/>
        <v>0</v>
      </c>
      <c r="O313" s="130" t="s">
        <v>134</v>
      </c>
      <c r="P313" s="130" t="s">
        <v>134</v>
      </c>
      <c r="Q313" s="130" t="s">
        <v>543</v>
      </c>
      <c r="R313" s="128">
        <v>8</v>
      </c>
      <c r="S313" s="130" t="s">
        <v>851</v>
      </c>
    </row>
    <row r="314" spans="1:19" x14ac:dyDescent="0.25">
      <c r="A314" s="130" t="s">
        <v>898</v>
      </c>
      <c r="B314" s="130" t="s">
        <v>899</v>
      </c>
      <c r="C314" s="130" t="s">
        <v>134</v>
      </c>
      <c r="D314" s="130" t="s">
        <v>134</v>
      </c>
      <c r="E314" s="130" t="s">
        <v>891</v>
      </c>
      <c r="F314" s="130" t="s">
        <v>892</v>
      </c>
      <c r="G314" s="130" t="s">
        <v>137</v>
      </c>
      <c r="I314" s="130" t="s">
        <v>416</v>
      </c>
      <c r="J314" s="130" t="s">
        <v>159</v>
      </c>
      <c r="K314" s="130" t="s">
        <v>893</v>
      </c>
      <c r="L314" s="130" t="s">
        <v>543</v>
      </c>
      <c r="M314" s="128">
        <v>8</v>
      </c>
      <c r="N314" s="128">
        <f t="shared" si="4"/>
        <v>0</v>
      </c>
      <c r="O314" s="130" t="s">
        <v>134</v>
      </c>
      <c r="P314" s="130" t="s">
        <v>134</v>
      </c>
      <c r="Q314" s="130" t="s">
        <v>543</v>
      </c>
      <c r="R314" s="128">
        <v>8</v>
      </c>
      <c r="S314" s="130" t="s">
        <v>851</v>
      </c>
    </row>
    <row r="315" spans="1:19" x14ac:dyDescent="0.25">
      <c r="A315" s="130" t="s">
        <v>900</v>
      </c>
      <c r="B315" s="130" t="s">
        <v>901</v>
      </c>
      <c r="C315" s="130" t="s">
        <v>134</v>
      </c>
      <c r="D315" s="130" t="s">
        <v>134</v>
      </c>
      <c r="E315" s="130" t="s">
        <v>902</v>
      </c>
      <c r="F315" s="130" t="s">
        <v>903</v>
      </c>
      <c r="G315" s="130" t="s">
        <v>137</v>
      </c>
      <c r="I315" s="130" t="s">
        <v>416</v>
      </c>
      <c r="J315" s="130" t="s">
        <v>159</v>
      </c>
      <c r="K315" s="130" t="s">
        <v>893</v>
      </c>
      <c r="L315" s="130" t="s">
        <v>543</v>
      </c>
      <c r="M315" s="128">
        <v>8</v>
      </c>
      <c r="N315" s="128">
        <f t="shared" si="4"/>
        <v>0</v>
      </c>
      <c r="O315" s="130" t="s">
        <v>159</v>
      </c>
      <c r="P315" s="130" t="s">
        <v>159</v>
      </c>
      <c r="Q315" s="130" t="s">
        <v>160</v>
      </c>
      <c r="R315" s="128">
        <v>0</v>
      </c>
      <c r="S315" s="130" t="s">
        <v>851</v>
      </c>
    </row>
    <row r="316" spans="1:19" x14ac:dyDescent="0.25">
      <c r="A316" s="130" t="s">
        <v>904</v>
      </c>
      <c r="B316" s="130" t="s">
        <v>905</v>
      </c>
      <c r="C316" s="130" t="s">
        <v>134</v>
      </c>
      <c r="D316" s="130" t="s">
        <v>134</v>
      </c>
      <c r="E316" s="130" t="s">
        <v>902</v>
      </c>
      <c r="F316" s="130" t="s">
        <v>903</v>
      </c>
      <c r="G316" s="130" t="s">
        <v>137</v>
      </c>
      <c r="I316" s="130" t="s">
        <v>416</v>
      </c>
      <c r="J316" s="130" t="s">
        <v>159</v>
      </c>
      <c r="K316" s="130" t="s">
        <v>893</v>
      </c>
      <c r="L316" s="130" t="s">
        <v>543</v>
      </c>
      <c r="M316" s="128">
        <v>8</v>
      </c>
      <c r="N316" s="128">
        <f t="shared" si="4"/>
        <v>0</v>
      </c>
      <c r="O316" s="130" t="s">
        <v>159</v>
      </c>
      <c r="P316" s="130" t="s">
        <v>159</v>
      </c>
      <c r="Q316" s="130" t="s">
        <v>160</v>
      </c>
      <c r="R316" s="128">
        <v>0</v>
      </c>
      <c r="S316" s="130" t="s">
        <v>851</v>
      </c>
    </row>
    <row r="317" spans="1:19" x14ac:dyDescent="0.25">
      <c r="A317" s="130" t="s">
        <v>906</v>
      </c>
      <c r="B317" s="130" t="s">
        <v>907</v>
      </c>
      <c r="C317" s="130" t="s">
        <v>134</v>
      </c>
      <c r="D317" s="130" t="s">
        <v>134</v>
      </c>
      <c r="E317" s="130" t="s">
        <v>902</v>
      </c>
      <c r="F317" s="130" t="s">
        <v>903</v>
      </c>
      <c r="G317" s="130" t="s">
        <v>137</v>
      </c>
      <c r="I317" s="130" t="s">
        <v>416</v>
      </c>
      <c r="J317" s="130" t="s">
        <v>159</v>
      </c>
      <c r="K317" s="130" t="s">
        <v>893</v>
      </c>
      <c r="L317" s="130" t="s">
        <v>543</v>
      </c>
      <c r="M317" s="128">
        <v>8</v>
      </c>
      <c r="N317" s="128">
        <f t="shared" si="4"/>
        <v>0</v>
      </c>
      <c r="O317" s="130" t="s">
        <v>159</v>
      </c>
      <c r="P317" s="130" t="s">
        <v>159</v>
      </c>
      <c r="Q317" s="130" t="s">
        <v>160</v>
      </c>
      <c r="R317" s="128">
        <v>0</v>
      </c>
      <c r="S317" s="130" t="s">
        <v>851</v>
      </c>
    </row>
    <row r="318" spans="1:19" x14ac:dyDescent="0.25">
      <c r="A318" s="130" t="s">
        <v>908</v>
      </c>
      <c r="B318" s="130" t="s">
        <v>909</v>
      </c>
      <c r="C318" s="130" t="s">
        <v>134</v>
      </c>
      <c r="D318" s="130" t="s">
        <v>134</v>
      </c>
      <c r="E318" s="130" t="s">
        <v>902</v>
      </c>
      <c r="F318" s="130" t="s">
        <v>903</v>
      </c>
      <c r="G318" s="130" t="s">
        <v>137</v>
      </c>
      <c r="I318" s="130" t="s">
        <v>416</v>
      </c>
      <c r="J318" s="130" t="s">
        <v>159</v>
      </c>
      <c r="K318" s="130" t="s">
        <v>893</v>
      </c>
      <c r="L318" s="130" t="s">
        <v>543</v>
      </c>
      <c r="M318" s="128">
        <v>8</v>
      </c>
      <c r="N318" s="128">
        <f t="shared" si="4"/>
        <v>0</v>
      </c>
      <c r="O318" s="130" t="s">
        <v>159</v>
      </c>
      <c r="P318" s="130" t="s">
        <v>159</v>
      </c>
      <c r="Q318" s="130" t="s">
        <v>160</v>
      </c>
      <c r="R318" s="128">
        <v>0</v>
      </c>
      <c r="S318" s="130" t="s">
        <v>851</v>
      </c>
    </row>
    <row r="319" spans="1:19" x14ac:dyDescent="0.25">
      <c r="A319" s="130" t="s">
        <v>910</v>
      </c>
      <c r="B319" s="130" t="s">
        <v>911</v>
      </c>
      <c r="C319" s="130" t="s">
        <v>134</v>
      </c>
      <c r="D319" s="130" t="s">
        <v>134</v>
      </c>
      <c r="E319" s="130" t="s">
        <v>912</v>
      </c>
      <c r="F319" s="130" t="s">
        <v>913</v>
      </c>
      <c r="G319" s="130" t="s">
        <v>137</v>
      </c>
      <c r="I319" s="130" t="s">
        <v>416</v>
      </c>
      <c r="J319" s="130" t="s">
        <v>159</v>
      </c>
      <c r="K319" s="130" t="s">
        <v>893</v>
      </c>
      <c r="L319" s="130" t="s">
        <v>543</v>
      </c>
      <c r="M319" s="128">
        <v>8</v>
      </c>
      <c r="N319" s="128">
        <f t="shared" si="4"/>
        <v>0</v>
      </c>
      <c r="O319" s="130" t="s">
        <v>159</v>
      </c>
      <c r="P319" s="130" t="s">
        <v>159</v>
      </c>
      <c r="Q319" s="130" t="s">
        <v>160</v>
      </c>
      <c r="R319" s="128">
        <v>0</v>
      </c>
      <c r="S319" s="130" t="s">
        <v>851</v>
      </c>
    </row>
    <row r="320" spans="1:19" x14ac:dyDescent="0.25">
      <c r="A320" s="130" t="s">
        <v>914</v>
      </c>
      <c r="B320" s="130" t="s">
        <v>915</v>
      </c>
      <c r="C320" s="130" t="s">
        <v>134</v>
      </c>
      <c r="D320" s="130" t="s">
        <v>134</v>
      </c>
      <c r="E320" s="130" t="s">
        <v>912</v>
      </c>
      <c r="F320" s="130" t="s">
        <v>913</v>
      </c>
      <c r="G320" s="130" t="s">
        <v>137</v>
      </c>
      <c r="I320" s="130" t="s">
        <v>416</v>
      </c>
      <c r="J320" s="130" t="s">
        <v>159</v>
      </c>
      <c r="K320" s="130" t="s">
        <v>893</v>
      </c>
      <c r="L320" s="130" t="s">
        <v>543</v>
      </c>
      <c r="M320" s="128">
        <v>8</v>
      </c>
      <c r="N320" s="128">
        <f t="shared" si="4"/>
        <v>0</v>
      </c>
      <c r="O320" s="130" t="s">
        <v>159</v>
      </c>
      <c r="P320" s="130" t="s">
        <v>159</v>
      </c>
      <c r="Q320" s="130" t="s">
        <v>160</v>
      </c>
      <c r="R320" s="128">
        <v>0</v>
      </c>
      <c r="S320" s="130" t="s">
        <v>851</v>
      </c>
    </row>
    <row r="321" spans="1:19" x14ac:dyDescent="0.25">
      <c r="A321" s="130" t="s">
        <v>916</v>
      </c>
      <c r="B321" s="130" t="s">
        <v>917</v>
      </c>
      <c r="C321" s="130" t="s">
        <v>134</v>
      </c>
      <c r="D321" s="130" t="s">
        <v>134</v>
      </c>
      <c r="E321" s="130" t="s">
        <v>912</v>
      </c>
      <c r="F321" s="130" t="s">
        <v>913</v>
      </c>
      <c r="G321" s="130" t="s">
        <v>137</v>
      </c>
      <c r="I321" s="130" t="s">
        <v>416</v>
      </c>
      <c r="J321" s="130" t="s">
        <v>159</v>
      </c>
      <c r="K321" s="130" t="s">
        <v>893</v>
      </c>
      <c r="L321" s="130" t="s">
        <v>543</v>
      </c>
      <c r="M321" s="128">
        <v>8</v>
      </c>
      <c r="N321" s="128">
        <f t="shared" si="4"/>
        <v>0</v>
      </c>
      <c r="O321" s="130" t="s">
        <v>159</v>
      </c>
      <c r="P321" s="130" t="s">
        <v>159</v>
      </c>
      <c r="Q321" s="130" t="s">
        <v>160</v>
      </c>
      <c r="R321" s="128">
        <v>0</v>
      </c>
      <c r="S321" s="130" t="s">
        <v>851</v>
      </c>
    </row>
    <row r="322" spans="1:19" x14ac:dyDescent="0.25">
      <c r="A322" s="130" t="s">
        <v>918</v>
      </c>
      <c r="B322" s="130" t="s">
        <v>919</v>
      </c>
      <c r="C322" s="130" t="s">
        <v>134</v>
      </c>
      <c r="D322" s="130" t="s">
        <v>134</v>
      </c>
      <c r="E322" s="130" t="s">
        <v>912</v>
      </c>
      <c r="F322" s="130" t="s">
        <v>913</v>
      </c>
      <c r="G322" s="130" t="s">
        <v>137</v>
      </c>
      <c r="I322" s="130" t="s">
        <v>416</v>
      </c>
      <c r="J322" s="130" t="s">
        <v>159</v>
      </c>
      <c r="K322" s="130" t="s">
        <v>893</v>
      </c>
      <c r="L322" s="130" t="s">
        <v>543</v>
      </c>
      <c r="M322" s="128">
        <v>8</v>
      </c>
      <c r="N322" s="128">
        <f t="shared" si="4"/>
        <v>0</v>
      </c>
      <c r="O322" s="130" t="s">
        <v>159</v>
      </c>
      <c r="P322" s="130" t="s">
        <v>159</v>
      </c>
      <c r="Q322" s="130" t="s">
        <v>160</v>
      </c>
      <c r="R322" s="128">
        <v>0</v>
      </c>
      <c r="S322" s="130" t="s">
        <v>851</v>
      </c>
    </row>
    <row r="323" spans="1:19" x14ac:dyDescent="0.25">
      <c r="A323" s="130" t="s">
        <v>920</v>
      </c>
      <c r="B323" s="130" t="s">
        <v>921</v>
      </c>
      <c r="C323" s="130" t="s">
        <v>134</v>
      </c>
      <c r="D323" s="130" t="s">
        <v>134</v>
      </c>
      <c r="E323" s="130" t="s">
        <v>912</v>
      </c>
      <c r="F323" s="130" t="s">
        <v>913</v>
      </c>
      <c r="G323" s="130" t="s">
        <v>137</v>
      </c>
      <c r="I323" s="130" t="s">
        <v>416</v>
      </c>
      <c r="J323" s="130" t="s">
        <v>159</v>
      </c>
      <c r="K323" s="130" t="s">
        <v>893</v>
      </c>
      <c r="L323" s="130" t="s">
        <v>543</v>
      </c>
      <c r="M323" s="128">
        <v>8</v>
      </c>
      <c r="N323" s="128">
        <f t="shared" ref="N323:N386" si="5">M323-L323</f>
        <v>0</v>
      </c>
      <c r="O323" s="130" t="s">
        <v>159</v>
      </c>
      <c r="P323" s="130" t="s">
        <v>159</v>
      </c>
      <c r="Q323" s="130" t="s">
        <v>160</v>
      </c>
      <c r="R323" s="128">
        <v>0</v>
      </c>
      <c r="S323" s="130" t="s">
        <v>851</v>
      </c>
    </row>
    <row r="324" spans="1:19" x14ac:dyDescent="0.25">
      <c r="A324" s="130" t="s">
        <v>922</v>
      </c>
      <c r="B324" s="130" t="s">
        <v>923</v>
      </c>
      <c r="C324" s="130" t="s">
        <v>134</v>
      </c>
      <c r="D324" s="130" t="s">
        <v>134</v>
      </c>
      <c r="E324" s="130" t="s">
        <v>912</v>
      </c>
      <c r="F324" s="130" t="s">
        <v>913</v>
      </c>
      <c r="G324" s="130" t="s">
        <v>137</v>
      </c>
      <c r="I324" s="130" t="s">
        <v>416</v>
      </c>
      <c r="J324" s="130" t="s">
        <v>159</v>
      </c>
      <c r="K324" s="130" t="s">
        <v>893</v>
      </c>
      <c r="L324" s="130" t="s">
        <v>543</v>
      </c>
      <c r="M324" s="128">
        <v>8</v>
      </c>
      <c r="N324" s="128">
        <f t="shared" si="5"/>
        <v>0</v>
      </c>
      <c r="O324" s="130" t="s">
        <v>159</v>
      </c>
      <c r="P324" s="130" t="s">
        <v>159</v>
      </c>
      <c r="Q324" s="130" t="s">
        <v>160</v>
      </c>
      <c r="R324" s="128">
        <v>0</v>
      </c>
      <c r="S324" s="130" t="s">
        <v>851</v>
      </c>
    </row>
    <row r="325" spans="1:19" x14ac:dyDescent="0.25">
      <c r="A325" s="130" t="s">
        <v>924</v>
      </c>
      <c r="B325" s="130" t="s">
        <v>925</v>
      </c>
      <c r="C325" s="130" t="s">
        <v>134</v>
      </c>
      <c r="D325" s="130" t="s">
        <v>134</v>
      </c>
      <c r="E325" s="130" t="s">
        <v>893</v>
      </c>
      <c r="F325" s="130" t="s">
        <v>926</v>
      </c>
      <c r="G325" s="130" t="s">
        <v>137</v>
      </c>
      <c r="I325" s="130" t="s">
        <v>416</v>
      </c>
      <c r="J325" s="130" t="s">
        <v>159</v>
      </c>
      <c r="K325" s="130" t="s">
        <v>893</v>
      </c>
      <c r="L325" s="130" t="s">
        <v>543</v>
      </c>
      <c r="M325" s="128">
        <v>8</v>
      </c>
      <c r="N325" s="128">
        <f t="shared" si="5"/>
        <v>0</v>
      </c>
      <c r="O325" s="130" t="s">
        <v>159</v>
      </c>
      <c r="P325" s="130" t="s">
        <v>159</v>
      </c>
      <c r="Q325" s="130" t="s">
        <v>160</v>
      </c>
      <c r="R325" s="128">
        <v>0</v>
      </c>
      <c r="S325" s="130" t="s">
        <v>851</v>
      </c>
    </row>
    <row r="326" spans="1:19" x14ac:dyDescent="0.25">
      <c r="A326" s="130" t="s">
        <v>927</v>
      </c>
      <c r="B326" s="130" t="s">
        <v>928</v>
      </c>
      <c r="C326" s="130" t="s">
        <v>134</v>
      </c>
      <c r="D326" s="130" t="s">
        <v>134</v>
      </c>
      <c r="E326" s="130" t="s">
        <v>893</v>
      </c>
      <c r="F326" s="130" t="s">
        <v>926</v>
      </c>
      <c r="G326" s="130" t="s">
        <v>137</v>
      </c>
      <c r="I326" s="130" t="s">
        <v>416</v>
      </c>
      <c r="J326" s="130" t="s">
        <v>159</v>
      </c>
      <c r="K326" s="130" t="s">
        <v>893</v>
      </c>
      <c r="L326" s="130" t="s">
        <v>543</v>
      </c>
      <c r="M326" s="128">
        <v>8</v>
      </c>
      <c r="N326" s="128">
        <f t="shared" si="5"/>
        <v>0</v>
      </c>
      <c r="O326" s="130" t="s">
        <v>159</v>
      </c>
      <c r="P326" s="130" t="s">
        <v>159</v>
      </c>
      <c r="Q326" s="130" t="s">
        <v>160</v>
      </c>
      <c r="R326" s="128">
        <v>0</v>
      </c>
      <c r="S326" s="130" t="s">
        <v>851</v>
      </c>
    </row>
    <row r="327" spans="1:19" x14ac:dyDescent="0.25">
      <c r="A327" s="130" t="s">
        <v>929</v>
      </c>
      <c r="B327" s="130" t="s">
        <v>930</v>
      </c>
      <c r="C327" s="130" t="s">
        <v>134</v>
      </c>
      <c r="D327" s="130" t="s">
        <v>134</v>
      </c>
      <c r="E327" s="130" t="s">
        <v>893</v>
      </c>
      <c r="F327" s="130" t="s">
        <v>926</v>
      </c>
      <c r="G327" s="130" t="s">
        <v>137</v>
      </c>
      <c r="I327" s="130" t="s">
        <v>416</v>
      </c>
      <c r="J327" s="130" t="s">
        <v>159</v>
      </c>
      <c r="K327" s="130" t="s">
        <v>893</v>
      </c>
      <c r="L327" s="130" t="s">
        <v>543</v>
      </c>
      <c r="M327" s="128">
        <v>8</v>
      </c>
      <c r="N327" s="128">
        <f t="shared" si="5"/>
        <v>0</v>
      </c>
      <c r="O327" s="130" t="s">
        <v>159</v>
      </c>
      <c r="P327" s="130" t="s">
        <v>159</v>
      </c>
      <c r="Q327" s="130" t="s">
        <v>160</v>
      </c>
      <c r="R327" s="128">
        <v>0</v>
      </c>
      <c r="S327" s="130" t="s">
        <v>851</v>
      </c>
    </row>
    <row r="328" spans="1:19" x14ac:dyDescent="0.25">
      <c r="A328" s="130" t="s">
        <v>931</v>
      </c>
      <c r="B328" s="130" t="s">
        <v>932</v>
      </c>
      <c r="C328" s="130" t="s">
        <v>134</v>
      </c>
      <c r="D328" s="130" t="s">
        <v>134</v>
      </c>
      <c r="E328" s="130" t="s">
        <v>893</v>
      </c>
      <c r="F328" s="130" t="s">
        <v>926</v>
      </c>
      <c r="G328" s="130" t="s">
        <v>137</v>
      </c>
      <c r="I328" s="130" t="s">
        <v>416</v>
      </c>
      <c r="J328" s="130" t="s">
        <v>159</v>
      </c>
      <c r="K328" s="130" t="s">
        <v>893</v>
      </c>
      <c r="L328" s="130" t="s">
        <v>543</v>
      </c>
      <c r="M328" s="128">
        <v>8</v>
      </c>
      <c r="N328" s="128">
        <f t="shared" si="5"/>
        <v>0</v>
      </c>
      <c r="O328" s="130" t="s">
        <v>159</v>
      </c>
      <c r="P328" s="130" t="s">
        <v>159</v>
      </c>
      <c r="Q328" s="130" t="s">
        <v>160</v>
      </c>
      <c r="R328" s="128">
        <v>0</v>
      </c>
      <c r="S328" s="130" t="s">
        <v>851</v>
      </c>
    </row>
    <row r="329" spans="1:19" x14ac:dyDescent="0.25">
      <c r="A329" s="130" t="s">
        <v>933</v>
      </c>
      <c r="B329" s="130" t="s">
        <v>934</v>
      </c>
      <c r="C329" s="130" t="s">
        <v>134</v>
      </c>
      <c r="D329" s="130" t="s">
        <v>134</v>
      </c>
      <c r="E329" s="130" t="s">
        <v>893</v>
      </c>
      <c r="F329" s="130" t="s">
        <v>926</v>
      </c>
      <c r="G329" s="130" t="s">
        <v>137</v>
      </c>
      <c r="I329" s="130" t="s">
        <v>416</v>
      </c>
      <c r="J329" s="130" t="s">
        <v>159</v>
      </c>
      <c r="K329" s="130" t="s">
        <v>893</v>
      </c>
      <c r="L329" s="130" t="s">
        <v>543</v>
      </c>
      <c r="M329" s="128">
        <v>8</v>
      </c>
      <c r="N329" s="128">
        <f t="shared" si="5"/>
        <v>0</v>
      </c>
      <c r="O329" s="130" t="s">
        <v>159</v>
      </c>
      <c r="P329" s="130" t="s">
        <v>159</v>
      </c>
      <c r="Q329" s="130" t="s">
        <v>160</v>
      </c>
      <c r="R329" s="128">
        <v>0</v>
      </c>
      <c r="S329" s="130" t="s">
        <v>851</v>
      </c>
    </row>
    <row r="330" spans="1:19" x14ac:dyDescent="0.25">
      <c r="A330" s="130" t="s">
        <v>935</v>
      </c>
      <c r="B330" s="130" t="s">
        <v>936</v>
      </c>
      <c r="C330" s="130" t="s">
        <v>134</v>
      </c>
      <c r="D330" s="130" t="s">
        <v>134</v>
      </c>
      <c r="E330" s="130" t="s">
        <v>893</v>
      </c>
      <c r="F330" s="130" t="s">
        <v>926</v>
      </c>
      <c r="G330" s="130" t="s">
        <v>137</v>
      </c>
      <c r="I330" s="130" t="s">
        <v>416</v>
      </c>
      <c r="J330" s="130" t="s">
        <v>159</v>
      </c>
      <c r="K330" s="130" t="s">
        <v>893</v>
      </c>
      <c r="L330" s="130" t="s">
        <v>543</v>
      </c>
      <c r="M330" s="128">
        <v>8</v>
      </c>
      <c r="N330" s="128">
        <f t="shared" si="5"/>
        <v>0</v>
      </c>
      <c r="O330" s="130" t="s">
        <v>134</v>
      </c>
      <c r="P330" s="130" t="s">
        <v>134</v>
      </c>
      <c r="Q330" s="130" t="s">
        <v>543</v>
      </c>
      <c r="R330" s="128">
        <v>8</v>
      </c>
      <c r="S330" s="130" t="s">
        <v>851</v>
      </c>
    </row>
    <row r="331" spans="1:19" x14ac:dyDescent="0.25">
      <c r="A331" s="130" t="s">
        <v>937</v>
      </c>
      <c r="B331" s="130" t="s">
        <v>938</v>
      </c>
      <c r="C331" s="130" t="s">
        <v>134</v>
      </c>
      <c r="D331" s="130" t="s">
        <v>134</v>
      </c>
      <c r="E331" s="130" t="s">
        <v>893</v>
      </c>
      <c r="F331" s="130" t="s">
        <v>926</v>
      </c>
      <c r="G331" s="130" t="s">
        <v>137</v>
      </c>
      <c r="I331" s="130" t="s">
        <v>416</v>
      </c>
      <c r="J331" s="130" t="s">
        <v>159</v>
      </c>
      <c r="K331" s="130" t="s">
        <v>893</v>
      </c>
      <c r="L331" s="130" t="s">
        <v>543</v>
      </c>
      <c r="M331" s="128">
        <v>8</v>
      </c>
      <c r="N331" s="128">
        <f t="shared" si="5"/>
        <v>0</v>
      </c>
      <c r="O331" s="130" t="s">
        <v>134</v>
      </c>
      <c r="P331" s="130" t="s">
        <v>134</v>
      </c>
      <c r="Q331" s="130" t="s">
        <v>543</v>
      </c>
      <c r="R331" s="128">
        <v>8</v>
      </c>
      <c r="S331" s="130" t="s">
        <v>851</v>
      </c>
    </row>
    <row r="332" spans="1:19" x14ac:dyDescent="0.25">
      <c r="A332" s="130" t="s">
        <v>939</v>
      </c>
      <c r="B332" s="130" t="s">
        <v>940</v>
      </c>
      <c r="C332" s="130" t="s">
        <v>134</v>
      </c>
      <c r="D332" s="130" t="s">
        <v>134</v>
      </c>
      <c r="E332" s="130" t="s">
        <v>893</v>
      </c>
      <c r="F332" s="130" t="s">
        <v>926</v>
      </c>
      <c r="G332" s="130" t="s">
        <v>137</v>
      </c>
      <c r="I332" s="130" t="s">
        <v>416</v>
      </c>
      <c r="J332" s="130" t="s">
        <v>159</v>
      </c>
      <c r="K332" s="130" t="s">
        <v>893</v>
      </c>
      <c r="L332" s="130" t="s">
        <v>543</v>
      </c>
      <c r="M332" s="128">
        <v>8</v>
      </c>
      <c r="N332" s="128">
        <f t="shared" si="5"/>
        <v>0</v>
      </c>
      <c r="O332" s="130" t="s">
        <v>134</v>
      </c>
      <c r="P332" s="130" t="s">
        <v>134</v>
      </c>
      <c r="Q332" s="130" t="s">
        <v>543</v>
      </c>
      <c r="R332" s="128">
        <v>8</v>
      </c>
      <c r="S332" s="130" t="s">
        <v>851</v>
      </c>
    </row>
    <row r="333" spans="1:19" x14ac:dyDescent="0.25">
      <c r="A333" s="130" t="s">
        <v>941</v>
      </c>
      <c r="B333" s="130" t="s">
        <v>942</v>
      </c>
      <c r="C333" s="130" t="s">
        <v>134</v>
      </c>
      <c r="D333" s="130" t="s">
        <v>134</v>
      </c>
      <c r="E333" s="130" t="s">
        <v>893</v>
      </c>
      <c r="F333" s="130" t="s">
        <v>926</v>
      </c>
      <c r="G333" s="130" t="s">
        <v>137</v>
      </c>
      <c r="I333" s="130" t="s">
        <v>416</v>
      </c>
      <c r="J333" s="130" t="s">
        <v>159</v>
      </c>
      <c r="K333" s="130" t="s">
        <v>893</v>
      </c>
      <c r="L333" s="130" t="s">
        <v>543</v>
      </c>
      <c r="M333" s="128">
        <v>8</v>
      </c>
      <c r="N333" s="128">
        <f t="shared" si="5"/>
        <v>0</v>
      </c>
      <c r="O333" s="130" t="s">
        <v>134</v>
      </c>
      <c r="P333" s="130" t="s">
        <v>134</v>
      </c>
      <c r="Q333" s="130" t="s">
        <v>543</v>
      </c>
      <c r="R333" s="128">
        <v>8</v>
      </c>
      <c r="S333" s="130" t="s">
        <v>851</v>
      </c>
    </row>
    <row r="334" spans="1:19" x14ac:dyDescent="0.25">
      <c r="A334" s="130" t="s">
        <v>943</v>
      </c>
      <c r="B334" s="130" t="s">
        <v>944</v>
      </c>
      <c r="C334" s="130" t="s">
        <v>134</v>
      </c>
      <c r="D334" s="130" t="s">
        <v>134</v>
      </c>
      <c r="E334" s="130" t="s">
        <v>893</v>
      </c>
      <c r="F334" s="130" t="s">
        <v>926</v>
      </c>
      <c r="G334" s="130" t="s">
        <v>137</v>
      </c>
      <c r="I334" s="130" t="s">
        <v>416</v>
      </c>
      <c r="J334" s="130" t="s">
        <v>159</v>
      </c>
      <c r="K334" s="130" t="s">
        <v>893</v>
      </c>
      <c r="L334" s="130" t="s">
        <v>543</v>
      </c>
      <c r="M334" s="128">
        <v>8</v>
      </c>
      <c r="N334" s="128">
        <f t="shared" si="5"/>
        <v>0</v>
      </c>
      <c r="O334" s="130" t="s">
        <v>134</v>
      </c>
      <c r="P334" s="130" t="s">
        <v>134</v>
      </c>
      <c r="Q334" s="130" t="s">
        <v>543</v>
      </c>
      <c r="R334" s="128">
        <v>8</v>
      </c>
      <c r="S334" s="130" t="s">
        <v>851</v>
      </c>
    </row>
    <row r="335" spans="1:19" x14ac:dyDescent="0.25">
      <c r="A335" s="130" t="s">
        <v>945</v>
      </c>
      <c r="B335" s="130" t="s">
        <v>946</v>
      </c>
      <c r="C335" s="130" t="s">
        <v>134</v>
      </c>
      <c r="D335" s="130" t="s">
        <v>134</v>
      </c>
      <c r="E335" s="130" t="s">
        <v>893</v>
      </c>
      <c r="F335" s="130" t="s">
        <v>926</v>
      </c>
      <c r="G335" s="130" t="s">
        <v>137</v>
      </c>
      <c r="I335" s="130" t="s">
        <v>416</v>
      </c>
      <c r="J335" s="130" t="s">
        <v>159</v>
      </c>
      <c r="K335" s="130" t="s">
        <v>893</v>
      </c>
      <c r="L335" s="130" t="s">
        <v>543</v>
      </c>
      <c r="M335" s="128">
        <v>8</v>
      </c>
      <c r="N335" s="128">
        <f t="shared" si="5"/>
        <v>0</v>
      </c>
      <c r="O335" s="130" t="s">
        <v>134</v>
      </c>
      <c r="P335" s="130" t="s">
        <v>134</v>
      </c>
      <c r="Q335" s="130" t="s">
        <v>543</v>
      </c>
      <c r="R335" s="128">
        <v>8</v>
      </c>
      <c r="S335" s="130" t="s">
        <v>851</v>
      </c>
    </row>
    <row r="336" spans="1:19" x14ac:dyDescent="0.25">
      <c r="A336" s="130" t="s">
        <v>947</v>
      </c>
      <c r="B336" s="130" t="s">
        <v>948</v>
      </c>
      <c r="C336" s="130" t="s">
        <v>134</v>
      </c>
      <c r="D336" s="130" t="s">
        <v>134</v>
      </c>
      <c r="E336" s="130" t="s">
        <v>893</v>
      </c>
      <c r="F336" s="130" t="s">
        <v>926</v>
      </c>
      <c r="G336" s="130" t="s">
        <v>137</v>
      </c>
      <c r="I336" s="130" t="s">
        <v>416</v>
      </c>
      <c r="J336" s="130" t="s">
        <v>159</v>
      </c>
      <c r="K336" s="130" t="s">
        <v>893</v>
      </c>
      <c r="L336" s="130" t="s">
        <v>543</v>
      </c>
      <c r="M336" s="128">
        <v>8</v>
      </c>
      <c r="N336" s="128">
        <f t="shared" si="5"/>
        <v>0</v>
      </c>
      <c r="O336" s="130" t="s">
        <v>134</v>
      </c>
      <c r="P336" s="130" t="s">
        <v>134</v>
      </c>
      <c r="Q336" s="130" t="s">
        <v>543</v>
      </c>
      <c r="R336" s="128">
        <v>8</v>
      </c>
      <c r="S336" s="130" t="s">
        <v>851</v>
      </c>
    </row>
    <row r="337" spans="1:19" x14ac:dyDescent="0.25">
      <c r="A337" s="130" t="s">
        <v>949</v>
      </c>
      <c r="B337" s="130" t="s">
        <v>950</v>
      </c>
      <c r="C337" s="130" t="s">
        <v>134</v>
      </c>
      <c r="D337" s="130" t="s">
        <v>134</v>
      </c>
      <c r="E337" s="130" t="s">
        <v>951</v>
      </c>
      <c r="F337" s="130" t="s">
        <v>952</v>
      </c>
      <c r="G337" s="130" t="s">
        <v>137</v>
      </c>
      <c r="I337" s="130" t="s">
        <v>416</v>
      </c>
      <c r="J337" s="130" t="s">
        <v>159</v>
      </c>
      <c r="K337" s="130" t="s">
        <v>951</v>
      </c>
      <c r="L337" s="130" t="s">
        <v>543</v>
      </c>
      <c r="M337" s="128">
        <v>7</v>
      </c>
      <c r="N337" s="128">
        <f t="shared" si="5"/>
        <v>-1</v>
      </c>
      <c r="O337" s="130" t="s">
        <v>134</v>
      </c>
      <c r="P337" s="130" t="s">
        <v>134</v>
      </c>
      <c r="Q337" s="130" t="s">
        <v>543</v>
      </c>
      <c r="R337" s="128">
        <v>7</v>
      </c>
      <c r="S337" s="130" t="s">
        <v>953</v>
      </c>
    </row>
    <row r="338" spans="1:19" x14ac:dyDescent="0.25">
      <c r="A338" s="130" t="s">
        <v>954</v>
      </c>
      <c r="B338" s="130" t="s">
        <v>955</v>
      </c>
      <c r="C338" s="130" t="s">
        <v>134</v>
      </c>
      <c r="D338" s="130" t="s">
        <v>134</v>
      </c>
      <c r="E338" s="130" t="s">
        <v>951</v>
      </c>
      <c r="F338" s="130" t="s">
        <v>952</v>
      </c>
      <c r="G338" s="130" t="s">
        <v>137</v>
      </c>
      <c r="I338" s="130" t="s">
        <v>416</v>
      </c>
      <c r="J338" s="130" t="s">
        <v>159</v>
      </c>
      <c r="K338" s="130" t="s">
        <v>951</v>
      </c>
      <c r="L338" s="130" t="s">
        <v>543</v>
      </c>
      <c r="M338" s="128">
        <v>7</v>
      </c>
      <c r="N338" s="128">
        <f t="shared" si="5"/>
        <v>-1</v>
      </c>
      <c r="O338" s="130" t="s">
        <v>134</v>
      </c>
      <c r="P338" s="130" t="s">
        <v>134</v>
      </c>
      <c r="Q338" s="130" t="s">
        <v>543</v>
      </c>
      <c r="R338" s="128">
        <v>7</v>
      </c>
      <c r="S338" s="130" t="s">
        <v>953</v>
      </c>
    </row>
    <row r="339" spans="1:19" x14ac:dyDescent="0.25">
      <c r="A339" s="130" t="s">
        <v>956</v>
      </c>
      <c r="B339" s="130" t="s">
        <v>957</v>
      </c>
      <c r="C339" s="130" t="s">
        <v>134</v>
      </c>
      <c r="D339" s="130" t="s">
        <v>134</v>
      </c>
      <c r="E339" s="130" t="s">
        <v>951</v>
      </c>
      <c r="F339" s="130" t="s">
        <v>952</v>
      </c>
      <c r="G339" s="130" t="s">
        <v>137</v>
      </c>
      <c r="I339" s="130" t="s">
        <v>416</v>
      </c>
      <c r="J339" s="130" t="s">
        <v>159</v>
      </c>
      <c r="K339" s="130" t="s">
        <v>951</v>
      </c>
      <c r="L339" s="130" t="s">
        <v>543</v>
      </c>
      <c r="M339" s="128">
        <v>7</v>
      </c>
      <c r="N339" s="128">
        <f t="shared" si="5"/>
        <v>-1</v>
      </c>
      <c r="O339" s="130" t="s">
        <v>134</v>
      </c>
      <c r="P339" s="130" t="s">
        <v>134</v>
      </c>
      <c r="Q339" s="130" t="s">
        <v>543</v>
      </c>
      <c r="R339" s="128">
        <v>7</v>
      </c>
      <c r="S339" s="130" t="s">
        <v>953</v>
      </c>
    </row>
    <row r="340" spans="1:19" x14ac:dyDescent="0.25">
      <c r="A340" s="130" t="s">
        <v>958</v>
      </c>
      <c r="B340" s="130" t="s">
        <v>959</v>
      </c>
      <c r="C340" s="130" t="s">
        <v>134</v>
      </c>
      <c r="D340" s="130" t="s">
        <v>134</v>
      </c>
      <c r="E340" s="130" t="s">
        <v>951</v>
      </c>
      <c r="F340" s="130" t="s">
        <v>952</v>
      </c>
      <c r="G340" s="130" t="s">
        <v>137</v>
      </c>
      <c r="I340" s="130" t="s">
        <v>416</v>
      </c>
      <c r="J340" s="130" t="s">
        <v>159</v>
      </c>
      <c r="K340" s="130" t="s">
        <v>951</v>
      </c>
      <c r="L340" s="130" t="s">
        <v>543</v>
      </c>
      <c r="M340" s="128">
        <v>7</v>
      </c>
      <c r="N340" s="128">
        <f t="shared" si="5"/>
        <v>-1</v>
      </c>
      <c r="O340" s="130" t="s">
        <v>134</v>
      </c>
      <c r="P340" s="130" t="s">
        <v>134</v>
      </c>
      <c r="Q340" s="130" t="s">
        <v>543</v>
      </c>
      <c r="R340" s="128">
        <v>7</v>
      </c>
      <c r="S340" s="130" t="s">
        <v>953</v>
      </c>
    </row>
    <row r="341" spans="1:19" x14ac:dyDescent="0.25">
      <c r="A341" s="130" t="s">
        <v>960</v>
      </c>
      <c r="B341" s="130" t="s">
        <v>961</v>
      </c>
      <c r="C341" s="130" t="s">
        <v>134</v>
      </c>
      <c r="D341" s="130" t="s">
        <v>134</v>
      </c>
      <c r="E341" s="130" t="s">
        <v>951</v>
      </c>
      <c r="F341" s="130" t="s">
        <v>952</v>
      </c>
      <c r="G341" s="130" t="s">
        <v>137</v>
      </c>
      <c r="I341" s="130" t="s">
        <v>416</v>
      </c>
      <c r="J341" s="130" t="s">
        <v>159</v>
      </c>
      <c r="K341" s="130" t="s">
        <v>951</v>
      </c>
      <c r="L341" s="130" t="s">
        <v>543</v>
      </c>
      <c r="M341" s="128">
        <v>7</v>
      </c>
      <c r="N341" s="128">
        <f t="shared" si="5"/>
        <v>-1</v>
      </c>
      <c r="O341" s="130" t="s">
        <v>134</v>
      </c>
      <c r="P341" s="130" t="s">
        <v>134</v>
      </c>
      <c r="Q341" s="130" t="s">
        <v>543</v>
      </c>
      <c r="R341" s="128">
        <v>7</v>
      </c>
      <c r="S341" s="130" t="s">
        <v>953</v>
      </c>
    </row>
    <row r="342" spans="1:19" x14ac:dyDescent="0.25">
      <c r="A342" s="130" t="s">
        <v>962</v>
      </c>
      <c r="B342" s="130" t="s">
        <v>963</v>
      </c>
      <c r="C342" s="130" t="s">
        <v>134</v>
      </c>
      <c r="D342" s="130" t="s">
        <v>134</v>
      </c>
      <c r="E342" s="130" t="s">
        <v>951</v>
      </c>
      <c r="F342" s="130" t="s">
        <v>952</v>
      </c>
      <c r="G342" s="130" t="s">
        <v>137</v>
      </c>
      <c r="I342" s="130" t="s">
        <v>416</v>
      </c>
      <c r="J342" s="130" t="s">
        <v>159</v>
      </c>
      <c r="K342" s="130" t="s">
        <v>951</v>
      </c>
      <c r="L342" s="130" t="s">
        <v>543</v>
      </c>
      <c r="M342" s="128">
        <v>7</v>
      </c>
      <c r="N342" s="128">
        <f t="shared" si="5"/>
        <v>-1</v>
      </c>
      <c r="O342" s="130" t="s">
        <v>134</v>
      </c>
      <c r="P342" s="130" t="s">
        <v>134</v>
      </c>
      <c r="Q342" s="130" t="s">
        <v>543</v>
      </c>
      <c r="R342" s="128">
        <v>7</v>
      </c>
      <c r="S342" s="130" t="s">
        <v>953</v>
      </c>
    </row>
    <row r="343" spans="1:19" x14ac:dyDescent="0.25">
      <c r="A343" s="130" t="s">
        <v>964</v>
      </c>
      <c r="B343" s="130" t="s">
        <v>965</v>
      </c>
      <c r="C343" s="130" t="s">
        <v>134</v>
      </c>
      <c r="D343" s="130" t="s">
        <v>134</v>
      </c>
      <c r="E343" s="130" t="s">
        <v>951</v>
      </c>
      <c r="F343" s="130" t="s">
        <v>952</v>
      </c>
      <c r="G343" s="130" t="s">
        <v>137</v>
      </c>
      <c r="I343" s="130" t="s">
        <v>416</v>
      </c>
      <c r="J343" s="130" t="s">
        <v>159</v>
      </c>
      <c r="K343" s="130" t="s">
        <v>951</v>
      </c>
      <c r="L343" s="130" t="s">
        <v>543</v>
      </c>
      <c r="M343" s="128">
        <v>7</v>
      </c>
      <c r="N343" s="128">
        <f t="shared" si="5"/>
        <v>-1</v>
      </c>
      <c r="O343" s="130" t="s">
        <v>134</v>
      </c>
      <c r="P343" s="130" t="s">
        <v>134</v>
      </c>
      <c r="Q343" s="130" t="s">
        <v>543</v>
      </c>
      <c r="R343" s="128">
        <v>7</v>
      </c>
      <c r="S343" s="130" t="s">
        <v>953</v>
      </c>
    </row>
    <row r="344" spans="1:19" x14ac:dyDescent="0.25">
      <c r="A344" s="130" t="s">
        <v>966</v>
      </c>
      <c r="B344" s="130" t="s">
        <v>967</v>
      </c>
      <c r="C344" s="130" t="s">
        <v>134</v>
      </c>
      <c r="D344" s="130" t="s">
        <v>134</v>
      </c>
      <c r="E344" s="130" t="s">
        <v>966</v>
      </c>
      <c r="F344" s="130" t="s">
        <v>968</v>
      </c>
      <c r="G344" s="130" t="s">
        <v>137</v>
      </c>
      <c r="I344" s="130" t="s">
        <v>416</v>
      </c>
      <c r="J344" s="130" t="s">
        <v>159</v>
      </c>
      <c r="K344" s="130" t="s">
        <v>966</v>
      </c>
      <c r="L344" s="130" t="s">
        <v>543</v>
      </c>
      <c r="M344" s="128">
        <v>7</v>
      </c>
      <c r="N344" s="128">
        <f t="shared" si="5"/>
        <v>-1</v>
      </c>
      <c r="O344" s="130" t="s">
        <v>159</v>
      </c>
      <c r="P344" s="130" t="s">
        <v>159</v>
      </c>
      <c r="Q344" s="130" t="s">
        <v>160</v>
      </c>
      <c r="R344" s="128">
        <v>0</v>
      </c>
      <c r="S344" s="130" t="s">
        <v>953</v>
      </c>
    </row>
    <row r="345" spans="1:19" x14ac:dyDescent="0.25">
      <c r="A345" s="130" t="s">
        <v>969</v>
      </c>
      <c r="B345" s="130" t="s">
        <v>970</v>
      </c>
      <c r="C345" s="130" t="s">
        <v>134</v>
      </c>
      <c r="D345" s="130" t="s">
        <v>134</v>
      </c>
      <c r="E345" s="130" t="s">
        <v>969</v>
      </c>
      <c r="F345" s="130" t="s">
        <v>970</v>
      </c>
      <c r="G345" s="130" t="s">
        <v>137</v>
      </c>
      <c r="I345" s="130" t="s">
        <v>416</v>
      </c>
      <c r="J345" s="130" t="s">
        <v>159</v>
      </c>
      <c r="K345" s="130" t="s">
        <v>969</v>
      </c>
      <c r="L345" s="130" t="s">
        <v>543</v>
      </c>
      <c r="M345" s="128">
        <v>7</v>
      </c>
      <c r="N345" s="128">
        <f t="shared" si="5"/>
        <v>-1</v>
      </c>
      <c r="O345" s="130" t="s">
        <v>159</v>
      </c>
      <c r="P345" s="130" t="s">
        <v>159</v>
      </c>
      <c r="Q345" s="130" t="s">
        <v>160</v>
      </c>
      <c r="R345" s="128">
        <v>0</v>
      </c>
      <c r="S345" s="130" t="s">
        <v>953</v>
      </c>
    </row>
    <row r="346" spans="1:19" x14ac:dyDescent="0.25">
      <c r="A346" s="130" t="s">
        <v>971</v>
      </c>
      <c r="B346" s="130" t="s">
        <v>972</v>
      </c>
      <c r="C346" s="130" t="s">
        <v>134</v>
      </c>
      <c r="D346" s="130" t="s">
        <v>134</v>
      </c>
      <c r="E346" s="130" t="s">
        <v>973</v>
      </c>
      <c r="F346" s="130" t="s">
        <v>974</v>
      </c>
      <c r="G346" s="130" t="s">
        <v>137</v>
      </c>
      <c r="I346" s="130" t="s">
        <v>416</v>
      </c>
      <c r="J346" s="130" t="s">
        <v>159</v>
      </c>
      <c r="K346" s="130" t="s">
        <v>973</v>
      </c>
      <c r="L346" s="130" t="s">
        <v>543</v>
      </c>
      <c r="M346" s="128">
        <v>7</v>
      </c>
      <c r="N346" s="128">
        <f t="shared" si="5"/>
        <v>-1</v>
      </c>
      <c r="O346" s="130" t="s">
        <v>159</v>
      </c>
      <c r="P346" s="130" t="s">
        <v>159</v>
      </c>
      <c r="Q346" s="130" t="s">
        <v>160</v>
      </c>
      <c r="R346" s="128">
        <v>0</v>
      </c>
      <c r="S346" s="130" t="s">
        <v>953</v>
      </c>
    </row>
    <row r="347" spans="1:19" x14ac:dyDescent="0.25">
      <c r="A347" s="130" t="s">
        <v>975</v>
      </c>
      <c r="B347" s="130" t="s">
        <v>976</v>
      </c>
      <c r="C347" s="130" t="s">
        <v>134</v>
      </c>
      <c r="D347" s="130" t="s">
        <v>134</v>
      </c>
      <c r="E347" s="130" t="s">
        <v>973</v>
      </c>
      <c r="F347" s="130" t="s">
        <v>974</v>
      </c>
      <c r="G347" s="130" t="s">
        <v>137</v>
      </c>
      <c r="I347" s="130" t="s">
        <v>416</v>
      </c>
      <c r="J347" s="130" t="s">
        <v>159</v>
      </c>
      <c r="K347" s="130" t="s">
        <v>973</v>
      </c>
      <c r="L347" s="130" t="s">
        <v>543</v>
      </c>
      <c r="M347" s="128">
        <v>7</v>
      </c>
      <c r="N347" s="128">
        <f t="shared" si="5"/>
        <v>-1</v>
      </c>
      <c r="O347" s="130" t="s">
        <v>159</v>
      </c>
      <c r="P347" s="130" t="s">
        <v>159</v>
      </c>
      <c r="Q347" s="130" t="s">
        <v>160</v>
      </c>
      <c r="R347" s="128">
        <v>0</v>
      </c>
      <c r="S347" s="130" t="s">
        <v>953</v>
      </c>
    </row>
    <row r="348" spans="1:19" x14ac:dyDescent="0.25">
      <c r="A348" s="130" t="s">
        <v>977</v>
      </c>
      <c r="B348" s="130" t="s">
        <v>978</v>
      </c>
      <c r="C348" s="130" t="s">
        <v>134</v>
      </c>
      <c r="D348" s="130" t="s">
        <v>134</v>
      </c>
      <c r="E348" s="130" t="s">
        <v>973</v>
      </c>
      <c r="F348" s="130" t="s">
        <v>974</v>
      </c>
      <c r="G348" s="130" t="s">
        <v>137</v>
      </c>
      <c r="I348" s="130" t="s">
        <v>416</v>
      </c>
      <c r="J348" s="130" t="s">
        <v>159</v>
      </c>
      <c r="K348" s="130" t="s">
        <v>973</v>
      </c>
      <c r="L348" s="130" t="s">
        <v>543</v>
      </c>
      <c r="M348" s="128">
        <v>7</v>
      </c>
      <c r="N348" s="128">
        <f t="shared" si="5"/>
        <v>-1</v>
      </c>
      <c r="O348" s="130" t="s">
        <v>159</v>
      </c>
      <c r="P348" s="130" t="s">
        <v>159</v>
      </c>
      <c r="Q348" s="130" t="s">
        <v>160</v>
      </c>
      <c r="R348" s="128">
        <v>0</v>
      </c>
      <c r="S348" s="130" t="s">
        <v>953</v>
      </c>
    </row>
    <row r="349" spans="1:19" x14ac:dyDescent="0.25">
      <c r="A349" s="130" t="s">
        <v>979</v>
      </c>
      <c r="B349" s="130" t="s">
        <v>980</v>
      </c>
      <c r="C349" s="130" t="s">
        <v>134</v>
      </c>
      <c r="D349" s="130" t="s">
        <v>134</v>
      </c>
      <c r="E349" s="130" t="s">
        <v>973</v>
      </c>
      <c r="F349" s="130" t="s">
        <v>974</v>
      </c>
      <c r="G349" s="130" t="s">
        <v>137</v>
      </c>
      <c r="I349" s="130" t="s">
        <v>416</v>
      </c>
      <c r="J349" s="130" t="s">
        <v>159</v>
      </c>
      <c r="K349" s="130" t="s">
        <v>973</v>
      </c>
      <c r="L349" s="130" t="s">
        <v>543</v>
      </c>
      <c r="M349" s="128">
        <v>7</v>
      </c>
      <c r="N349" s="128">
        <f t="shared" si="5"/>
        <v>-1</v>
      </c>
      <c r="O349" s="130" t="s">
        <v>159</v>
      </c>
      <c r="P349" s="130" t="s">
        <v>159</v>
      </c>
      <c r="Q349" s="130" t="s">
        <v>160</v>
      </c>
      <c r="R349" s="128">
        <v>0</v>
      </c>
      <c r="S349" s="130" t="s">
        <v>953</v>
      </c>
    </row>
    <row r="350" spans="1:19" x14ac:dyDescent="0.25">
      <c r="A350" s="130" t="s">
        <v>981</v>
      </c>
      <c r="B350" s="130" t="s">
        <v>982</v>
      </c>
      <c r="C350" s="130" t="s">
        <v>134</v>
      </c>
      <c r="D350" s="130" t="s">
        <v>134</v>
      </c>
      <c r="E350" s="130" t="s">
        <v>973</v>
      </c>
      <c r="F350" s="130" t="s">
        <v>974</v>
      </c>
      <c r="G350" s="130" t="s">
        <v>137</v>
      </c>
      <c r="I350" s="130" t="s">
        <v>416</v>
      </c>
      <c r="J350" s="130" t="s">
        <v>159</v>
      </c>
      <c r="K350" s="130" t="s">
        <v>973</v>
      </c>
      <c r="L350" s="130" t="s">
        <v>543</v>
      </c>
      <c r="M350" s="128">
        <v>7</v>
      </c>
      <c r="N350" s="128">
        <f t="shared" si="5"/>
        <v>-1</v>
      </c>
      <c r="O350" s="130" t="s">
        <v>159</v>
      </c>
      <c r="P350" s="130" t="s">
        <v>159</v>
      </c>
      <c r="Q350" s="130" t="s">
        <v>160</v>
      </c>
      <c r="R350" s="128">
        <v>0</v>
      </c>
      <c r="S350" s="130" t="s">
        <v>953</v>
      </c>
    </row>
    <row r="351" spans="1:19" x14ac:dyDescent="0.25">
      <c r="A351" s="130" t="s">
        <v>983</v>
      </c>
      <c r="B351" s="130" t="s">
        <v>984</v>
      </c>
      <c r="C351" s="130" t="s">
        <v>134</v>
      </c>
      <c r="D351" s="130" t="s">
        <v>134</v>
      </c>
      <c r="E351" s="130" t="s">
        <v>985</v>
      </c>
      <c r="F351" s="130" t="s">
        <v>986</v>
      </c>
      <c r="G351" s="130" t="s">
        <v>137</v>
      </c>
      <c r="I351" s="130" t="s">
        <v>416</v>
      </c>
      <c r="J351" s="130" t="s">
        <v>159</v>
      </c>
      <c r="K351" s="130" t="s">
        <v>985</v>
      </c>
      <c r="L351" s="130" t="s">
        <v>543</v>
      </c>
      <c r="M351" s="128">
        <v>7</v>
      </c>
      <c r="N351" s="128">
        <f t="shared" si="5"/>
        <v>-1</v>
      </c>
      <c r="O351" s="130" t="s">
        <v>159</v>
      </c>
      <c r="P351" s="130" t="s">
        <v>159</v>
      </c>
      <c r="Q351" s="130" t="s">
        <v>160</v>
      </c>
      <c r="R351" s="128">
        <v>0</v>
      </c>
      <c r="S351" s="130" t="s">
        <v>953</v>
      </c>
    </row>
    <row r="352" spans="1:19" x14ac:dyDescent="0.25">
      <c r="A352" s="130" t="s">
        <v>987</v>
      </c>
      <c r="B352" s="130" t="s">
        <v>988</v>
      </c>
      <c r="C352" s="130" t="s">
        <v>134</v>
      </c>
      <c r="D352" s="130" t="s">
        <v>134</v>
      </c>
      <c r="E352" s="130" t="s">
        <v>989</v>
      </c>
      <c r="F352" s="130" t="s">
        <v>990</v>
      </c>
      <c r="G352" s="130" t="s">
        <v>137</v>
      </c>
      <c r="I352" s="130" t="s">
        <v>416</v>
      </c>
      <c r="J352" s="130" t="s">
        <v>159</v>
      </c>
      <c r="K352" s="130" t="s">
        <v>989</v>
      </c>
      <c r="L352" s="130" t="s">
        <v>543</v>
      </c>
      <c r="M352" s="128">
        <v>7</v>
      </c>
      <c r="N352" s="128">
        <f t="shared" si="5"/>
        <v>-1</v>
      </c>
      <c r="O352" s="130" t="s">
        <v>159</v>
      </c>
      <c r="P352" s="130" t="s">
        <v>159</v>
      </c>
      <c r="Q352" s="130" t="s">
        <v>160</v>
      </c>
      <c r="R352" s="128">
        <v>0</v>
      </c>
      <c r="S352" s="130" t="s">
        <v>953</v>
      </c>
    </row>
    <row r="353" spans="1:19" x14ac:dyDescent="0.25">
      <c r="A353" s="130" t="s">
        <v>991</v>
      </c>
      <c r="B353" s="130" t="s">
        <v>992</v>
      </c>
      <c r="C353" s="130" t="s">
        <v>134</v>
      </c>
      <c r="D353" s="130" t="s">
        <v>134</v>
      </c>
      <c r="E353" s="130" t="s">
        <v>989</v>
      </c>
      <c r="F353" s="130" t="s">
        <v>990</v>
      </c>
      <c r="G353" s="130" t="s">
        <v>137</v>
      </c>
      <c r="I353" s="130" t="s">
        <v>416</v>
      </c>
      <c r="J353" s="130" t="s">
        <v>159</v>
      </c>
      <c r="K353" s="130" t="s">
        <v>989</v>
      </c>
      <c r="L353" s="130" t="s">
        <v>543</v>
      </c>
      <c r="M353" s="128">
        <v>7</v>
      </c>
      <c r="N353" s="128">
        <f t="shared" si="5"/>
        <v>-1</v>
      </c>
      <c r="O353" s="130" t="s">
        <v>159</v>
      </c>
      <c r="P353" s="130" t="s">
        <v>159</v>
      </c>
      <c r="Q353" s="130" t="s">
        <v>160</v>
      </c>
      <c r="R353" s="128">
        <v>0</v>
      </c>
      <c r="S353" s="130" t="s">
        <v>953</v>
      </c>
    </row>
    <row r="354" spans="1:19" x14ac:dyDescent="0.25">
      <c r="A354" s="130" t="s">
        <v>993</v>
      </c>
      <c r="B354" s="130" t="s">
        <v>994</v>
      </c>
      <c r="C354" s="130" t="s">
        <v>134</v>
      </c>
      <c r="D354" s="130" t="s">
        <v>134</v>
      </c>
      <c r="E354" s="130" t="s">
        <v>989</v>
      </c>
      <c r="F354" s="130" t="s">
        <v>990</v>
      </c>
      <c r="G354" s="130" t="s">
        <v>137</v>
      </c>
      <c r="I354" s="130" t="s">
        <v>416</v>
      </c>
      <c r="J354" s="130" t="s">
        <v>159</v>
      </c>
      <c r="K354" s="130" t="s">
        <v>989</v>
      </c>
      <c r="L354" s="130" t="s">
        <v>543</v>
      </c>
      <c r="M354" s="128">
        <v>7</v>
      </c>
      <c r="N354" s="128">
        <f t="shared" si="5"/>
        <v>-1</v>
      </c>
      <c r="O354" s="130" t="s">
        <v>159</v>
      </c>
      <c r="P354" s="130" t="s">
        <v>159</v>
      </c>
      <c r="Q354" s="130" t="s">
        <v>160</v>
      </c>
      <c r="R354" s="128">
        <v>0</v>
      </c>
      <c r="S354" s="130" t="s">
        <v>953</v>
      </c>
    </row>
    <row r="355" spans="1:19" x14ac:dyDescent="0.25">
      <c r="A355" s="130" t="s">
        <v>995</v>
      </c>
      <c r="B355" s="130" t="s">
        <v>996</v>
      </c>
      <c r="C355" s="130" t="s">
        <v>134</v>
      </c>
      <c r="D355" s="130" t="s">
        <v>134</v>
      </c>
      <c r="E355" s="130" t="s">
        <v>989</v>
      </c>
      <c r="F355" s="130" t="s">
        <v>990</v>
      </c>
      <c r="G355" s="130" t="s">
        <v>137</v>
      </c>
      <c r="I355" s="130" t="s">
        <v>416</v>
      </c>
      <c r="J355" s="130" t="s">
        <v>159</v>
      </c>
      <c r="K355" s="130" t="s">
        <v>989</v>
      </c>
      <c r="L355" s="130" t="s">
        <v>543</v>
      </c>
      <c r="M355" s="128">
        <v>7</v>
      </c>
      <c r="N355" s="128">
        <f t="shared" si="5"/>
        <v>-1</v>
      </c>
      <c r="O355" s="130" t="s">
        <v>159</v>
      </c>
      <c r="P355" s="130" t="s">
        <v>159</v>
      </c>
      <c r="Q355" s="130" t="s">
        <v>160</v>
      </c>
      <c r="R355" s="128">
        <v>0</v>
      </c>
      <c r="S355" s="130" t="s">
        <v>953</v>
      </c>
    </row>
    <row r="356" spans="1:19" x14ac:dyDescent="0.25">
      <c r="A356" s="130" t="s">
        <v>997</v>
      </c>
      <c r="B356" s="130" t="s">
        <v>998</v>
      </c>
      <c r="C356" s="130" t="s">
        <v>134</v>
      </c>
      <c r="D356" s="130" t="s">
        <v>134</v>
      </c>
      <c r="E356" s="130" t="s">
        <v>989</v>
      </c>
      <c r="F356" s="130" t="s">
        <v>990</v>
      </c>
      <c r="G356" s="130" t="s">
        <v>137</v>
      </c>
      <c r="I356" s="130" t="s">
        <v>416</v>
      </c>
      <c r="J356" s="130" t="s">
        <v>159</v>
      </c>
      <c r="K356" s="130" t="s">
        <v>989</v>
      </c>
      <c r="L356" s="130" t="s">
        <v>543</v>
      </c>
      <c r="M356" s="128">
        <v>7</v>
      </c>
      <c r="N356" s="128">
        <f t="shared" si="5"/>
        <v>-1</v>
      </c>
      <c r="O356" s="130" t="s">
        <v>159</v>
      </c>
      <c r="P356" s="130" t="s">
        <v>159</v>
      </c>
      <c r="Q356" s="130" t="s">
        <v>160</v>
      </c>
      <c r="R356" s="128">
        <v>0</v>
      </c>
      <c r="S356" s="130" t="s">
        <v>953</v>
      </c>
    </row>
    <row r="357" spans="1:19" x14ac:dyDescent="0.25">
      <c r="A357" s="130" t="s">
        <v>999</v>
      </c>
      <c r="B357" s="130" t="s">
        <v>1000</v>
      </c>
      <c r="C357" s="130" t="s">
        <v>134</v>
      </c>
      <c r="D357" s="130" t="s">
        <v>134</v>
      </c>
      <c r="E357" s="130" t="s">
        <v>989</v>
      </c>
      <c r="F357" s="130" t="s">
        <v>990</v>
      </c>
      <c r="G357" s="130" t="s">
        <v>137</v>
      </c>
      <c r="I357" s="130" t="s">
        <v>416</v>
      </c>
      <c r="J357" s="130" t="s">
        <v>159</v>
      </c>
      <c r="K357" s="130" t="s">
        <v>989</v>
      </c>
      <c r="L357" s="130" t="s">
        <v>543</v>
      </c>
      <c r="M357" s="128">
        <v>7</v>
      </c>
      <c r="N357" s="128">
        <f t="shared" si="5"/>
        <v>-1</v>
      </c>
      <c r="O357" s="130" t="s">
        <v>159</v>
      </c>
      <c r="P357" s="130" t="s">
        <v>159</v>
      </c>
      <c r="Q357" s="130" t="s">
        <v>160</v>
      </c>
      <c r="R357" s="128">
        <v>0</v>
      </c>
      <c r="S357" s="130" t="s">
        <v>953</v>
      </c>
    </row>
    <row r="358" spans="1:19" x14ac:dyDescent="0.25">
      <c r="A358" s="130" t="s">
        <v>1001</v>
      </c>
      <c r="B358" s="130" t="s">
        <v>1002</v>
      </c>
      <c r="C358" s="130" t="s">
        <v>134</v>
      </c>
      <c r="D358" s="130" t="s">
        <v>134</v>
      </c>
      <c r="E358" s="130" t="s">
        <v>989</v>
      </c>
      <c r="F358" s="130" t="s">
        <v>990</v>
      </c>
      <c r="G358" s="130" t="s">
        <v>137</v>
      </c>
      <c r="I358" s="130" t="s">
        <v>416</v>
      </c>
      <c r="J358" s="130" t="s">
        <v>159</v>
      </c>
      <c r="K358" s="130" t="s">
        <v>989</v>
      </c>
      <c r="L358" s="130" t="s">
        <v>543</v>
      </c>
      <c r="M358" s="128">
        <v>7</v>
      </c>
      <c r="N358" s="128">
        <f t="shared" si="5"/>
        <v>-1</v>
      </c>
      <c r="O358" s="130" t="s">
        <v>159</v>
      </c>
      <c r="P358" s="130" t="s">
        <v>159</v>
      </c>
      <c r="Q358" s="130" t="s">
        <v>160</v>
      </c>
      <c r="R358" s="128">
        <v>0</v>
      </c>
      <c r="S358" s="130" t="s">
        <v>953</v>
      </c>
    </row>
    <row r="359" spans="1:19" x14ac:dyDescent="0.25">
      <c r="A359" s="130" t="s">
        <v>1003</v>
      </c>
      <c r="B359" s="130" t="s">
        <v>1004</v>
      </c>
      <c r="C359" s="130" t="s">
        <v>134</v>
      </c>
      <c r="D359" s="130" t="s">
        <v>134</v>
      </c>
      <c r="E359" s="130" t="s">
        <v>989</v>
      </c>
      <c r="F359" s="130" t="s">
        <v>990</v>
      </c>
      <c r="G359" s="130" t="s">
        <v>137</v>
      </c>
      <c r="I359" s="130" t="s">
        <v>416</v>
      </c>
      <c r="J359" s="130" t="s">
        <v>159</v>
      </c>
      <c r="K359" s="130" t="s">
        <v>989</v>
      </c>
      <c r="L359" s="130" t="s">
        <v>543</v>
      </c>
      <c r="M359" s="128">
        <v>7</v>
      </c>
      <c r="N359" s="128">
        <f t="shared" si="5"/>
        <v>-1</v>
      </c>
      <c r="O359" s="130" t="s">
        <v>159</v>
      </c>
      <c r="P359" s="130" t="s">
        <v>159</v>
      </c>
      <c r="Q359" s="130" t="s">
        <v>160</v>
      </c>
      <c r="R359" s="128">
        <v>0</v>
      </c>
      <c r="S359" s="130" t="s">
        <v>953</v>
      </c>
    </row>
    <row r="360" spans="1:19" x14ac:dyDescent="0.25">
      <c r="A360" s="130" t="s">
        <v>1005</v>
      </c>
      <c r="B360" s="130" t="s">
        <v>1006</v>
      </c>
      <c r="C360" s="130" t="s">
        <v>134</v>
      </c>
      <c r="D360" s="130" t="s">
        <v>134</v>
      </c>
      <c r="E360" s="130" t="s">
        <v>1007</v>
      </c>
      <c r="F360" s="130" t="s">
        <v>1008</v>
      </c>
      <c r="G360" s="130" t="s">
        <v>137</v>
      </c>
      <c r="I360" s="130" t="s">
        <v>416</v>
      </c>
      <c r="J360" s="130" t="s">
        <v>159</v>
      </c>
      <c r="K360" s="130" t="s">
        <v>1007</v>
      </c>
      <c r="L360" s="130" t="s">
        <v>543</v>
      </c>
      <c r="M360" s="128">
        <v>8</v>
      </c>
      <c r="N360" s="128">
        <f t="shared" si="5"/>
        <v>0</v>
      </c>
      <c r="O360" s="130" t="s">
        <v>159</v>
      </c>
      <c r="P360" s="130" t="s">
        <v>159</v>
      </c>
      <c r="Q360" s="130" t="s">
        <v>160</v>
      </c>
      <c r="R360" s="128">
        <v>0</v>
      </c>
      <c r="S360" s="130" t="s">
        <v>1009</v>
      </c>
    </row>
    <row r="361" spans="1:19" x14ac:dyDescent="0.25">
      <c r="A361" s="130" t="s">
        <v>1010</v>
      </c>
      <c r="B361" s="130" t="s">
        <v>1011</v>
      </c>
      <c r="C361" s="130" t="s">
        <v>134</v>
      </c>
      <c r="D361" s="130" t="s">
        <v>134</v>
      </c>
      <c r="E361" s="130" t="s">
        <v>1007</v>
      </c>
      <c r="F361" s="130" t="s">
        <v>1008</v>
      </c>
      <c r="G361" s="130" t="s">
        <v>137</v>
      </c>
      <c r="I361" s="130" t="s">
        <v>416</v>
      </c>
      <c r="J361" s="130" t="s">
        <v>159</v>
      </c>
      <c r="K361" s="130" t="s">
        <v>1007</v>
      </c>
      <c r="L361" s="130" t="s">
        <v>543</v>
      </c>
      <c r="M361" s="128">
        <v>8</v>
      </c>
      <c r="N361" s="128">
        <f t="shared" si="5"/>
        <v>0</v>
      </c>
      <c r="O361" s="130" t="s">
        <v>159</v>
      </c>
      <c r="P361" s="130" t="s">
        <v>159</v>
      </c>
      <c r="Q361" s="130" t="s">
        <v>160</v>
      </c>
      <c r="R361" s="128">
        <v>0</v>
      </c>
      <c r="S361" s="130" t="s">
        <v>1009</v>
      </c>
    </row>
    <row r="362" spans="1:19" x14ac:dyDescent="0.25">
      <c r="A362" s="130" t="s">
        <v>1012</v>
      </c>
      <c r="B362" s="130" t="s">
        <v>1013</v>
      </c>
      <c r="C362" s="130" t="s">
        <v>134</v>
      </c>
      <c r="D362" s="130" t="s">
        <v>134</v>
      </c>
      <c r="E362" s="130" t="s">
        <v>1007</v>
      </c>
      <c r="F362" s="130" t="s">
        <v>1008</v>
      </c>
      <c r="G362" s="130" t="s">
        <v>137</v>
      </c>
      <c r="I362" s="130" t="s">
        <v>416</v>
      </c>
      <c r="J362" s="130" t="s">
        <v>159</v>
      </c>
      <c r="K362" s="130" t="s">
        <v>1007</v>
      </c>
      <c r="L362" s="130" t="s">
        <v>543</v>
      </c>
      <c r="M362" s="128">
        <v>8</v>
      </c>
      <c r="N362" s="128">
        <f t="shared" si="5"/>
        <v>0</v>
      </c>
      <c r="O362" s="130" t="s">
        <v>159</v>
      </c>
      <c r="P362" s="130" t="s">
        <v>159</v>
      </c>
      <c r="Q362" s="130" t="s">
        <v>160</v>
      </c>
      <c r="R362" s="128">
        <v>0</v>
      </c>
      <c r="S362" s="130" t="s">
        <v>1009</v>
      </c>
    </row>
    <row r="363" spans="1:19" x14ac:dyDescent="0.25">
      <c r="A363" s="130" t="s">
        <v>1014</v>
      </c>
      <c r="B363" s="130" t="s">
        <v>1015</v>
      </c>
      <c r="C363" s="130" t="s">
        <v>134</v>
      </c>
      <c r="D363" s="130" t="s">
        <v>134</v>
      </c>
      <c r="E363" s="130" t="s">
        <v>1007</v>
      </c>
      <c r="F363" s="130" t="s">
        <v>1008</v>
      </c>
      <c r="G363" s="130" t="s">
        <v>137</v>
      </c>
      <c r="I363" s="130" t="s">
        <v>416</v>
      </c>
      <c r="J363" s="130" t="s">
        <v>159</v>
      </c>
      <c r="K363" s="130" t="s">
        <v>1007</v>
      </c>
      <c r="L363" s="130" t="s">
        <v>543</v>
      </c>
      <c r="M363" s="128">
        <v>8</v>
      </c>
      <c r="N363" s="128">
        <f t="shared" si="5"/>
        <v>0</v>
      </c>
      <c r="O363" s="130" t="s">
        <v>159</v>
      </c>
      <c r="P363" s="130" t="s">
        <v>159</v>
      </c>
      <c r="Q363" s="130" t="s">
        <v>160</v>
      </c>
      <c r="R363" s="128">
        <v>0</v>
      </c>
      <c r="S363" s="130" t="s">
        <v>1009</v>
      </c>
    </row>
    <row r="364" spans="1:19" x14ac:dyDescent="0.25">
      <c r="A364" s="130" t="s">
        <v>1016</v>
      </c>
      <c r="B364" s="130" t="s">
        <v>1017</v>
      </c>
      <c r="C364" s="130" t="s">
        <v>134</v>
      </c>
      <c r="D364" s="130" t="s">
        <v>134</v>
      </c>
      <c r="E364" s="130" t="s">
        <v>1007</v>
      </c>
      <c r="F364" s="130" t="s">
        <v>1008</v>
      </c>
      <c r="G364" s="130" t="s">
        <v>137</v>
      </c>
      <c r="I364" s="130" t="s">
        <v>416</v>
      </c>
      <c r="J364" s="130" t="s">
        <v>159</v>
      </c>
      <c r="K364" s="130" t="s">
        <v>1007</v>
      </c>
      <c r="L364" s="130" t="s">
        <v>543</v>
      </c>
      <c r="M364" s="128">
        <v>8</v>
      </c>
      <c r="N364" s="128">
        <f t="shared" si="5"/>
        <v>0</v>
      </c>
      <c r="O364" s="130" t="s">
        <v>159</v>
      </c>
      <c r="P364" s="130" t="s">
        <v>159</v>
      </c>
      <c r="Q364" s="130" t="s">
        <v>160</v>
      </c>
      <c r="R364" s="128">
        <v>0</v>
      </c>
      <c r="S364" s="130" t="s">
        <v>1009</v>
      </c>
    </row>
    <row r="365" spans="1:19" x14ac:dyDescent="0.25">
      <c r="A365" s="130" t="s">
        <v>1018</v>
      </c>
      <c r="B365" s="130" t="s">
        <v>1019</v>
      </c>
      <c r="C365" s="130" t="s">
        <v>1020</v>
      </c>
      <c r="D365" s="130" t="s">
        <v>1020</v>
      </c>
      <c r="E365" s="130" t="s">
        <v>1021</v>
      </c>
      <c r="F365" s="130" t="s">
        <v>1022</v>
      </c>
      <c r="G365" s="130" t="s">
        <v>137</v>
      </c>
      <c r="I365" s="130" t="s">
        <v>416</v>
      </c>
      <c r="J365" s="130" t="s">
        <v>159</v>
      </c>
      <c r="K365" s="130" t="s">
        <v>1021</v>
      </c>
      <c r="L365" s="130" t="s">
        <v>160</v>
      </c>
      <c r="M365" s="128">
        <v>0</v>
      </c>
      <c r="N365" s="128">
        <f t="shared" si="5"/>
        <v>0</v>
      </c>
      <c r="O365" s="130" t="s">
        <v>1020</v>
      </c>
      <c r="P365" s="130" t="s">
        <v>1020</v>
      </c>
      <c r="Q365" s="130" t="s">
        <v>160</v>
      </c>
      <c r="R365" s="128">
        <v>0</v>
      </c>
      <c r="S365" s="130" t="s">
        <v>1023</v>
      </c>
    </row>
    <row r="366" spans="1:19" x14ac:dyDescent="0.25">
      <c r="A366" s="130" t="s">
        <v>1024</v>
      </c>
      <c r="B366" s="130" t="s">
        <v>1025</v>
      </c>
      <c r="C366" s="130" t="s">
        <v>1020</v>
      </c>
      <c r="D366" s="130" t="s">
        <v>1020</v>
      </c>
      <c r="E366" s="130" t="s">
        <v>1021</v>
      </c>
      <c r="F366" s="130" t="s">
        <v>1022</v>
      </c>
      <c r="G366" s="130" t="s">
        <v>137</v>
      </c>
      <c r="I366" s="130" t="s">
        <v>416</v>
      </c>
      <c r="J366" s="130" t="s">
        <v>159</v>
      </c>
      <c r="K366" s="130" t="s">
        <v>1021</v>
      </c>
      <c r="L366" s="130" t="s">
        <v>160</v>
      </c>
      <c r="M366" s="128">
        <v>0</v>
      </c>
      <c r="N366" s="128">
        <f t="shared" si="5"/>
        <v>0</v>
      </c>
      <c r="O366" s="130" t="s">
        <v>1020</v>
      </c>
      <c r="P366" s="130" t="s">
        <v>1020</v>
      </c>
      <c r="Q366" s="130" t="s">
        <v>160</v>
      </c>
      <c r="R366" s="128">
        <v>0</v>
      </c>
      <c r="S366" s="130" t="s">
        <v>1023</v>
      </c>
    </row>
    <row r="367" spans="1:19" x14ac:dyDescent="0.25">
      <c r="A367" s="130" t="s">
        <v>1026</v>
      </c>
      <c r="B367" s="130" t="s">
        <v>1027</v>
      </c>
      <c r="C367" s="130" t="s">
        <v>1020</v>
      </c>
      <c r="D367" s="130" t="s">
        <v>1020</v>
      </c>
      <c r="E367" s="130" t="s">
        <v>1021</v>
      </c>
      <c r="F367" s="130" t="s">
        <v>1022</v>
      </c>
      <c r="G367" s="130" t="s">
        <v>137</v>
      </c>
      <c r="I367" s="130" t="s">
        <v>416</v>
      </c>
      <c r="J367" s="130" t="s">
        <v>159</v>
      </c>
      <c r="K367" s="130" t="s">
        <v>1021</v>
      </c>
      <c r="L367" s="130" t="s">
        <v>160</v>
      </c>
      <c r="M367" s="128">
        <v>0</v>
      </c>
      <c r="N367" s="128">
        <f t="shared" si="5"/>
        <v>0</v>
      </c>
      <c r="O367" s="130" t="s">
        <v>1020</v>
      </c>
      <c r="P367" s="130" t="s">
        <v>1020</v>
      </c>
      <c r="Q367" s="130" t="s">
        <v>160</v>
      </c>
      <c r="R367" s="128">
        <v>0</v>
      </c>
      <c r="S367" s="130" t="s">
        <v>1023</v>
      </c>
    </row>
    <row r="368" spans="1:19" x14ac:dyDescent="0.25">
      <c r="A368" s="130" t="s">
        <v>1028</v>
      </c>
      <c r="B368" s="130" t="s">
        <v>1029</v>
      </c>
      <c r="C368" s="130" t="s">
        <v>134</v>
      </c>
      <c r="D368" s="130" t="s">
        <v>134</v>
      </c>
      <c r="E368" s="130" t="s">
        <v>1030</v>
      </c>
      <c r="F368" s="130" t="s">
        <v>1031</v>
      </c>
      <c r="G368" s="130" t="s">
        <v>137</v>
      </c>
      <c r="I368" s="130" t="s">
        <v>416</v>
      </c>
      <c r="J368" s="130" t="s">
        <v>159</v>
      </c>
      <c r="K368" s="130" t="s">
        <v>1030</v>
      </c>
      <c r="L368" s="130" t="s">
        <v>543</v>
      </c>
      <c r="M368" s="128">
        <v>8</v>
      </c>
      <c r="N368" s="128">
        <f t="shared" si="5"/>
        <v>0</v>
      </c>
      <c r="O368" s="130" t="s">
        <v>159</v>
      </c>
      <c r="P368" s="130" t="s">
        <v>159</v>
      </c>
      <c r="Q368" s="130" t="s">
        <v>160</v>
      </c>
      <c r="R368" s="128">
        <v>0</v>
      </c>
      <c r="S368" s="130" t="s">
        <v>1009</v>
      </c>
    </row>
    <row r="369" spans="1:19" x14ac:dyDescent="0.25">
      <c r="A369" s="130" t="s">
        <v>1032</v>
      </c>
      <c r="B369" s="130" t="s">
        <v>1033</v>
      </c>
      <c r="C369" s="130" t="s">
        <v>134</v>
      </c>
      <c r="D369" s="130" t="s">
        <v>134</v>
      </c>
      <c r="E369" s="130" t="s">
        <v>1030</v>
      </c>
      <c r="F369" s="130" t="s">
        <v>1031</v>
      </c>
      <c r="G369" s="130" t="s">
        <v>137</v>
      </c>
      <c r="I369" s="130" t="s">
        <v>416</v>
      </c>
      <c r="J369" s="130" t="s">
        <v>159</v>
      </c>
      <c r="K369" s="130" t="s">
        <v>1030</v>
      </c>
      <c r="L369" s="130" t="s">
        <v>543</v>
      </c>
      <c r="M369" s="128">
        <v>8</v>
      </c>
      <c r="N369" s="128">
        <f t="shared" si="5"/>
        <v>0</v>
      </c>
      <c r="O369" s="130" t="s">
        <v>159</v>
      </c>
      <c r="P369" s="130" t="s">
        <v>159</v>
      </c>
      <c r="Q369" s="130" t="s">
        <v>160</v>
      </c>
      <c r="R369" s="128">
        <v>0</v>
      </c>
      <c r="S369" s="130" t="s">
        <v>1009</v>
      </c>
    </row>
    <row r="370" spans="1:19" x14ac:dyDescent="0.25">
      <c r="A370" s="130" t="s">
        <v>1034</v>
      </c>
      <c r="B370" s="130" t="s">
        <v>1035</v>
      </c>
      <c r="C370" s="130" t="s">
        <v>134</v>
      </c>
      <c r="D370" s="130" t="s">
        <v>134</v>
      </c>
      <c r="E370" s="130" t="s">
        <v>1036</v>
      </c>
      <c r="F370" s="130" t="s">
        <v>1037</v>
      </c>
      <c r="G370" s="130" t="s">
        <v>137</v>
      </c>
      <c r="I370" s="130" t="s">
        <v>416</v>
      </c>
      <c r="J370" s="130" t="s">
        <v>159</v>
      </c>
      <c r="K370" s="130" t="s">
        <v>1036</v>
      </c>
      <c r="L370" s="130" t="s">
        <v>543</v>
      </c>
      <c r="M370" s="128">
        <v>8</v>
      </c>
      <c r="N370" s="128">
        <f t="shared" si="5"/>
        <v>0</v>
      </c>
      <c r="O370" s="130" t="s">
        <v>159</v>
      </c>
      <c r="P370" s="130" t="s">
        <v>159</v>
      </c>
      <c r="Q370" s="130" t="s">
        <v>160</v>
      </c>
      <c r="R370" s="128">
        <v>0</v>
      </c>
      <c r="S370" s="130" t="s">
        <v>1009</v>
      </c>
    </row>
    <row r="371" spans="1:19" x14ac:dyDescent="0.25">
      <c r="A371" s="130" t="s">
        <v>1038</v>
      </c>
      <c r="B371" s="130" t="s">
        <v>1039</v>
      </c>
      <c r="C371" s="130" t="s">
        <v>134</v>
      </c>
      <c r="D371" s="130" t="s">
        <v>134</v>
      </c>
      <c r="E371" s="130" t="s">
        <v>1036</v>
      </c>
      <c r="F371" s="130" t="s">
        <v>1037</v>
      </c>
      <c r="G371" s="130" t="s">
        <v>137</v>
      </c>
      <c r="I371" s="130" t="s">
        <v>416</v>
      </c>
      <c r="J371" s="130" t="s">
        <v>159</v>
      </c>
      <c r="K371" s="130" t="s">
        <v>1036</v>
      </c>
      <c r="L371" s="130" t="s">
        <v>543</v>
      </c>
      <c r="M371" s="128">
        <v>8</v>
      </c>
      <c r="N371" s="128">
        <f t="shared" si="5"/>
        <v>0</v>
      </c>
      <c r="O371" s="130" t="s">
        <v>159</v>
      </c>
      <c r="P371" s="130" t="s">
        <v>159</v>
      </c>
      <c r="Q371" s="130" t="s">
        <v>160</v>
      </c>
      <c r="R371" s="128">
        <v>0</v>
      </c>
      <c r="S371" s="130" t="s">
        <v>1009</v>
      </c>
    </row>
    <row r="372" spans="1:19" x14ac:dyDescent="0.25">
      <c r="A372" s="130" t="s">
        <v>1040</v>
      </c>
      <c r="B372" s="130" t="s">
        <v>1041</v>
      </c>
      <c r="C372" s="130" t="s">
        <v>134</v>
      </c>
      <c r="D372" s="130" t="s">
        <v>134</v>
      </c>
      <c r="E372" s="130" t="s">
        <v>1036</v>
      </c>
      <c r="F372" s="130" t="s">
        <v>1037</v>
      </c>
      <c r="G372" s="130" t="s">
        <v>137</v>
      </c>
      <c r="I372" s="130" t="s">
        <v>416</v>
      </c>
      <c r="J372" s="130" t="s">
        <v>159</v>
      </c>
      <c r="K372" s="130" t="s">
        <v>1036</v>
      </c>
      <c r="L372" s="130" t="s">
        <v>543</v>
      </c>
      <c r="M372" s="128">
        <v>8</v>
      </c>
      <c r="N372" s="128">
        <f t="shared" si="5"/>
        <v>0</v>
      </c>
      <c r="O372" s="130" t="s">
        <v>159</v>
      </c>
      <c r="P372" s="130" t="s">
        <v>159</v>
      </c>
      <c r="Q372" s="130" t="s">
        <v>160</v>
      </c>
      <c r="R372" s="128">
        <v>0</v>
      </c>
      <c r="S372" s="130" t="s">
        <v>1009</v>
      </c>
    </row>
    <row r="373" spans="1:19" x14ac:dyDescent="0.25">
      <c r="A373" s="130" t="s">
        <v>1042</v>
      </c>
      <c r="B373" s="130" t="s">
        <v>1043</v>
      </c>
      <c r="C373" s="130" t="s">
        <v>134</v>
      </c>
      <c r="D373" s="130" t="s">
        <v>134</v>
      </c>
      <c r="E373" s="130" t="s">
        <v>1036</v>
      </c>
      <c r="F373" s="130" t="s">
        <v>1037</v>
      </c>
      <c r="G373" s="130" t="s">
        <v>137</v>
      </c>
      <c r="I373" s="130" t="s">
        <v>416</v>
      </c>
      <c r="J373" s="130" t="s">
        <v>159</v>
      </c>
      <c r="K373" s="130" t="s">
        <v>1036</v>
      </c>
      <c r="L373" s="130" t="s">
        <v>543</v>
      </c>
      <c r="M373" s="128">
        <v>8</v>
      </c>
      <c r="N373" s="128">
        <f t="shared" si="5"/>
        <v>0</v>
      </c>
      <c r="O373" s="130" t="s">
        <v>159</v>
      </c>
      <c r="P373" s="130" t="s">
        <v>159</v>
      </c>
      <c r="Q373" s="130" t="s">
        <v>160</v>
      </c>
      <c r="R373" s="128">
        <v>0</v>
      </c>
      <c r="S373" s="130" t="s">
        <v>1009</v>
      </c>
    </row>
    <row r="374" spans="1:19" x14ac:dyDescent="0.25">
      <c r="A374" s="130" t="s">
        <v>1044</v>
      </c>
      <c r="B374" s="130" t="s">
        <v>1045</v>
      </c>
      <c r="C374" s="130" t="s">
        <v>134</v>
      </c>
      <c r="D374" s="130" t="s">
        <v>134</v>
      </c>
      <c r="E374" s="130" t="s">
        <v>1046</v>
      </c>
      <c r="F374" s="130" t="s">
        <v>1047</v>
      </c>
      <c r="G374" s="130" t="s">
        <v>137</v>
      </c>
      <c r="I374" s="130" t="s">
        <v>416</v>
      </c>
      <c r="J374" s="130" t="s">
        <v>159</v>
      </c>
      <c r="K374" s="130" t="s">
        <v>1046</v>
      </c>
      <c r="L374" s="130" t="s">
        <v>543</v>
      </c>
      <c r="M374" s="128">
        <v>8</v>
      </c>
      <c r="N374" s="128">
        <f t="shared" si="5"/>
        <v>0</v>
      </c>
      <c r="O374" s="130" t="s">
        <v>159</v>
      </c>
      <c r="P374" s="130" t="s">
        <v>159</v>
      </c>
      <c r="Q374" s="130" t="s">
        <v>160</v>
      </c>
      <c r="R374" s="128">
        <v>0</v>
      </c>
      <c r="S374" s="130" t="s">
        <v>1009</v>
      </c>
    </row>
    <row r="375" spans="1:19" x14ac:dyDescent="0.25">
      <c r="A375" s="130" t="s">
        <v>1048</v>
      </c>
      <c r="B375" s="130" t="s">
        <v>1049</v>
      </c>
      <c r="C375" s="130" t="s">
        <v>134</v>
      </c>
      <c r="D375" s="130" t="s">
        <v>134</v>
      </c>
      <c r="E375" s="130" t="s">
        <v>1046</v>
      </c>
      <c r="F375" s="130" t="s">
        <v>1047</v>
      </c>
      <c r="G375" s="130" t="s">
        <v>137</v>
      </c>
      <c r="I375" s="130" t="s">
        <v>416</v>
      </c>
      <c r="J375" s="130" t="s">
        <v>159</v>
      </c>
      <c r="K375" s="130" t="s">
        <v>1046</v>
      </c>
      <c r="L375" s="130" t="s">
        <v>543</v>
      </c>
      <c r="M375" s="128">
        <v>8</v>
      </c>
      <c r="N375" s="128">
        <f t="shared" si="5"/>
        <v>0</v>
      </c>
      <c r="O375" s="130" t="s">
        <v>159</v>
      </c>
      <c r="P375" s="130" t="s">
        <v>159</v>
      </c>
      <c r="Q375" s="130" t="s">
        <v>160</v>
      </c>
      <c r="R375" s="128">
        <v>0</v>
      </c>
      <c r="S375" s="130" t="s">
        <v>1009</v>
      </c>
    </row>
    <row r="376" spans="1:19" x14ac:dyDescent="0.25">
      <c r="A376" s="130" t="s">
        <v>1050</v>
      </c>
      <c r="B376" s="130" t="s">
        <v>1051</v>
      </c>
      <c r="C376" s="130" t="s">
        <v>134</v>
      </c>
      <c r="D376" s="130" t="s">
        <v>134</v>
      </c>
      <c r="E376" s="130" t="s">
        <v>1046</v>
      </c>
      <c r="F376" s="130" t="s">
        <v>1047</v>
      </c>
      <c r="G376" s="130" t="s">
        <v>137</v>
      </c>
      <c r="I376" s="130" t="s">
        <v>416</v>
      </c>
      <c r="J376" s="130" t="s">
        <v>159</v>
      </c>
      <c r="K376" s="130" t="s">
        <v>1046</v>
      </c>
      <c r="L376" s="130" t="s">
        <v>543</v>
      </c>
      <c r="M376" s="128">
        <v>8</v>
      </c>
      <c r="N376" s="128">
        <f t="shared" si="5"/>
        <v>0</v>
      </c>
      <c r="O376" s="130" t="s">
        <v>159</v>
      </c>
      <c r="P376" s="130" t="s">
        <v>159</v>
      </c>
      <c r="Q376" s="130" t="s">
        <v>160</v>
      </c>
      <c r="R376" s="128">
        <v>0</v>
      </c>
      <c r="S376" s="130" t="s">
        <v>1009</v>
      </c>
    </row>
    <row r="377" spans="1:19" x14ac:dyDescent="0.25">
      <c r="A377" s="130" t="s">
        <v>1052</v>
      </c>
      <c r="B377" s="130" t="s">
        <v>1053</v>
      </c>
      <c r="C377" s="130" t="s">
        <v>134</v>
      </c>
      <c r="D377" s="130" t="s">
        <v>134</v>
      </c>
      <c r="E377" s="130" t="s">
        <v>1046</v>
      </c>
      <c r="F377" s="130" t="s">
        <v>1047</v>
      </c>
      <c r="G377" s="130" t="s">
        <v>137</v>
      </c>
      <c r="I377" s="130" t="s">
        <v>416</v>
      </c>
      <c r="J377" s="130" t="s">
        <v>159</v>
      </c>
      <c r="K377" s="130" t="s">
        <v>1046</v>
      </c>
      <c r="L377" s="130" t="s">
        <v>543</v>
      </c>
      <c r="M377" s="128">
        <v>8</v>
      </c>
      <c r="N377" s="128">
        <f t="shared" si="5"/>
        <v>0</v>
      </c>
      <c r="O377" s="130" t="s">
        <v>159</v>
      </c>
      <c r="P377" s="130" t="s">
        <v>159</v>
      </c>
      <c r="Q377" s="130" t="s">
        <v>160</v>
      </c>
      <c r="R377" s="128">
        <v>0</v>
      </c>
      <c r="S377" s="130" t="s">
        <v>1009</v>
      </c>
    </row>
    <row r="378" spans="1:19" x14ac:dyDescent="0.25">
      <c r="A378" s="130" t="s">
        <v>1054</v>
      </c>
      <c r="B378" s="130" t="s">
        <v>1055</v>
      </c>
      <c r="C378" s="130" t="s">
        <v>134</v>
      </c>
      <c r="D378" s="130" t="s">
        <v>134</v>
      </c>
      <c r="E378" s="130" t="s">
        <v>1056</v>
      </c>
      <c r="F378" s="130" t="s">
        <v>1057</v>
      </c>
      <c r="G378" s="130" t="s">
        <v>137</v>
      </c>
      <c r="I378" s="130" t="s">
        <v>416</v>
      </c>
      <c r="J378" s="130" t="s">
        <v>159</v>
      </c>
      <c r="K378" s="130" t="s">
        <v>1056</v>
      </c>
      <c r="L378" s="130" t="s">
        <v>543</v>
      </c>
      <c r="M378" s="128">
        <v>8</v>
      </c>
      <c r="N378" s="128">
        <f t="shared" si="5"/>
        <v>0</v>
      </c>
      <c r="O378" s="130" t="s">
        <v>159</v>
      </c>
      <c r="P378" s="130" t="s">
        <v>159</v>
      </c>
      <c r="Q378" s="130" t="s">
        <v>160</v>
      </c>
      <c r="R378" s="128">
        <v>0</v>
      </c>
      <c r="S378" s="130" t="s">
        <v>1009</v>
      </c>
    </row>
    <row r="379" spans="1:19" x14ac:dyDescent="0.25">
      <c r="A379" s="130" t="s">
        <v>1058</v>
      </c>
      <c r="B379" s="130" t="s">
        <v>1059</v>
      </c>
      <c r="C379" s="130" t="s">
        <v>134</v>
      </c>
      <c r="D379" s="130" t="s">
        <v>134</v>
      </c>
      <c r="E379" s="130" t="s">
        <v>1056</v>
      </c>
      <c r="F379" s="130" t="s">
        <v>1057</v>
      </c>
      <c r="G379" s="130" t="s">
        <v>137</v>
      </c>
      <c r="I379" s="130" t="s">
        <v>416</v>
      </c>
      <c r="J379" s="130" t="s">
        <v>159</v>
      </c>
      <c r="K379" s="130" t="s">
        <v>1056</v>
      </c>
      <c r="L379" s="130" t="s">
        <v>543</v>
      </c>
      <c r="M379" s="128">
        <v>8</v>
      </c>
      <c r="N379" s="128">
        <f t="shared" si="5"/>
        <v>0</v>
      </c>
      <c r="O379" s="130" t="s">
        <v>159</v>
      </c>
      <c r="P379" s="130" t="s">
        <v>159</v>
      </c>
      <c r="Q379" s="130" t="s">
        <v>160</v>
      </c>
      <c r="R379" s="128">
        <v>0</v>
      </c>
      <c r="S379" s="130" t="s">
        <v>1009</v>
      </c>
    </row>
    <row r="380" spans="1:19" x14ac:dyDescent="0.25">
      <c r="A380" s="130" t="s">
        <v>1060</v>
      </c>
      <c r="B380" s="130" t="s">
        <v>1061</v>
      </c>
      <c r="C380" s="130" t="s">
        <v>134</v>
      </c>
      <c r="D380" s="130" t="s">
        <v>134</v>
      </c>
      <c r="E380" s="130" t="s">
        <v>1056</v>
      </c>
      <c r="F380" s="130" t="s">
        <v>1057</v>
      </c>
      <c r="G380" s="130" t="s">
        <v>137</v>
      </c>
      <c r="I380" s="130" t="s">
        <v>416</v>
      </c>
      <c r="J380" s="130" t="s">
        <v>159</v>
      </c>
      <c r="K380" s="130" t="s">
        <v>1056</v>
      </c>
      <c r="L380" s="130" t="s">
        <v>543</v>
      </c>
      <c r="M380" s="128">
        <v>8</v>
      </c>
      <c r="N380" s="128">
        <f t="shared" si="5"/>
        <v>0</v>
      </c>
      <c r="O380" s="130" t="s">
        <v>159</v>
      </c>
      <c r="P380" s="130" t="s">
        <v>159</v>
      </c>
      <c r="Q380" s="130" t="s">
        <v>160</v>
      </c>
      <c r="R380" s="128">
        <v>0</v>
      </c>
      <c r="S380" s="130" t="s">
        <v>1009</v>
      </c>
    </row>
    <row r="381" spans="1:19" x14ac:dyDescent="0.25">
      <c r="A381" s="130" t="s">
        <v>1062</v>
      </c>
      <c r="B381" s="130" t="s">
        <v>1063</v>
      </c>
      <c r="C381" s="130" t="s">
        <v>134</v>
      </c>
      <c r="D381" s="130" t="s">
        <v>134</v>
      </c>
      <c r="E381" s="130" t="s">
        <v>1056</v>
      </c>
      <c r="F381" s="130" t="s">
        <v>1057</v>
      </c>
      <c r="G381" s="130" t="s">
        <v>137</v>
      </c>
      <c r="I381" s="130" t="s">
        <v>416</v>
      </c>
      <c r="J381" s="130" t="s">
        <v>159</v>
      </c>
      <c r="K381" s="130" t="s">
        <v>1056</v>
      </c>
      <c r="L381" s="130" t="s">
        <v>543</v>
      </c>
      <c r="M381" s="128">
        <v>8</v>
      </c>
      <c r="N381" s="128">
        <f t="shared" si="5"/>
        <v>0</v>
      </c>
      <c r="O381" s="130" t="s">
        <v>159</v>
      </c>
      <c r="P381" s="130" t="s">
        <v>159</v>
      </c>
      <c r="Q381" s="130" t="s">
        <v>160</v>
      </c>
      <c r="R381" s="128">
        <v>0</v>
      </c>
      <c r="S381" s="130" t="s">
        <v>1009</v>
      </c>
    </row>
    <row r="382" spans="1:19" x14ac:dyDescent="0.25">
      <c r="A382" s="130" t="s">
        <v>1064</v>
      </c>
      <c r="B382" s="130" t="s">
        <v>1065</v>
      </c>
      <c r="C382" s="130" t="s">
        <v>134</v>
      </c>
      <c r="D382" s="130" t="s">
        <v>134</v>
      </c>
      <c r="E382" s="130" t="s">
        <v>1056</v>
      </c>
      <c r="F382" s="130" t="s">
        <v>1057</v>
      </c>
      <c r="G382" s="130" t="s">
        <v>137</v>
      </c>
      <c r="I382" s="130" t="s">
        <v>416</v>
      </c>
      <c r="J382" s="130" t="s">
        <v>159</v>
      </c>
      <c r="K382" s="130" t="s">
        <v>1056</v>
      </c>
      <c r="L382" s="130" t="s">
        <v>543</v>
      </c>
      <c r="M382" s="128">
        <v>8</v>
      </c>
      <c r="N382" s="128">
        <f t="shared" si="5"/>
        <v>0</v>
      </c>
      <c r="O382" s="130" t="s">
        <v>159</v>
      </c>
      <c r="P382" s="130" t="s">
        <v>159</v>
      </c>
      <c r="Q382" s="130" t="s">
        <v>160</v>
      </c>
      <c r="R382" s="128">
        <v>0</v>
      </c>
      <c r="S382" s="130" t="s">
        <v>1009</v>
      </c>
    </row>
    <row r="383" spans="1:19" x14ac:dyDescent="0.25">
      <c r="A383" s="130" t="s">
        <v>1066</v>
      </c>
      <c r="B383" s="130" t="s">
        <v>1067</v>
      </c>
      <c r="C383" s="130" t="s">
        <v>134</v>
      </c>
      <c r="D383" s="130" t="s">
        <v>134</v>
      </c>
      <c r="E383" s="130" t="s">
        <v>1056</v>
      </c>
      <c r="F383" s="130" t="s">
        <v>1057</v>
      </c>
      <c r="G383" s="130" t="s">
        <v>137</v>
      </c>
      <c r="I383" s="130" t="s">
        <v>416</v>
      </c>
      <c r="J383" s="130" t="s">
        <v>159</v>
      </c>
      <c r="K383" s="130" t="s">
        <v>1056</v>
      </c>
      <c r="L383" s="130" t="s">
        <v>543</v>
      </c>
      <c r="M383" s="128">
        <v>8</v>
      </c>
      <c r="N383" s="128">
        <f t="shared" si="5"/>
        <v>0</v>
      </c>
      <c r="O383" s="130" t="s">
        <v>159</v>
      </c>
      <c r="P383" s="130" t="s">
        <v>159</v>
      </c>
      <c r="Q383" s="130" t="s">
        <v>160</v>
      </c>
      <c r="R383" s="128">
        <v>0</v>
      </c>
      <c r="S383" s="130" t="s">
        <v>1009</v>
      </c>
    </row>
    <row r="384" spans="1:19" x14ac:dyDescent="0.25">
      <c r="A384" s="130" t="s">
        <v>1068</v>
      </c>
      <c r="B384" s="130" t="s">
        <v>1069</v>
      </c>
      <c r="C384" s="130" t="s">
        <v>134</v>
      </c>
      <c r="D384" s="130" t="s">
        <v>134</v>
      </c>
      <c r="E384" s="130" t="s">
        <v>1056</v>
      </c>
      <c r="F384" s="130" t="s">
        <v>1057</v>
      </c>
      <c r="G384" s="130" t="s">
        <v>137</v>
      </c>
      <c r="I384" s="130" t="s">
        <v>416</v>
      </c>
      <c r="J384" s="130" t="s">
        <v>159</v>
      </c>
      <c r="K384" s="130" t="s">
        <v>1056</v>
      </c>
      <c r="L384" s="130" t="s">
        <v>543</v>
      </c>
      <c r="M384" s="128">
        <v>8</v>
      </c>
      <c r="N384" s="128">
        <f t="shared" si="5"/>
        <v>0</v>
      </c>
      <c r="O384" s="130" t="s">
        <v>159</v>
      </c>
      <c r="P384" s="130" t="s">
        <v>159</v>
      </c>
      <c r="Q384" s="130" t="s">
        <v>160</v>
      </c>
      <c r="R384" s="128">
        <v>0</v>
      </c>
      <c r="S384" s="130" t="s">
        <v>1009</v>
      </c>
    </row>
    <row r="385" spans="1:19" x14ac:dyDescent="0.25">
      <c r="A385" s="130" t="s">
        <v>1070</v>
      </c>
      <c r="B385" s="130" t="s">
        <v>1071</v>
      </c>
      <c r="C385" s="130" t="s">
        <v>134</v>
      </c>
      <c r="D385" s="130" t="s">
        <v>134</v>
      </c>
      <c r="E385" s="130" t="s">
        <v>1056</v>
      </c>
      <c r="F385" s="130" t="s">
        <v>1057</v>
      </c>
      <c r="G385" s="130" t="s">
        <v>137</v>
      </c>
      <c r="I385" s="130" t="s">
        <v>416</v>
      </c>
      <c r="J385" s="130" t="s">
        <v>159</v>
      </c>
      <c r="K385" s="130" t="s">
        <v>1056</v>
      </c>
      <c r="L385" s="130" t="s">
        <v>543</v>
      </c>
      <c r="M385" s="128">
        <v>8</v>
      </c>
      <c r="N385" s="128">
        <f t="shared" si="5"/>
        <v>0</v>
      </c>
      <c r="O385" s="130" t="s">
        <v>159</v>
      </c>
      <c r="P385" s="130" t="s">
        <v>159</v>
      </c>
      <c r="Q385" s="130" t="s">
        <v>160</v>
      </c>
      <c r="R385" s="128">
        <v>0</v>
      </c>
      <c r="S385" s="130" t="s">
        <v>1009</v>
      </c>
    </row>
    <row r="386" spans="1:19" x14ac:dyDescent="0.25">
      <c r="A386" s="130" t="s">
        <v>1072</v>
      </c>
      <c r="B386" s="130" t="s">
        <v>1073</v>
      </c>
      <c r="C386" s="130" t="s">
        <v>134</v>
      </c>
      <c r="D386" s="130" t="s">
        <v>134</v>
      </c>
      <c r="E386" s="130" t="s">
        <v>1056</v>
      </c>
      <c r="F386" s="130" t="s">
        <v>1057</v>
      </c>
      <c r="G386" s="130" t="s">
        <v>137</v>
      </c>
      <c r="I386" s="130" t="s">
        <v>416</v>
      </c>
      <c r="J386" s="130" t="s">
        <v>159</v>
      </c>
      <c r="K386" s="130" t="s">
        <v>1056</v>
      </c>
      <c r="L386" s="130" t="s">
        <v>543</v>
      </c>
      <c r="M386" s="128">
        <v>8</v>
      </c>
      <c r="N386" s="128">
        <f t="shared" si="5"/>
        <v>0</v>
      </c>
      <c r="O386" s="130" t="s">
        <v>159</v>
      </c>
      <c r="P386" s="130" t="s">
        <v>159</v>
      </c>
      <c r="Q386" s="130" t="s">
        <v>160</v>
      </c>
      <c r="R386" s="128">
        <v>0</v>
      </c>
      <c r="S386" s="130" t="s">
        <v>1009</v>
      </c>
    </row>
    <row r="387" spans="1:19" x14ac:dyDescent="0.25">
      <c r="A387" s="130" t="s">
        <v>1074</v>
      </c>
      <c r="B387" s="130" t="s">
        <v>1075</v>
      </c>
      <c r="C387" s="130" t="s">
        <v>134</v>
      </c>
      <c r="D387" s="130" t="s">
        <v>134</v>
      </c>
      <c r="E387" s="130" t="s">
        <v>1056</v>
      </c>
      <c r="F387" s="130" t="s">
        <v>1057</v>
      </c>
      <c r="G387" s="130" t="s">
        <v>137</v>
      </c>
      <c r="I387" s="130" t="s">
        <v>416</v>
      </c>
      <c r="J387" s="130" t="s">
        <v>159</v>
      </c>
      <c r="K387" s="130" t="s">
        <v>1056</v>
      </c>
      <c r="L387" s="130" t="s">
        <v>543</v>
      </c>
      <c r="M387" s="128">
        <v>8</v>
      </c>
      <c r="N387" s="128">
        <f t="shared" ref="N387:N450" si="6">M387-L387</f>
        <v>0</v>
      </c>
      <c r="O387" s="130" t="s">
        <v>159</v>
      </c>
      <c r="P387" s="130" t="s">
        <v>159</v>
      </c>
      <c r="Q387" s="130" t="s">
        <v>160</v>
      </c>
      <c r="R387" s="128">
        <v>0</v>
      </c>
      <c r="S387" s="130" t="s">
        <v>1009</v>
      </c>
    </row>
    <row r="388" spans="1:19" x14ac:dyDescent="0.25">
      <c r="A388" s="130" t="s">
        <v>1076</v>
      </c>
      <c r="B388" s="130" t="s">
        <v>1077</v>
      </c>
      <c r="C388" s="130" t="s">
        <v>134</v>
      </c>
      <c r="D388" s="130" t="s">
        <v>134</v>
      </c>
      <c r="E388" s="130" t="s">
        <v>1056</v>
      </c>
      <c r="F388" s="130" t="s">
        <v>1057</v>
      </c>
      <c r="G388" s="130" t="s">
        <v>137</v>
      </c>
      <c r="I388" s="130" t="s">
        <v>416</v>
      </c>
      <c r="J388" s="130" t="s">
        <v>159</v>
      </c>
      <c r="K388" s="130" t="s">
        <v>1056</v>
      </c>
      <c r="L388" s="130" t="s">
        <v>543</v>
      </c>
      <c r="M388" s="128">
        <v>8</v>
      </c>
      <c r="N388" s="128">
        <f t="shared" si="6"/>
        <v>0</v>
      </c>
      <c r="O388" s="130" t="s">
        <v>159</v>
      </c>
      <c r="P388" s="130" t="s">
        <v>159</v>
      </c>
      <c r="Q388" s="130" t="s">
        <v>160</v>
      </c>
      <c r="R388" s="128">
        <v>0</v>
      </c>
      <c r="S388" s="130" t="s">
        <v>1009</v>
      </c>
    </row>
    <row r="389" spans="1:19" x14ac:dyDescent="0.25">
      <c r="A389" s="130" t="s">
        <v>1078</v>
      </c>
      <c r="B389" s="130" t="s">
        <v>1079</v>
      </c>
      <c r="C389" s="130" t="s">
        <v>134</v>
      </c>
      <c r="D389" s="130" t="s">
        <v>134</v>
      </c>
      <c r="E389" s="130" t="s">
        <v>1056</v>
      </c>
      <c r="F389" s="130" t="s">
        <v>1057</v>
      </c>
      <c r="G389" s="130" t="s">
        <v>137</v>
      </c>
      <c r="I389" s="130" t="s">
        <v>416</v>
      </c>
      <c r="J389" s="130" t="s">
        <v>159</v>
      </c>
      <c r="K389" s="130" t="s">
        <v>1056</v>
      </c>
      <c r="L389" s="130" t="s">
        <v>543</v>
      </c>
      <c r="M389" s="128">
        <v>8</v>
      </c>
      <c r="N389" s="128">
        <f t="shared" si="6"/>
        <v>0</v>
      </c>
      <c r="O389" s="130" t="s">
        <v>159</v>
      </c>
      <c r="P389" s="130" t="s">
        <v>159</v>
      </c>
      <c r="Q389" s="130" t="s">
        <v>160</v>
      </c>
      <c r="R389" s="128">
        <v>0</v>
      </c>
      <c r="S389" s="130" t="s">
        <v>1009</v>
      </c>
    </row>
    <row r="390" spans="1:19" x14ac:dyDescent="0.25">
      <c r="A390" s="130" t="s">
        <v>1080</v>
      </c>
      <c r="B390" s="130" t="s">
        <v>1081</v>
      </c>
      <c r="C390" s="130" t="s">
        <v>134</v>
      </c>
      <c r="D390" s="130" t="s">
        <v>134</v>
      </c>
      <c r="E390" s="130" t="s">
        <v>1056</v>
      </c>
      <c r="F390" s="130" t="s">
        <v>1057</v>
      </c>
      <c r="G390" s="130" t="s">
        <v>137</v>
      </c>
      <c r="I390" s="130" t="s">
        <v>416</v>
      </c>
      <c r="J390" s="130" t="s">
        <v>159</v>
      </c>
      <c r="K390" s="130" t="s">
        <v>1056</v>
      </c>
      <c r="L390" s="130" t="s">
        <v>543</v>
      </c>
      <c r="M390" s="128">
        <v>8</v>
      </c>
      <c r="N390" s="128">
        <f t="shared" si="6"/>
        <v>0</v>
      </c>
      <c r="O390" s="130" t="s">
        <v>159</v>
      </c>
      <c r="P390" s="130" t="s">
        <v>159</v>
      </c>
      <c r="Q390" s="130" t="s">
        <v>160</v>
      </c>
      <c r="R390" s="128">
        <v>0</v>
      </c>
      <c r="S390" s="130" t="s">
        <v>1009</v>
      </c>
    </row>
    <row r="391" spans="1:19" x14ac:dyDescent="0.25">
      <c r="A391" s="130" t="s">
        <v>1082</v>
      </c>
      <c r="B391" s="130" t="s">
        <v>1083</v>
      </c>
      <c r="C391" s="130" t="s">
        <v>134</v>
      </c>
      <c r="D391" s="130" t="s">
        <v>134</v>
      </c>
      <c r="E391" s="130" t="s">
        <v>1056</v>
      </c>
      <c r="F391" s="130" t="s">
        <v>1057</v>
      </c>
      <c r="G391" s="130" t="s">
        <v>137</v>
      </c>
      <c r="I391" s="130" t="s">
        <v>416</v>
      </c>
      <c r="J391" s="130" t="s">
        <v>159</v>
      </c>
      <c r="K391" s="130" t="s">
        <v>1056</v>
      </c>
      <c r="L391" s="130" t="s">
        <v>543</v>
      </c>
      <c r="M391" s="128">
        <v>8</v>
      </c>
      <c r="N391" s="128">
        <f t="shared" si="6"/>
        <v>0</v>
      </c>
      <c r="O391" s="130" t="s">
        <v>159</v>
      </c>
      <c r="P391" s="130" t="s">
        <v>159</v>
      </c>
      <c r="Q391" s="130" t="s">
        <v>160</v>
      </c>
      <c r="R391" s="128">
        <v>0</v>
      </c>
      <c r="S391" s="130" t="s">
        <v>1009</v>
      </c>
    </row>
    <row r="392" spans="1:19" x14ac:dyDescent="0.25">
      <c r="A392" s="130" t="s">
        <v>1084</v>
      </c>
      <c r="B392" s="130" t="s">
        <v>1085</v>
      </c>
      <c r="C392" s="130" t="s">
        <v>134</v>
      </c>
      <c r="D392" s="130" t="s">
        <v>134</v>
      </c>
      <c r="E392" s="130" t="s">
        <v>1056</v>
      </c>
      <c r="F392" s="130" t="s">
        <v>1057</v>
      </c>
      <c r="G392" s="130" t="s">
        <v>137</v>
      </c>
      <c r="I392" s="130" t="s">
        <v>416</v>
      </c>
      <c r="J392" s="130" t="s">
        <v>159</v>
      </c>
      <c r="K392" s="130" t="s">
        <v>1056</v>
      </c>
      <c r="L392" s="130" t="s">
        <v>543</v>
      </c>
      <c r="M392" s="128">
        <v>8</v>
      </c>
      <c r="N392" s="128">
        <f t="shared" si="6"/>
        <v>0</v>
      </c>
      <c r="O392" s="130" t="s">
        <v>159</v>
      </c>
      <c r="P392" s="130" t="s">
        <v>159</v>
      </c>
      <c r="Q392" s="130" t="s">
        <v>160</v>
      </c>
      <c r="R392" s="128">
        <v>0</v>
      </c>
      <c r="S392" s="130" t="s">
        <v>1009</v>
      </c>
    </row>
    <row r="393" spans="1:19" x14ac:dyDescent="0.25">
      <c r="A393" s="130" t="s">
        <v>1086</v>
      </c>
      <c r="B393" s="130" t="s">
        <v>1087</v>
      </c>
      <c r="C393" s="130" t="s">
        <v>134</v>
      </c>
      <c r="D393" s="130" t="s">
        <v>134</v>
      </c>
      <c r="E393" s="130" t="s">
        <v>1056</v>
      </c>
      <c r="F393" s="130" t="s">
        <v>1057</v>
      </c>
      <c r="G393" s="130" t="s">
        <v>137</v>
      </c>
      <c r="I393" s="130" t="s">
        <v>416</v>
      </c>
      <c r="J393" s="130" t="s">
        <v>159</v>
      </c>
      <c r="K393" s="130" t="s">
        <v>1056</v>
      </c>
      <c r="L393" s="130" t="s">
        <v>543</v>
      </c>
      <c r="M393" s="128">
        <v>8</v>
      </c>
      <c r="N393" s="128">
        <f t="shared" si="6"/>
        <v>0</v>
      </c>
      <c r="O393" s="130" t="s">
        <v>159</v>
      </c>
      <c r="P393" s="130" t="s">
        <v>159</v>
      </c>
      <c r="Q393" s="130" t="s">
        <v>160</v>
      </c>
      <c r="R393" s="128">
        <v>0</v>
      </c>
      <c r="S393" s="130" t="s">
        <v>1009</v>
      </c>
    </row>
    <row r="394" spans="1:19" x14ac:dyDescent="0.25">
      <c r="A394" s="130" t="s">
        <v>1088</v>
      </c>
      <c r="B394" s="130" t="s">
        <v>1089</v>
      </c>
      <c r="C394" s="130" t="s">
        <v>134</v>
      </c>
      <c r="D394" s="130" t="s">
        <v>134</v>
      </c>
      <c r="E394" s="130" t="s">
        <v>1056</v>
      </c>
      <c r="F394" s="130" t="s">
        <v>1057</v>
      </c>
      <c r="G394" s="130" t="s">
        <v>137</v>
      </c>
      <c r="I394" s="130" t="s">
        <v>416</v>
      </c>
      <c r="J394" s="130" t="s">
        <v>159</v>
      </c>
      <c r="K394" s="130" t="s">
        <v>1056</v>
      </c>
      <c r="L394" s="130" t="s">
        <v>543</v>
      </c>
      <c r="M394" s="128">
        <v>8</v>
      </c>
      <c r="N394" s="128">
        <f t="shared" si="6"/>
        <v>0</v>
      </c>
      <c r="O394" s="130" t="s">
        <v>159</v>
      </c>
      <c r="P394" s="130" t="s">
        <v>159</v>
      </c>
      <c r="Q394" s="130" t="s">
        <v>160</v>
      </c>
      <c r="R394" s="128">
        <v>0</v>
      </c>
      <c r="S394" s="130" t="s">
        <v>1009</v>
      </c>
    </row>
    <row r="395" spans="1:19" x14ac:dyDescent="0.25">
      <c r="A395" s="130" t="s">
        <v>1090</v>
      </c>
      <c r="B395" s="130" t="s">
        <v>1091</v>
      </c>
      <c r="C395" s="130" t="s">
        <v>134</v>
      </c>
      <c r="D395" s="130" t="s">
        <v>134</v>
      </c>
      <c r="E395" s="130" t="s">
        <v>1056</v>
      </c>
      <c r="F395" s="130" t="s">
        <v>1057</v>
      </c>
      <c r="G395" s="130" t="s">
        <v>137</v>
      </c>
      <c r="I395" s="130" t="s">
        <v>416</v>
      </c>
      <c r="J395" s="130" t="s">
        <v>159</v>
      </c>
      <c r="K395" s="130" t="s">
        <v>1056</v>
      </c>
      <c r="L395" s="130" t="s">
        <v>543</v>
      </c>
      <c r="M395" s="128">
        <v>8</v>
      </c>
      <c r="N395" s="128">
        <f t="shared" si="6"/>
        <v>0</v>
      </c>
      <c r="O395" s="130" t="s">
        <v>159</v>
      </c>
      <c r="P395" s="130" t="s">
        <v>159</v>
      </c>
      <c r="Q395" s="130" t="s">
        <v>160</v>
      </c>
      <c r="R395" s="128">
        <v>0</v>
      </c>
      <c r="S395" s="130" t="s">
        <v>1009</v>
      </c>
    </row>
    <row r="396" spans="1:19" x14ac:dyDescent="0.25">
      <c r="A396" s="130" t="s">
        <v>1092</v>
      </c>
      <c r="B396" s="130" t="s">
        <v>1093</v>
      </c>
      <c r="C396" s="130" t="s">
        <v>134</v>
      </c>
      <c r="D396" s="130" t="s">
        <v>134</v>
      </c>
      <c r="E396" s="130" t="s">
        <v>1056</v>
      </c>
      <c r="F396" s="130" t="s">
        <v>1057</v>
      </c>
      <c r="G396" s="130" t="s">
        <v>137</v>
      </c>
      <c r="I396" s="130" t="s">
        <v>416</v>
      </c>
      <c r="J396" s="130" t="s">
        <v>159</v>
      </c>
      <c r="K396" s="130" t="s">
        <v>1056</v>
      </c>
      <c r="L396" s="130" t="s">
        <v>543</v>
      </c>
      <c r="M396" s="128">
        <v>8</v>
      </c>
      <c r="N396" s="128">
        <f t="shared" si="6"/>
        <v>0</v>
      </c>
      <c r="O396" s="130" t="s">
        <v>159</v>
      </c>
      <c r="P396" s="130" t="s">
        <v>159</v>
      </c>
      <c r="Q396" s="130" t="s">
        <v>160</v>
      </c>
      <c r="R396" s="128">
        <v>0</v>
      </c>
      <c r="S396" s="130" t="s">
        <v>1009</v>
      </c>
    </row>
    <row r="397" spans="1:19" x14ac:dyDescent="0.25">
      <c r="A397" s="130" t="s">
        <v>1094</v>
      </c>
      <c r="B397" s="130" t="s">
        <v>1095</v>
      </c>
      <c r="C397" s="130" t="s">
        <v>134</v>
      </c>
      <c r="D397" s="130" t="s">
        <v>134</v>
      </c>
      <c r="E397" s="130" t="s">
        <v>1056</v>
      </c>
      <c r="F397" s="130" t="s">
        <v>1057</v>
      </c>
      <c r="G397" s="130" t="s">
        <v>137</v>
      </c>
      <c r="I397" s="130" t="s">
        <v>416</v>
      </c>
      <c r="J397" s="130" t="s">
        <v>159</v>
      </c>
      <c r="K397" s="130" t="s">
        <v>1056</v>
      </c>
      <c r="L397" s="130" t="s">
        <v>543</v>
      </c>
      <c r="M397" s="128">
        <v>8</v>
      </c>
      <c r="N397" s="128">
        <f t="shared" si="6"/>
        <v>0</v>
      </c>
      <c r="O397" s="130" t="s">
        <v>159</v>
      </c>
      <c r="P397" s="130" t="s">
        <v>159</v>
      </c>
      <c r="Q397" s="130" t="s">
        <v>160</v>
      </c>
      <c r="R397" s="128">
        <v>0</v>
      </c>
      <c r="S397" s="130" t="s">
        <v>1009</v>
      </c>
    </row>
    <row r="398" spans="1:19" x14ac:dyDescent="0.25">
      <c r="A398" s="130" t="s">
        <v>1096</v>
      </c>
      <c r="B398" s="130" t="s">
        <v>1097</v>
      </c>
      <c r="C398" s="130" t="s">
        <v>134</v>
      </c>
      <c r="D398" s="130" t="s">
        <v>134</v>
      </c>
      <c r="E398" s="130" t="s">
        <v>1056</v>
      </c>
      <c r="F398" s="130" t="s">
        <v>1057</v>
      </c>
      <c r="G398" s="130" t="s">
        <v>137</v>
      </c>
      <c r="I398" s="130" t="s">
        <v>416</v>
      </c>
      <c r="J398" s="130" t="s">
        <v>159</v>
      </c>
      <c r="K398" s="130" t="s">
        <v>1056</v>
      </c>
      <c r="L398" s="130" t="s">
        <v>543</v>
      </c>
      <c r="M398" s="128">
        <v>8</v>
      </c>
      <c r="N398" s="128">
        <f t="shared" si="6"/>
        <v>0</v>
      </c>
      <c r="O398" s="130" t="s">
        <v>159</v>
      </c>
      <c r="P398" s="130" t="s">
        <v>159</v>
      </c>
      <c r="Q398" s="130" t="s">
        <v>160</v>
      </c>
      <c r="R398" s="128">
        <v>0</v>
      </c>
      <c r="S398" s="130" t="s">
        <v>1009</v>
      </c>
    </row>
    <row r="399" spans="1:19" x14ac:dyDescent="0.25">
      <c r="A399" s="130" t="s">
        <v>1098</v>
      </c>
      <c r="B399" s="130" t="s">
        <v>1099</v>
      </c>
      <c r="C399" s="130" t="s">
        <v>134</v>
      </c>
      <c r="D399" s="130" t="s">
        <v>134</v>
      </c>
      <c r="E399" s="130" t="s">
        <v>1056</v>
      </c>
      <c r="F399" s="130" t="s">
        <v>1057</v>
      </c>
      <c r="G399" s="130" t="s">
        <v>137</v>
      </c>
      <c r="I399" s="130" t="s">
        <v>416</v>
      </c>
      <c r="J399" s="130" t="s">
        <v>159</v>
      </c>
      <c r="K399" s="130" t="s">
        <v>1056</v>
      </c>
      <c r="L399" s="130" t="s">
        <v>543</v>
      </c>
      <c r="M399" s="128">
        <v>8</v>
      </c>
      <c r="N399" s="128">
        <f t="shared" si="6"/>
        <v>0</v>
      </c>
      <c r="O399" s="130" t="s">
        <v>159</v>
      </c>
      <c r="P399" s="130" t="s">
        <v>159</v>
      </c>
      <c r="Q399" s="130" t="s">
        <v>160</v>
      </c>
      <c r="R399" s="128">
        <v>0</v>
      </c>
      <c r="S399" s="130" t="s">
        <v>1009</v>
      </c>
    </row>
    <row r="400" spans="1:19" x14ac:dyDescent="0.25">
      <c r="A400" s="130" t="s">
        <v>1100</v>
      </c>
      <c r="B400" s="130" t="s">
        <v>1101</v>
      </c>
      <c r="C400" s="130" t="s">
        <v>134</v>
      </c>
      <c r="D400" s="130" t="s">
        <v>134</v>
      </c>
      <c r="E400" s="130" t="s">
        <v>1102</v>
      </c>
      <c r="F400" s="130" t="s">
        <v>1103</v>
      </c>
      <c r="G400" s="130" t="s">
        <v>137</v>
      </c>
      <c r="I400" s="130" t="s">
        <v>416</v>
      </c>
      <c r="J400" s="130" t="s">
        <v>159</v>
      </c>
      <c r="K400" s="130" t="s">
        <v>1104</v>
      </c>
      <c r="L400" s="130" t="s">
        <v>543</v>
      </c>
      <c r="M400" s="128">
        <v>7</v>
      </c>
      <c r="N400" s="128">
        <f t="shared" si="6"/>
        <v>-1</v>
      </c>
      <c r="O400" s="130" t="s">
        <v>134</v>
      </c>
      <c r="P400" s="130" t="s">
        <v>134</v>
      </c>
      <c r="Q400" s="130" t="s">
        <v>543</v>
      </c>
      <c r="R400" s="128">
        <v>7</v>
      </c>
      <c r="S400" s="130" t="s">
        <v>1105</v>
      </c>
    </row>
    <row r="401" spans="1:19" x14ac:dyDescent="0.25">
      <c r="A401" s="130" t="s">
        <v>1106</v>
      </c>
      <c r="B401" s="130" t="s">
        <v>1107</v>
      </c>
      <c r="C401" s="130" t="s">
        <v>134</v>
      </c>
      <c r="D401" s="130" t="s">
        <v>134</v>
      </c>
      <c r="E401" s="130" t="s">
        <v>1102</v>
      </c>
      <c r="F401" s="130" t="s">
        <v>1103</v>
      </c>
      <c r="G401" s="130" t="s">
        <v>137</v>
      </c>
      <c r="I401" s="130" t="s">
        <v>416</v>
      </c>
      <c r="J401" s="130" t="s">
        <v>159</v>
      </c>
      <c r="K401" s="130" t="s">
        <v>1104</v>
      </c>
      <c r="L401" s="130" t="s">
        <v>543</v>
      </c>
      <c r="M401" s="128">
        <v>7</v>
      </c>
      <c r="N401" s="128">
        <f t="shared" si="6"/>
        <v>-1</v>
      </c>
      <c r="O401" s="130" t="s">
        <v>134</v>
      </c>
      <c r="P401" s="130" t="s">
        <v>134</v>
      </c>
      <c r="Q401" s="130" t="s">
        <v>543</v>
      </c>
      <c r="R401" s="128">
        <v>7</v>
      </c>
      <c r="S401" s="130" t="s">
        <v>1105</v>
      </c>
    </row>
    <row r="402" spans="1:19" x14ac:dyDescent="0.25">
      <c r="A402" s="130" t="s">
        <v>1108</v>
      </c>
      <c r="B402" s="130" t="s">
        <v>1109</v>
      </c>
      <c r="C402" s="130" t="s">
        <v>134</v>
      </c>
      <c r="D402" s="130" t="s">
        <v>134</v>
      </c>
      <c r="E402" s="130" t="s">
        <v>1110</v>
      </c>
      <c r="F402" s="130" t="s">
        <v>1111</v>
      </c>
      <c r="G402" s="130" t="s">
        <v>137</v>
      </c>
      <c r="I402" s="130" t="s">
        <v>416</v>
      </c>
      <c r="J402" s="130" t="s">
        <v>159</v>
      </c>
      <c r="K402" s="130" t="s">
        <v>1104</v>
      </c>
      <c r="L402" s="130" t="s">
        <v>543</v>
      </c>
      <c r="M402" s="128">
        <v>7</v>
      </c>
      <c r="N402" s="128">
        <f t="shared" si="6"/>
        <v>-1</v>
      </c>
      <c r="O402" s="130" t="s">
        <v>134</v>
      </c>
      <c r="P402" s="130" t="s">
        <v>134</v>
      </c>
      <c r="Q402" s="130" t="s">
        <v>543</v>
      </c>
      <c r="R402" s="128">
        <v>7</v>
      </c>
      <c r="S402" s="130" t="s">
        <v>1105</v>
      </c>
    </row>
    <row r="403" spans="1:19" x14ac:dyDescent="0.25">
      <c r="A403" s="130" t="s">
        <v>1112</v>
      </c>
      <c r="B403" s="130" t="s">
        <v>1113</v>
      </c>
      <c r="C403" s="130" t="s">
        <v>134</v>
      </c>
      <c r="D403" s="130" t="s">
        <v>134</v>
      </c>
      <c r="E403" s="130" t="s">
        <v>1110</v>
      </c>
      <c r="F403" s="130" t="s">
        <v>1111</v>
      </c>
      <c r="G403" s="130" t="s">
        <v>137</v>
      </c>
      <c r="I403" s="130" t="s">
        <v>416</v>
      </c>
      <c r="J403" s="130" t="s">
        <v>159</v>
      </c>
      <c r="K403" s="130" t="s">
        <v>1104</v>
      </c>
      <c r="L403" s="130" t="s">
        <v>543</v>
      </c>
      <c r="M403" s="128">
        <v>7</v>
      </c>
      <c r="N403" s="128">
        <f t="shared" si="6"/>
        <v>-1</v>
      </c>
      <c r="O403" s="130" t="s">
        <v>134</v>
      </c>
      <c r="P403" s="130" t="s">
        <v>134</v>
      </c>
      <c r="Q403" s="130" t="s">
        <v>543</v>
      </c>
      <c r="R403" s="128">
        <v>7</v>
      </c>
      <c r="S403" s="130" t="s">
        <v>1105</v>
      </c>
    </row>
    <row r="404" spans="1:19" x14ac:dyDescent="0.25">
      <c r="A404" s="130" t="s">
        <v>1114</v>
      </c>
      <c r="B404" s="130" t="s">
        <v>1115</v>
      </c>
      <c r="C404" s="130" t="s">
        <v>134</v>
      </c>
      <c r="D404" s="130" t="s">
        <v>134</v>
      </c>
      <c r="E404" s="130" t="s">
        <v>1110</v>
      </c>
      <c r="F404" s="130" t="s">
        <v>1111</v>
      </c>
      <c r="G404" s="130" t="s">
        <v>137</v>
      </c>
      <c r="I404" s="130" t="s">
        <v>416</v>
      </c>
      <c r="J404" s="130" t="s">
        <v>159</v>
      </c>
      <c r="K404" s="130" t="s">
        <v>1104</v>
      </c>
      <c r="L404" s="130" t="s">
        <v>543</v>
      </c>
      <c r="M404" s="128">
        <v>7</v>
      </c>
      <c r="N404" s="128">
        <f t="shared" si="6"/>
        <v>-1</v>
      </c>
      <c r="O404" s="130" t="s">
        <v>134</v>
      </c>
      <c r="P404" s="130" t="s">
        <v>134</v>
      </c>
      <c r="Q404" s="130" t="s">
        <v>543</v>
      </c>
      <c r="R404" s="128">
        <v>7</v>
      </c>
      <c r="S404" s="130" t="s">
        <v>1105</v>
      </c>
    </row>
    <row r="405" spans="1:19" x14ac:dyDescent="0.25">
      <c r="A405" s="130" t="s">
        <v>1116</v>
      </c>
      <c r="B405" s="130" t="s">
        <v>1117</v>
      </c>
      <c r="C405" s="130" t="s">
        <v>134</v>
      </c>
      <c r="D405" s="130" t="s">
        <v>134</v>
      </c>
      <c r="E405" s="130" t="s">
        <v>1110</v>
      </c>
      <c r="F405" s="130" t="s">
        <v>1111</v>
      </c>
      <c r="G405" s="130" t="s">
        <v>137</v>
      </c>
      <c r="I405" s="130" t="s">
        <v>416</v>
      </c>
      <c r="J405" s="130" t="s">
        <v>159</v>
      </c>
      <c r="K405" s="130" t="s">
        <v>1104</v>
      </c>
      <c r="L405" s="130" t="s">
        <v>543</v>
      </c>
      <c r="M405" s="128">
        <v>7</v>
      </c>
      <c r="N405" s="128">
        <f t="shared" si="6"/>
        <v>-1</v>
      </c>
      <c r="O405" s="130" t="s">
        <v>134</v>
      </c>
      <c r="P405" s="130" t="s">
        <v>134</v>
      </c>
      <c r="Q405" s="130" t="s">
        <v>543</v>
      </c>
      <c r="R405" s="128">
        <v>7</v>
      </c>
      <c r="S405" s="130" t="s">
        <v>1105</v>
      </c>
    </row>
    <row r="406" spans="1:19" x14ac:dyDescent="0.25">
      <c r="A406" s="130" t="s">
        <v>1118</v>
      </c>
      <c r="B406" s="130" t="s">
        <v>1119</v>
      </c>
      <c r="C406" s="130" t="s">
        <v>134</v>
      </c>
      <c r="D406" s="130" t="s">
        <v>134</v>
      </c>
      <c r="E406" s="130" t="s">
        <v>1110</v>
      </c>
      <c r="F406" s="130" t="s">
        <v>1111</v>
      </c>
      <c r="G406" s="130" t="s">
        <v>137</v>
      </c>
      <c r="I406" s="130" t="s">
        <v>416</v>
      </c>
      <c r="J406" s="130" t="s">
        <v>159</v>
      </c>
      <c r="K406" s="130" t="s">
        <v>1104</v>
      </c>
      <c r="L406" s="130" t="s">
        <v>543</v>
      </c>
      <c r="M406" s="128">
        <v>7</v>
      </c>
      <c r="N406" s="128">
        <f t="shared" si="6"/>
        <v>-1</v>
      </c>
      <c r="O406" s="130" t="s">
        <v>134</v>
      </c>
      <c r="P406" s="130" t="s">
        <v>134</v>
      </c>
      <c r="Q406" s="130" t="s">
        <v>543</v>
      </c>
      <c r="R406" s="128">
        <v>7</v>
      </c>
      <c r="S406" s="130" t="s">
        <v>1105</v>
      </c>
    </row>
    <row r="407" spans="1:19" x14ac:dyDescent="0.25">
      <c r="A407" s="130" t="s">
        <v>1120</v>
      </c>
      <c r="B407" s="130" t="s">
        <v>1121</v>
      </c>
      <c r="C407" s="130" t="s">
        <v>134</v>
      </c>
      <c r="D407" s="130" t="s">
        <v>134</v>
      </c>
      <c r="E407" s="130" t="s">
        <v>1110</v>
      </c>
      <c r="F407" s="130" t="s">
        <v>1111</v>
      </c>
      <c r="G407" s="130" t="s">
        <v>137</v>
      </c>
      <c r="I407" s="130" t="s">
        <v>416</v>
      </c>
      <c r="J407" s="130" t="s">
        <v>159</v>
      </c>
      <c r="K407" s="130" t="s">
        <v>1104</v>
      </c>
      <c r="L407" s="130" t="s">
        <v>543</v>
      </c>
      <c r="M407" s="128">
        <v>7</v>
      </c>
      <c r="N407" s="128">
        <f t="shared" si="6"/>
        <v>-1</v>
      </c>
      <c r="O407" s="130" t="s">
        <v>134</v>
      </c>
      <c r="P407" s="130" t="s">
        <v>134</v>
      </c>
      <c r="Q407" s="130" t="s">
        <v>543</v>
      </c>
      <c r="R407" s="128">
        <v>7</v>
      </c>
      <c r="S407" s="130" t="s">
        <v>1105</v>
      </c>
    </row>
    <row r="408" spans="1:19" x14ac:dyDescent="0.25">
      <c r="A408" s="130" t="s">
        <v>1122</v>
      </c>
      <c r="B408" s="130" t="s">
        <v>1123</v>
      </c>
      <c r="C408" s="130" t="s">
        <v>134</v>
      </c>
      <c r="D408" s="130" t="s">
        <v>134</v>
      </c>
      <c r="E408" s="130" t="s">
        <v>1110</v>
      </c>
      <c r="F408" s="130" t="s">
        <v>1111</v>
      </c>
      <c r="G408" s="130" t="s">
        <v>137</v>
      </c>
      <c r="I408" s="130" t="s">
        <v>416</v>
      </c>
      <c r="J408" s="130" t="s">
        <v>159</v>
      </c>
      <c r="K408" s="130" t="s">
        <v>1104</v>
      </c>
      <c r="L408" s="130" t="s">
        <v>543</v>
      </c>
      <c r="M408" s="128">
        <v>7</v>
      </c>
      <c r="N408" s="128">
        <f t="shared" si="6"/>
        <v>-1</v>
      </c>
      <c r="O408" s="130" t="s">
        <v>134</v>
      </c>
      <c r="P408" s="130" t="s">
        <v>134</v>
      </c>
      <c r="Q408" s="130" t="s">
        <v>543</v>
      </c>
      <c r="R408" s="128">
        <v>7</v>
      </c>
      <c r="S408" s="130" t="s">
        <v>1105</v>
      </c>
    </row>
    <row r="409" spans="1:19" x14ac:dyDescent="0.25">
      <c r="A409" s="130" t="s">
        <v>1124</v>
      </c>
      <c r="B409" s="130" t="s">
        <v>1125</v>
      </c>
      <c r="C409" s="130" t="s">
        <v>134</v>
      </c>
      <c r="D409" s="130" t="s">
        <v>134</v>
      </c>
      <c r="E409" s="130" t="s">
        <v>1110</v>
      </c>
      <c r="F409" s="130" t="s">
        <v>1111</v>
      </c>
      <c r="G409" s="130" t="s">
        <v>137</v>
      </c>
      <c r="I409" s="130" t="s">
        <v>416</v>
      </c>
      <c r="J409" s="130" t="s">
        <v>159</v>
      </c>
      <c r="K409" s="130" t="s">
        <v>1104</v>
      </c>
      <c r="L409" s="130" t="s">
        <v>543</v>
      </c>
      <c r="M409" s="128">
        <v>7</v>
      </c>
      <c r="N409" s="128">
        <f t="shared" si="6"/>
        <v>-1</v>
      </c>
      <c r="O409" s="130" t="s">
        <v>134</v>
      </c>
      <c r="P409" s="130" t="s">
        <v>134</v>
      </c>
      <c r="Q409" s="130" t="s">
        <v>543</v>
      </c>
      <c r="R409" s="128">
        <v>7</v>
      </c>
      <c r="S409" s="130" t="s">
        <v>1105</v>
      </c>
    </row>
    <row r="410" spans="1:19" x14ac:dyDescent="0.25">
      <c r="A410" s="130" t="s">
        <v>1126</v>
      </c>
      <c r="B410" s="130" t="s">
        <v>1127</v>
      </c>
      <c r="C410" s="130" t="s">
        <v>134</v>
      </c>
      <c r="D410" s="130" t="s">
        <v>134</v>
      </c>
      <c r="E410" s="130" t="s">
        <v>1128</v>
      </c>
      <c r="F410" s="130" t="s">
        <v>1129</v>
      </c>
      <c r="G410" s="130" t="s">
        <v>137</v>
      </c>
      <c r="I410" s="130" t="s">
        <v>416</v>
      </c>
      <c r="J410" s="130" t="s">
        <v>159</v>
      </c>
      <c r="K410" s="130" t="s">
        <v>1104</v>
      </c>
      <c r="L410" s="130" t="s">
        <v>543</v>
      </c>
      <c r="M410" s="128">
        <v>7</v>
      </c>
      <c r="N410" s="128">
        <f t="shared" si="6"/>
        <v>-1</v>
      </c>
      <c r="O410" s="130" t="s">
        <v>134</v>
      </c>
      <c r="P410" s="130" t="s">
        <v>134</v>
      </c>
      <c r="Q410" s="130" t="s">
        <v>543</v>
      </c>
      <c r="R410" s="128">
        <v>7</v>
      </c>
      <c r="S410" s="130" t="s">
        <v>1105</v>
      </c>
    </row>
    <row r="411" spans="1:19" x14ac:dyDescent="0.25">
      <c r="A411" s="130" t="s">
        <v>1104</v>
      </c>
      <c r="B411" s="130" t="s">
        <v>1130</v>
      </c>
      <c r="C411" s="130" t="s">
        <v>134</v>
      </c>
      <c r="D411" s="130" t="s">
        <v>134</v>
      </c>
      <c r="E411" s="130" t="s">
        <v>1104</v>
      </c>
      <c r="F411" s="130" t="s">
        <v>1131</v>
      </c>
      <c r="G411" s="130" t="s">
        <v>137</v>
      </c>
      <c r="I411" s="130" t="s">
        <v>416</v>
      </c>
      <c r="J411" s="130" t="s">
        <v>159</v>
      </c>
      <c r="K411" s="130" t="s">
        <v>1104</v>
      </c>
      <c r="L411" s="130" t="s">
        <v>543</v>
      </c>
      <c r="M411" s="128">
        <v>7</v>
      </c>
      <c r="N411" s="128">
        <f t="shared" si="6"/>
        <v>-1</v>
      </c>
      <c r="O411" s="130" t="s">
        <v>134</v>
      </c>
      <c r="P411" s="130" t="s">
        <v>134</v>
      </c>
      <c r="Q411" s="130" t="s">
        <v>543</v>
      </c>
      <c r="R411" s="128">
        <v>7</v>
      </c>
      <c r="S411" s="130" t="s">
        <v>1105</v>
      </c>
    </row>
    <row r="412" spans="1:19" x14ac:dyDescent="0.25">
      <c r="A412" s="130" t="s">
        <v>1132</v>
      </c>
      <c r="B412" s="130" t="s">
        <v>1133</v>
      </c>
      <c r="C412" s="130" t="s">
        <v>134</v>
      </c>
      <c r="D412" s="130" t="s">
        <v>134</v>
      </c>
      <c r="E412" s="130" t="s">
        <v>1134</v>
      </c>
      <c r="F412" s="130" t="s">
        <v>1135</v>
      </c>
      <c r="G412" s="130" t="s">
        <v>137</v>
      </c>
      <c r="I412" s="130" t="s">
        <v>416</v>
      </c>
      <c r="J412" s="130" t="s">
        <v>159</v>
      </c>
      <c r="K412" s="130" t="s">
        <v>1104</v>
      </c>
      <c r="L412" s="130" t="s">
        <v>543</v>
      </c>
      <c r="M412" s="128">
        <v>7</v>
      </c>
      <c r="N412" s="128">
        <f t="shared" si="6"/>
        <v>-1</v>
      </c>
      <c r="O412" s="130" t="s">
        <v>134</v>
      </c>
      <c r="P412" s="130" t="s">
        <v>134</v>
      </c>
      <c r="Q412" s="130" t="s">
        <v>543</v>
      </c>
      <c r="R412" s="128">
        <v>7</v>
      </c>
      <c r="S412" s="130" t="s">
        <v>1105</v>
      </c>
    </row>
    <row r="413" spans="1:19" x14ac:dyDescent="0.25">
      <c r="A413" s="130" t="s">
        <v>1136</v>
      </c>
      <c r="B413" s="130" t="s">
        <v>1137</v>
      </c>
      <c r="C413" s="130" t="s">
        <v>134</v>
      </c>
      <c r="D413" s="130" t="s">
        <v>134</v>
      </c>
      <c r="E413" s="130" t="s">
        <v>1134</v>
      </c>
      <c r="F413" s="130" t="s">
        <v>1135</v>
      </c>
      <c r="G413" s="130" t="s">
        <v>137</v>
      </c>
      <c r="I413" s="130" t="s">
        <v>416</v>
      </c>
      <c r="J413" s="130" t="s">
        <v>159</v>
      </c>
      <c r="K413" s="130" t="s">
        <v>1104</v>
      </c>
      <c r="L413" s="130" t="s">
        <v>543</v>
      </c>
      <c r="M413" s="128">
        <v>7</v>
      </c>
      <c r="N413" s="128">
        <f t="shared" si="6"/>
        <v>-1</v>
      </c>
      <c r="O413" s="130" t="s">
        <v>134</v>
      </c>
      <c r="P413" s="130" t="s">
        <v>134</v>
      </c>
      <c r="Q413" s="130" t="s">
        <v>543</v>
      </c>
      <c r="R413" s="128">
        <v>7</v>
      </c>
      <c r="S413" s="130" t="s">
        <v>1105</v>
      </c>
    </row>
    <row r="414" spans="1:19" x14ac:dyDescent="0.25">
      <c r="A414" s="130" t="s">
        <v>1138</v>
      </c>
      <c r="B414" s="130" t="s">
        <v>1139</v>
      </c>
      <c r="C414" s="130" t="s">
        <v>134</v>
      </c>
      <c r="D414" s="130" t="s">
        <v>134</v>
      </c>
      <c r="E414" s="130" t="s">
        <v>1140</v>
      </c>
      <c r="F414" s="130" t="s">
        <v>1141</v>
      </c>
      <c r="G414" s="130" t="s">
        <v>137</v>
      </c>
      <c r="I414" s="130" t="s">
        <v>416</v>
      </c>
      <c r="J414" s="130" t="s">
        <v>159</v>
      </c>
      <c r="K414" s="130" t="s">
        <v>1142</v>
      </c>
      <c r="L414" s="130" t="s">
        <v>543</v>
      </c>
      <c r="M414" s="128">
        <v>7</v>
      </c>
      <c r="N414" s="128">
        <f t="shared" si="6"/>
        <v>-1</v>
      </c>
      <c r="O414" s="130" t="s">
        <v>134</v>
      </c>
      <c r="P414" s="130" t="s">
        <v>134</v>
      </c>
      <c r="Q414" s="130" t="s">
        <v>543</v>
      </c>
      <c r="R414" s="128">
        <v>7</v>
      </c>
      <c r="S414" s="130" t="s">
        <v>1105</v>
      </c>
    </row>
    <row r="415" spans="1:19" x14ac:dyDescent="0.25">
      <c r="A415" s="130" t="s">
        <v>1143</v>
      </c>
      <c r="B415" s="130" t="s">
        <v>1144</v>
      </c>
      <c r="C415" s="130" t="s">
        <v>134</v>
      </c>
      <c r="D415" s="130" t="s">
        <v>134</v>
      </c>
      <c r="E415" s="130" t="s">
        <v>1140</v>
      </c>
      <c r="F415" s="130" t="s">
        <v>1141</v>
      </c>
      <c r="G415" s="130" t="s">
        <v>137</v>
      </c>
      <c r="I415" s="130" t="s">
        <v>416</v>
      </c>
      <c r="J415" s="130" t="s">
        <v>159</v>
      </c>
      <c r="K415" s="130" t="s">
        <v>1142</v>
      </c>
      <c r="L415" s="130" t="s">
        <v>543</v>
      </c>
      <c r="M415" s="128">
        <v>7</v>
      </c>
      <c r="N415" s="128">
        <f t="shared" si="6"/>
        <v>-1</v>
      </c>
      <c r="O415" s="130" t="s">
        <v>134</v>
      </c>
      <c r="P415" s="130" t="s">
        <v>134</v>
      </c>
      <c r="Q415" s="130" t="s">
        <v>543</v>
      </c>
      <c r="R415" s="128">
        <v>7</v>
      </c>
      <c r="S415" s="130" t="s">
        <v>1105</v>
      </c>
    </row>
    <row r="416" spans="1:19" x14ac:dyDescent="0.25">
      <c r="A416" s="130" t="s">
        <v>1145</v>
      </c>
      <c r="B416" s="130" t="s">
        <v>1146</v>
      </c>
      <c r="C416" s="130" t="s">
        <v>134</v>
      </c>
      <c r="D416" s="130" t="s">
        <v>134</v>
      </c>
      <c r="E416" s="130" t="s">
        <v>1147</v>
      </c>
      <c r="F416" s="130" t="s">
        <v>1148</v>
      </c>
      <c r="G416" s="130" t="s">
        <v>137</v>
      </c>
      <c r="I416" s="130" t="s">
        <v>416</v>
      </c>
      <c r="J416" s="130" t="s">
        <v>159</v>
      </c>
      <c r="K416" s="130" t="s">
        <v>1142</v>
      </c>
      <c r="L416" s="130" t="s">
        <v>543</v>
      </c>
      <c r="M416" s="128">
        <v>7</v>
      </c>
      <c r="N416" s="128">
        <f t="shared" si="6"/>
        <v>-1</v>
      </c>
      <c r="O416" s="130" t="s">
        <v>134</v>
      </c>
      <c r="P416" s="130" t="s">
        <v>134</v>
      </c>
      <c r="Q416" s="130" t="s">
        <v>543</v>
      </c>
      <c r="R416" s="128">
        <v>7</v>
      </c>
      <c r="S416" s="130" t="s">
        <v>1105</v>
      </c>
    </row>
    <row r="417" spans="1:19" x14ac:dyDescent="0.25">
      <c r="A417" s="130" t="s">
        <v>1149</v>
      </c>
      <c r="B417" s="130" t="s">
        <v>1150</v>
      </c>
      <c r="C417" s="130" t="s">
        <v>134</v>
      </c>
      <c r="D417" s="130" t="s">
        <v>134</v>
      </c>
      <c r="E417" s="130" t="s">
        <v>1151</v>
      </c>
      <c r="F417" s="130" t="s">
        <v>1152</v>
      </c>
      <c r="G417" s="130" t="s">
        <v>137</v>
      </c>
      <c r="I417" s="130" t="s">
        <v>416</v>
      </c>
      <c r="J417" s="130" t="s">
        <v>159</v>
      </c>
      <c r="K417" s="130" t="s">
        <v>1151</v>
      </c>
      <c r="L417" s="130" t="s">
        <v>543</v>
      </c>
      <c r="M417" s="128">
        <v>10</v>
      </c>
      <c r="N417" s="128">
        <f t="shared" si="6"/>
        <v>2</v>
      </c>
      <c r="O417" s="130" t="s">
        <v>134</v>
      </c>
      <c r="P417" s="130" t="s">
        <v>134</v>
      </c>
      <c r="Q417" s="130" t="s">
        <v>543</v>
      </c>
      <c r="R417" s="128">
        <v>10</v>
      </c>
      <c r="S417" s="130" t="s">
        <v>841</v>
      </c>
    </row>
    <row r="418" spans="1:19" x14ac:dyDescent="0.25">
      <c r="A418" s="130" t="s">
        <v>1153</v>
      </c>
      <c r="B418" s="130" t="s">
        <v>1154</v>
      </c>
      <c r="C418" s="130" t="s">
        <v>134</v>
      </c>
      <c r="D418" s="130" t="s">
        <v>134</v>
      </c>
      <c r="E418" s="130" t="s">
        <v>1151</v>
      </c>
      <c r="F418" s="130" t="s">
        <v>1152</v>
      </c>
      <c r="G418" s="130" t="s">
        <v>137</v>
      </c>
      <c r="I418" s="130" t="s">
        <v>416</v>
      </c>
      <c r="J418" s="130" t="s">
        <v>159</v>
      </c>
      <c r="K418" s="130" t="s">
        <v>1151</v>
      </c>
      <c r="L418" s="130" t="s">
        <v>543</v>
      </c>
      <c r="M418" s="128">
        <v>10</v>
      </c>
      <c r="N418" s="128">
        <f t="shared" si="6"/>
        <v>2</v>
      </c>
      <c r="O418" s="130" t="s">
        <v>134</v>
      </c>
      <c r="P418" s="130" t="s">
        <v>134</v>
      </c>
      <c r="Q418" s="130" t="s">
        <v>543</v>
      </c>
      <c r="R418" s="128">
        <v>10</v>
      </c>
      <c r="S418" s="130" t="s">
        <v>841</v>
      </c>
    </row>
    <row r="419" spans="1:19" x14ac:dyDescent="0.25">
      <c r="A419" s="130" t="s">
        <v>1155</v>
      </c>
      <c r="B419" s="130" t="s">
        <v>1156</v>
      </c>
      <c r="C419" s="130" t="s">
        <v>134</v>
      </c>
      <c r="D419" s="130" t="s">
        <v>134</v>
      </c>
      <c r="E419" s="130" t="s">
        <v>1151</v>
      </c>
      <c r="F419" s="130" t="s">
        <v>1152</v>
      </c>
      <c r="G419" s="130" t="s">
        <v>137</v>
      </c>
      <c r="I419" s="130" t="s">
        <v>416</v>
      </c>
      <c r="J419" s="130" t="s">
        <v>159</v>
      </c>
      <c r="K419" s="130" t="s">
        <v>1151</v>
      </c>
      <c r="L419" s="130" t="s">
        <v>543</v>
      </c>
      <c r="M419" s="128">
        <v>10</v>
      </c>
      <c r="N419" s="128">
        <f t="shared" si="6"/>
        <v>2</v>
      </c>
      <c r="O419" s="130" t="s">
        <v>134</v>
      </c>
      <c r="P419" s="130" t="s">
        <v>134</v>
      </c>
      <c r="Q419" s="130" t="s">
        <v>543</v>
      </c>
      <c r="R419" s="128">
        <v>10</v>
      </c>
      <c r="S419" s="130" t="s">
        <v>841</v>
      </c>
    </row>
    <row r="420" spans="1:19" x14ac:dyDescent="0.25">
      <c r="A420" s="130" t="s">
        <v>1157</v>
      </c>
      <c r="B420" s="130" t="s">
        <v>1158</v>
      </c>
      <c r="C420" s="130" t="s">
        <v>134</v>
      </c>
      <c r="D420" s="130" t="s">
        <v>134</v>
      </c>
      <c r="E420" s="130" t="s">
        <v>1151</v>
      </c>
      <c r="F420" s="130" t="s">
        <v>1152</v>
      </c>
      <c r="G420" s="130" t="s">
        <v>137</v>
      </c>
      <c r="I420" s="130" t="s">
        <v>416</v>
      </c>
      <c r="J420" s="130" t="s">
        <v>159</v>
      </c>
      <c r="K420" s="130" t="s">
        <v>1151</v>
      </c>
      <c r="L420" s="130" t="s">
        <v>543</v>
      </c>
      <c r="M420" s="128">
        <v>10</v>
      </c>
      <c r="N420" s="128">
        <f t="shared" si="6"/>
        <v>2</v>
      </c>
      <c r="O420" s="130" t="s">
        <v>134</v>
      </c>
      <c r="P420" s="130" t="s">
        <v>134</v>
      </c>
      <c r="Q420" s="130" t="s">
        <v>543</v>
      </c>
      <c r="R420" s="128">
        <v>10</v>
      </c>
      <c r="S420" s="130" t="s">
        <v>841</v>
      </c>
    </row>
    <row r="421" spans="1:19" x14ac:dyDescent="0.25">
      <c r="A421" s="130" t="s">
        <v>1159</v>
      </c>
      <c r="B421" s="130" t="s">
        <v>1160</v>
      </c>
      <c r="C421" s="130" t="s">
        <v>134</v>
      </c>
      <c r="D421" s="130" t="s">
        <v>134</v>
      </c>
      <c r="E421" s="130" t="s">
        <v>1161</v>
      </c>
      <c r="F421" s="130" t="s">
        <v>1162</v>
      </c>
      <c r="G421" s="130" t="s">
        <v>137</v>
      </c>
      <c r="I421" s="130" t="s">
        <v>416</v>
      </c>
      <c r="J421" s="130" t="s">
        <v>159</v>
      </c>
      <c r="K421" s="130" t="s">
        <v>1161</v>
      </c>
      <c r="L421" s="130" t="s">
        <v>543</v>
      </c>
      <c r="M421" s="128">
        <v>7</v>
      </c>
      <c r="N421" s="128">
        <f t="shared" si="6"/>
        <v>-1</v>
      </c>
      <c r="O421" s="130" t="s">
        <v>134</v>
      </c>
      <c r="P421" s="130" t="s">
        <v>134</v>
      </c>
      <c r="Q421" s="130" t="s">
        <v>543</v>
      </c>
      <c r="R421" s="128">
        <v>7</v>
      </c>
      <c r="S421" s="130" t="s">
        <v>1105</v>
      </c>
    </row>
    <row r="422" spans="1:19" x14ac:dyDescent="0.25">
      <c r="A422" s="130" t="s">
        <v>1163</v>
      </c>
      <c r="B422" s="130" t="s">
        <v>1164</v>
      </c>
      <c r="C422" s="130" t="s">
        <v>134</v>
      </c>
      <c r="D422" s="130" t="s">
        <v>134</v>
      </c>
      <c r="E422" s="130" t="s">
        <v>1161</v>
      </c>
      <c r="F422" s="130" t="s">
        <v>1162</v>
      </c>
      <c r="G422" s="130" t="s">
        <v>137</v>
      </c>
      <c r="I422" s="130" t="s">
        <v>416</v>
      </c>
      <c r="J422" s="130" t="s">
        <v>159</v>
      </c>
      <c r="K422" s="130" t="s">
        <v>1161</v>
      </c>
      <c r="L422" s="130" t="s">
        <v>543</v>
      </c>
      <c r="M422" s="128">
        <v>7</v>
      </c>
      <c r="N422" s="128">
        <f t="shared" si="6"/>
        <v>-1</v>
      </c>
      <c r="O422" s="130" t="s">
        <v>134</v>
      </c>
      <c r="P422" s="130" t="s">
        <v>134</v>
      </c>
      <c r="Q422" s="130" t="s">
        <v>543</v>
      </c>
      <c r="R422" s="128">
        <v>7</v>
      </c>
      <c r="S422" s="130" t="s">
        <v>1105</v>
      </c>
    </row>
    <row r="423" spans="1:19" x14ac:dyDescent="0.25">
      <c r="A423" s="130" t="s">
        <v>1165</v>
      </c>
      <c r="B423" s="130" t="s">
        <v>1166</v>
      </c>
      <c r="C423" s="130" t="s">
        <v>134</v>
      </c>
      <c r="D423" s="130" t="s">
        <v>134</v>
      </c>
      <c r="E423" s="130" t="s">
        <v>1165</v>
      </c>
      <c r="F423" s="130" t="s">
        <v>1166</v>
      </c>
      <c r="G423" s="130" t="s">
        <v>137</v>
      </c>
      <c r="I423" s="130" t="s">
        <v>416</v>
      </c>
      <c r="J423" s="130" t="s">
        <v>159</v>
      </c>
      <c r="K423" s="130" t="s">
        <v>1165</v>
      </c>
      <c r="L423" s="130" t="s">
        <v>543</v>
      </c>
      <c r="M423" s="128">
        <v>7</v>
      </c>
      <c r="N423" s="128">
        <f t="shared" si="6"/>
        <v>-1</v>
      </c>
      <c r="O423" s="130" t="s">
        <v>134</v>
      </c>
      <c r="P423" s="130" t="s">
        <v>134</v>
      </c>
      <c r="Q423" s="130" t="s">
        <v>543</v>
      </c>
      <c r="R423" s="128">
        <v>7</v>
      </c>
      <c r="S423" s="130" t="s">
        <v>1105</v>
      </c>
    </row>
    <row r="424" spans="1:19" x14ac:dyDescent="0.25">
      <c r="A424" s="130" t="s">
        <v>1167</v>
      </c>
      <c r="B424" s="130" t="s">
        <v>1168</v>
      </c>
      <c r="C424" s="130" t="s">
        <v>134</v>
      </c>
      <c r="D424" s="130" t="s">
        <v>134</v>
      </c>
      <c r="E424" s="130" t="s">
        <v>1169</v>
      </c>
      <c r="F424" s="130" t="s">
        <v>1170</v>
      </c>
      <c r="G424" s="130" t="s">
        <v>137</v>
      </c>
      <c r="I424" s="130" t="s">
        <v>416</v>
      </c>
      <c r="J424" s="130" t="s">
        <v>159</v>
      </c>
      <c r="K424" s="130" t="s">
        <v>1169</v>
      </c>
      <c r="L424" s="130" t="s">
        <v>543</v>
      </c>
      <c r="M424" s="128">
        <v>7</v>
      </c>
      <c r="N424" s="128">
        <f t="shared" si="6"/>
        <v>-1</v>
      </c>
      <c r="O424" s="130" t="s">
        <v>134</v>
      </c>
      <c r="P424" s="130" t="s">
        <v>134</v>
      </c>
      <c r="Q424" s="130" t="s">
        <v>543</v>
      </c>
      <c r="R424" s="128">
        <v>7</v>
      </c>
      <c r="S424" s="130" t="s">
        <v>1105</v>
      </c>
    </row>
    <row r="425" spans="1:19" x14ac:dyDescent="0.25">
      <c r="A425" s="130" t="s">
        <v>1171</v>
      </c>
      <c r="B425" s="130" t="s">
        <v>1172</v>
      </c>
      <c r="C425" s="130" t="s">
        <v>134</v>
      </c>
      <c r="D425" s="130" t="s">
        <v>134</v>
      </c>
      <c r="E425" s="130" t="s">
        <v>1169</v>
      </c>
      <c r="F425" s="130" t="s">
        <v>1170</v>
      </c>
      <c r="G425" s="130" t="s">
        <v>137</v>
      </c>
      <c r="I425" s="130" t="s">
        <v>416</v>
      </c>
      <c r="J425" s="130" t="s">
        <v>159</v>
      </c>
      <c r="K425" s="130" t="s">
        <v>1169</v>
      </c>
      <c r="L425" s="130" t="s">
        <v>543</v>
      </c>
      <c r="M425" s="128">
        <v>7</v>
      </c>
      <c r="N425" s="128">
        <f t="shared" si="6"/>
        <v>-1</v>
      </c>
      <c r="O425" s="130" t="s">
        <v>134</v>
      </c>
      <c r="P425" s="130" t="s">
        <v>134</v>
      </c>
      <c r="Q425" s="130" t="s">
        <v>543</v>
      </c>
      <c r="R425" s="128">
        <v>7</v>
      </c>
      <c r="S425" s="130" t="s">
        <v>1105</v>
      </c>
    </row>
    <row r="426" spans="1:19" x14ac:dyDescent="0.25">
      <c r="A426" s="130" t="s">
        <v>1173</v>
      </c>
      <c r="B426" s="130" t="s">
        <v>1174</v>
      </c>
      <c r="C426" s="130" t="s">
        <v>134</v>
      </c>
      <c r="D426" s="130" t="s">
        <v>134</v>
      </c>
      <c r="E426" s="130" t="s">
        <v>1169</v>
      </c>
      <c r="F426" s="130" t="s">
        <v>1170</v>
      </c>
      <c r="G426" s="130" t="s">
        <v>137</v>
      </c>
      <c r="I426" s="130" t="s">
        <v>416</v>
      </c>
      <c r="J426" s="130" t="s">
        <v>159</v>
      </c>
      <c r="K426" s="130" t="s">
        <v>1169</v>
      </c>
      <c r="L426" s="130" t="s">
        <v>543</v>
      </c>
      <c r="M426" s="128">
        <v>7</v>
      </c>
      <c r="N426" s="128">
        <f t="shared" si="6"/>
        <v>-1</v>
      </c>
      <c r="O426" s="130" t="s">
        <v>159</v>
      </c>
      <c r="P426" s="130" t="s">
        <v>159</v>
      </c>
      <c r="Q426" s="130" t="s">
        <v>160</v>
      </c>
      <c r="R426" s="128">
        <v>0</v>
      </c>
      <c r="S426" s="130" t="s">
        <v>1105</v>
      </c>
    </row>
    <row r="427" spans="1:19" x14ac:dyDescent="0.25">
      <c r="A427" s="130" t="s">
        <v>1175</v>
      </c>
      <c r="B427" s="130" t="s">
        <v>1176</v>
      </c>
      <c r="C427" s="130" t="s">
        <v>134</v>
      </c>
      <c r="D427" s="130" t="s">
        <v>134</v>
      </c>
      <c r="E427" s="130" t="s">
        <v>1169</v>
      </c>
      <c r="F427" s="130" t="s">
        <v>1170</v>
      </c>
      <c r="G427" s="130" t="s">
        <v>137</v>
      </c>
      <c r="I427" s="130" t="s">
        <v>416</v>
      </c>
      <c r="J427" s="130" t="s">
        <v>159</v>
      </c>
      <c r="K427" s="130" t="s">
        <v>1169</v>
      </c>
      <c r="L427" s="130" t="s">
        <v>543</v>
      </c>
      <c r="M427" s="128">
        <v>7</v>
      </c>
      <c r="N427" s="128">
        <f t="shared" si="6"/>
        <v>-1</v>
      </c>
      <c r="O427" s="130" t="s">
        <v>159</v>
      </c>
      <c r="P427" s="130" t="s">
        <v>159</v>
      </c>
      <c r="Q427" s="130" t="s">
        <v>160</v>
      </c>
      <c r="R427" s="128">
        <v>0</v>
      </c>
      <c r="S427" s="130" t="s">
        <v>1105</v>
      </c>
    </row>
    <row r="428" spans="1:19" x14ac:dyDescent="0.25">
      <c r="A428" s="130" t="s">
        <v>1177</v>
      </c>
      <c r="B428" s="130" t="s">
        <v>1178</v>
      </c>
      <c r="C428" s="130" t="s">
        <v>134</v>
      </c>
      <c r="D428" s="130" t="s">
        <v>134</v>
      </c>
      <c r="E428" s="130" t="s">
        <v>1169</v>
      </c>
      <c r="F428" s="130" t="s">
        <v>1170</v>
      </c>
      <c r="G428" s="130" t="s">
        <v>137</v>
      </c>
      <c r="I428" s="130" t="s">
        <v>416</v>
      </c>
      <c r="J428" s="130" t="s">
        <v>159</v>
      </c>
      <c r="K428" s="130" t="s">
        <v>1169</v>
      </c>
      <c r="L428" s="130" t="s">
        <v>543</v>
      </c>
      <c r="M428" s="128">
        <v>7</v>
      </c>
      <c r="N428" s="128">
        <f t="shared" si="6"/>
        <v>-1</v>
      </c>
      <c r="O428" s="130" t="s">
        <v>134</v>
      </c>
      <c r="P428" s="130" t="s">
        <v>134</v>
      </c>
      <c r="Q428" s="130" t="s">
        <v>543</v>
      </c>
      <c r="R428" s="128">
        <v>7</v>
      </c>
      <c r="S428" s="130" t="s">
        <v>1105</v>
      </c>
    </row>
    <row r="429" spans="1:19" x14ac:dyDescent="0.25">
      <c r="A429" s="130" t="s">
        <v>1179</v>
      </c>
      <c r="B429" s="130" t="s">
        <v>1180</v>
      </c>
      <c r="C429" s="130" t="s">
        <v>134</v>
      </c>
      <c r="D429" s="130" t="s">
        <v>134</v>
      </c>
      <c r="E429" s="130" t="s">
        <v>1169</v>
      </c>
      <c r="F429" s="130" t="s">
        <v>1170</v>
      </c>
      <c r="G429" s="130" t="s">
        <v>137</v>
      </c>
      <c r="I429" s="130" t="s">
        <v>416</v>
      </c>
      <c r="J429" s="130" t="s">
        <v>159</v>
      </c>
      <c r="K429" s="130" t="s">
        <v>1169</v>
      </c>
      <c r="L429" s="130" t="s">
        <v>543</v>
      </c>
      <c r="M429" s="128">
        <v>7</v>
      </c>
      <c r="N429" s="128">
        <f t="shared" si="6"/>
        <v>-1</v>
      </c>
      <c r="O429" s="130" t="s">
        <v>159</v>
      </c>
      <c r="P429" s="130" t="s">
        <v>159</v>
      </c>
      <c r="Q429" s="130" t="s">
        <v>160</v>
      </c>
      <c r="R429" s="128">
        <v>0</v>
      </c>
      <c r="S429" s="130" t="s">
        <v>1105</v>
      </c>
    </row>
    <row r="430" spans="1:19" x14ac:dyDescent="0.25">
      <c r="A430" s="130" t="s">
        <v>1181</v>
      </c>
      <c r="B430" s="130" t="s">
        <v>1182</v>
      </c>
      <c r="C430" s="130" t="s">
        <v>134</v>
      </c>
      <c r="D430" s="130" t="s">
        <v>134</v>
      </c>
      <c r="E430" s="130" t="s">
        <v>1169</v>
      </c>
      <c r="F430" s="130" t="s">
        <v>1170</v>
      </c>
      <c r="G430" s="130" t="s">
        <v>137</v>
      </c>
      <c r="I430" s="130" t="s">
        <v>416</v>
      </c>
      <c r="J430" s="130" t="s">
        <v>159</v>
      </c>
      <c r="K430" s="130" t="s">
        <v>1169</v>
      </c>
      <c r="L430" s="130" t="s">
        <v>543</v>
      </c>
      <c r="M430" s="128">
        <v>7</v>
      </c>
      <c r="N430" s="128">
        <f t="shared" si="6"/>
        <v>-1</v>
      </c>
      <c r="O430" s="130" t="s">
        <v>134</v>
      </c>
      <c r="P430" s="130" t="s">
        <v>134</v>
      </c>
      <c r="Q430" s="130" t="s">
        <v>543</v>
      </c>
      <c r="R430" s="128">
        <v>7</v>
      </c>
      <c r="S430" s="130" t="s">
        <v>1105</v>
      </c>
    </row>
    <row r="431" spans="1:19" x14ac:dyDescent="0.25">
      <c r="A431" s="130" t="s">
        <v>1183</v>
      </c>
      <c r="B431" s="130" t="s">
        <v>1184</v>
      </c>
      <c r="C431" s="130" t="s">
        <v>134</v>
      </c>
      <c r="D431" s="130" t="s">
        <v>134</v>
      </c>
      <c r="E431" s="130" t="s">
        <v>1169</v>
      </c>
      <c r="F431" s="130" t="s">
        <v>1170</v>
      </c>
      <c r="G431" s="130" t="s">
        <v>137</v>
      </c>
      <c r="I431" s="130" t="s">
        <v>416</v>
      </c>
      <c r="J431" s="130" t="s">
        <v>159</v>
      </c>
      <c r="K431" s="130" t="s">
        <v>1169</v>
      </c>
      <c r="L431" s="130" t="s">
        <v>543</v>
      </c>
      <c r="M431" s="128">
        <v>7</v>
      </c>
      <c r="N431" s="128">
        <f t="shared" si="6"/>
        <v>-1</v>
      </c>
      <c r="O431" s="130" t="s">
        <v>134</v>
      </c>
      <c r="P431" s="130" t="s">
        <v>134</v>
      </c>
      <c r="Q431" s="130" t="s">
        <v>543</v>
      </c>
      <c r="R431" s="128">
        <v>7</v>
      </c>
      <c r="S431" s="130" t="s">
        <v>1105</v>
      </c>
    </row>
    <row r="432" spans="1:19" x14ac:dyDescent="0.25">
      <c r="A432" s="130" t="s">
        <v>1185</v>
      </c>
      <c r="B432" s="130" t="s">
        <v>1186</v>
      </c>
      <c r="C432" s="130" t="s">
        <v>134</v>
      </c>
      <c r="D432" s="130" t="s">
        <v>134</v>
      </c>
      <c r="E432" s="130" t="s">
        <v>1169</v>
      </c>
      <c r="F432" s="130" t="s">
        <v>1170</v>
      </c>
      <c r="G432" s="130" t="s">
        <v>137</v>
      </c>
      <c r="I432" s="130" t="s">
        <v>416</v>
      </c>
      <c r="J432" s="130" t="s">
        <v>159</v>
      </c>
      <c r="K432" s="130" t="s">
        <v>1169</v>
      </c>
      <c r="L432" s="130" t="s">
        <v>543</v>
      </c>
      <c r="M432" s="128">
        <v>7</v>
      </c>
      <c r="N432" s="128">
        <f t="shared" si="6"/>
        <v>-1</v>
      </c>
      <c r="O432" s="130" t="s">
        <v>134</v>
      </c>
      <c r="P432" s="130" t="s">
        <v>134</v>
      </c>
      <c r="Q432" s="130" t="s">
        <v>543</v>
      </c>
      <c r="R432" s="128">
        <v>7</v>
      </c>
      <c r="S432" s="130" t="s">
        <v>1105</v>
      </c>
    </row>
    <row r="433" spans="1:19" x14ac:dyDescent="0.25">
      <c r="A433" s="130" t="s">
        <v>1187</v>
      </c>
      <c r="B433" s="130" t="s">
        <v>1188</v>
      </c>
      <c r="C433" s="130" t="s">
        <v>134</v>
      </c>
      <c r="D433" s="130" t="s">
        <v>134</v>
      </c>
      <c r="E433" s="130" t="s">
        <v>1169</v>
      </c>
      <c r="F433" s="130" t="s">
        <v>1170</v>
      </c>
      <c r="G433" s="130" t="s">
        <v>137</v>
      </c>
      <c r="I433" s="130" t="s">
        <v>416</v>
      </c>
      <c r="J433" s="130" t="s">
        <v>159</v>
      </c>
      <c r="K433" s="130" t="s">
        <v>1169</v>
      </c>
      <c r="L433" s="130" t="s">
        <v>543</v>
      </c>
      <c r="M433" s="128">
        <v>7</v>
      </c>
      <c r="N433" s="128">
        <f t="shared" si="6"/>
        <v>-1</v>
      </c>
      <c r="O433" s="130" t="s">
        <v>134</v>
      </c>
      <c r="P433" s="130" t="s">
        <v>134</v>
      </c>
      <c r="Q433" s="130" t="s">
        <v>543</v>
      </c>
      <c r="R433" s="128">
        <v>7</v>
      </c>
      <c r="S433" s="130" t="s">
        <v>1105</v>
      </c>
    </row>
    <row r="434" spans="1:19" x14ac:dyDescent="0.25">
      <c r="A434" s="130" t="s">
        <v>1189</v>
      </c>
      <c r="B434" s="130" t="s">
        <v>1190</v>
      </c>
      <c r="C434" s="130" t="s">
        <v>134</v>
      </c>
      <c r="D434" s="130" t="s">
        <v>134</v>
      </c>
      <c r="E434" s="130" t="s">
        <v>1169</v>
      </c>
      <c r="F434" s="130" t="s">
        <v>1170</v>
      </c>
      <c r="G434" s="130" t="s">
        <v>137</v>
      </c>
      <c r="I434" s="130" t="s">
        <v>416</v>
      </c>
      <c r="J434" s="130" t="s">
        <v>159</v>
      </c>
      <c r="K434" s="130" t="s">
        <v>1169</v>
      </c>
      <c r="L434" s="130" t="s">
        <v>543</v>
      </c>
      <c r="M434" s="128">
        <v>7</v>
      </c>
      <c r="N434" s="128">
        <f t="shared" si="6"/>
        <v>-1</v>
      </c>
      <c r="O434" s="130" t="s">
        <v>134</v>
      </c>
      <c r="P434" s="130" t="s">
        <v>134</v>
      </c>
      <c r="Q434" s="130" t="s">
        <v>543</v>
      </c>
      <c r="R434" s="128">
        <v>7</v>
      </c>
      <c r="S434" s="130" t="s">
        <v>1105</v>
      </c>
    </row>
    <row r="435" spans="1:19" x14ac:dyDescent="0.25">
      <c r="A435" s="130" t="s">
        <v>1191</v>
      </c>
      <c r="B435" s="130" t="s">
        <v>1192</v>
      </c>
      <c r="C435" s="130" t="s">
        <v>134</v>
      </c>
      <c r="D435" s="130" t="s">
        <v>134</v>
      </c>
      <c r="E435" s="130" t="s">
        <v>1193</v>
      </c>
      <c r="F435" s="130" t="s">
        <v>1194</v>
      </c>
      <c r="G435" s="130" t="s">
        <v>137</v>
      </c>
      <c r="I435" s="130" t="s">
        <v>416</v>
      </c>
      <c r="J435" s="130" t="s">
        <v>159</v>
      </c>
      <c r="K435" s="130" t="s">
        <v>1193</v>
      </c>
      <c r="L435" s="130" t="s">
        <v>543</v>
      </c>
      <c r="M435" s="128">
        <v>7</v>
      </c>
      <c r="N435" s="128">
        <f t="shared" si="6"/>
        <v>-1</v>
      </c>
      <c r="O435" s="130" t="s">
        <v>134</v>
      </c>
      <c r="P435" s="130" t="s">
        <v>134</v>
      </c>
      <c r="Q435" s="130" t="s">
        <v>543</v>
      </c>
      <c r="R435" s="128">
        <v>7</v>
      </c>
      <c r="S435" s="130" t="s">
        <v>1105</v>
      </c>
    </row>
    <row r="436" spans="1:19" x14ac:dyDescent="0.25">
      <c r="A436" s="130" t="s">
        <v>1195</v>
      </c>
      <c r="B436" s="130" t="s">
        <v>1196</v>
      </c>
      <c r="C436" s="130" t="s">
        <v>134</v>
      </c>
      <c r="D436" s="130" t="s">
        <v>134</v>
      </c>
      <c r="E436" s="130" t="s">
        <v>1193</v>
      </c>
      <c r="F436" s="130" t="s">
        <v>1194</v>
      </c>
      <c r="G436" s="130" t="s">
        <v>137</v>
      </c>
      <c r="I436" s="130" t="s">
        <v>416</v>
      </c>
      <c r="J436" s="130" t="s">
        <v>159</v>
      </c>
      <c r="K436" s="130" t="s">
        <v>1193</v>
      </c>
      <c r="L436" s="130" t="s">
        <v>543</v>
      </c>
      <c r="M436" s="128">
        <v>7</v>
      </c>
      <c r="N436" s="128">
        <f t="shared" si="6"/>
        <v>-1</v>
      </c>
      <c r="O436" s="130" t="s">
        <v>134</v>
      </c>
      <c r="P436" s="130" t="s">
        <v>134</v>
      </c>
      <c r="Q436" s="130" t="s">
        <v>543</v>
      </c>
      <c r="R436" s="128">
        <v>7</v>
      </c>
      <c r="S436" s="130" t="s">
        <v>1105</v>
      </c>
    </row>
    <row r="437" spans="1:19" x14ac:dyDescent="0.25">
      <c r="A437" s="130" t="s">
        <v>1193</v>
      </c>
      <c r="B437" s="130" t="s">
        <v>1197</v>
      </c>
      <c r="C437" s="130" t="s">
        <v>134</v>
      </c>
      <c r="D437" s="130" t="s">
        <v>134</v>
      </c>
      <c r="E437" s="130" t="s">
        <v>1193</v>
      </c>
      <c r="F437" s="130" t="s">
        <v>1194</v>
      </c>
      <c r="G437" s="130" t="s">
        <v>137</v>
      </c>
      <c r="I437" s="130" t="s">
        <v>416</v>
      </c>
      <c r="J437" s="130" t="s">
        <v>159</v>
      </c>
      <c r="K437" s="130" t="s">
        <v>1193</v>
      </c>
      <c r="L437" s="130" t="s">
        <v>543</v>
      </c>
      <c r="M437" s="128">
        <v>7</v>
      </c>
      <c r="N437" s="128">
        <f t="shared" si="6"/>
        <v>-1</v>
      </c>
      <c r="O437" s="130" t="s">
        <v>134</v>
      </c>
      <c r="P437" s="130" t="s">
        <v>134</v>
      </c>
      <c r="Q437" s="130" t="s">
        <v>543</v>
      </c>
      <c r="R437" s="128">
        <v>7</v>
      </c>
      <c r="S437" s="130" t="s">
        <v>1105</v>
      </c>
    </row>
    <row r="438" spans="1:19" x14ac:dyDescent="0.25">
      <c r="A438" s="130" t="s">
        <v>1198</v>
      </c>
      <c r="B438" s="130" t="s">
        <v>1199</v>
      </c>
      <c r="C438" s="130" t="s">
        <v>134</v>
      </c>
      <c r="D438" s="130" t="s">
        <v>134</v>
      </c>
      <c r="E438" s="130" t="s">
        <v>1193</v>
      </c>
      <c r="F438" s="130" t="s">
        <v>1194</v>
      </c>
      <c r="G438" s="130" t="s">
        <v>137</v>
      </c>
      <c r="I438" s="130" t="s">
        <v>416</v>
      </c>
      <c r="J438" s="130" t="s">
        <v>159</v>
      </c>
      <c r="K438" s="130" t="s">
        <v>1193</v>
      </c>
      <c r="L438" s="130" t="s">
        <v>543</v>
      </c>
      <c r="M438" s="128">
        <v>7</v>
      </c>
      <c r="N438" s="128">
        <f t="shared" si="6"/>
        <v>-1</v>
      </c>
      <c r="O438" s="130" t="s">
        <v>134</v>
      </c>
      <c r="P438" s="130" t="s">
        <v>134</v>
      </c>
      <c r="Q438" s="130" t="s">
        <v>543</v>
      </c>
      <c r="R438" s="128">
        <v>7</v>
      </c>
      <c r="S438" s="130" t="s">
        <v>1105</v>
      </c>
    </row>
    <row r="439" spans="1:19" x14ac:dyDescent="0.25">
      <c r="A439" s="130" t="s">
        <v>1200</v>
      </c>
      <c r="B439" s="130" t="s">
        <v>1201</v>
      </c>
      <c r="C439" s="130" t="s">
        <v>134</v>
      </c>
      <c r="D439" s="130" t="s">
        <v>134</v>
      </c>
      <c r="E439" s="130" t="s">
        <v>1193</v>
      </c>
      <c r="F439" s="130" t="s">
        <v>1194</v>
      </c>
      <c r="G439" s="130" t="s">
        <v>137</v>
      </c>
      <c r="I439" s="130" t="s">
        <v>416</v>
      </c>
      <c r="J439" s="130" t="s">
        <v>159</v>
      </c>
      <c r="K439" s="130" t="s">
        <v>1193</v>
      </c>
      <c r="L439" s="130" t="s">
        <v>543</v>
      </c>
      <c r="M439" s="128">
        <v>7</v>
      </c>
      <c r="N439" s="128">
        <f t="shared" si="6"/>
        <v>-1</v>
      </c>
      <c r="O439" s="130" t="s">
        <v>134</v>
      </c>
      <c r="P439" s="130" t="s">
        <v>134</v>
      </c>
      <c r="Q439" s="130" t="s">
        <v>543</v>
      </c>
      <c r="R439" s="128">
        <v>7</v>
      </c>
      <c r="S439" s="130" t="s">
        <v>1105</v>
      </c>
    </row>
    <row r="440" spans="1:19" x14ac:dyDescent="0.25">
      <c r="A440" s="130" t="s">
        <v>1202</v>
      </c>
      <c r="B440" s="130" t="s">
        <v>1203</v>
      </c>
      <c r="C440" s="130" t="s">
        <v>134</v>
      </c>
      <c r="D440" s="130" t="s">
        <v>134</v>
      </c>
      <c r="E440" s="130" t="s">
        <v>1193</v>
      </c>
      <c r="F440" s="130" t="s">
        <v>1194</v>
      </c>
      <c r="G440" s="130" t="s">
        <v>137</v>
      </c>
      <c r="I440" s="130" t="s">
        <v>416</v>
      </c>
      <c r="J440" s="130" t="s">
        <v>159</v>
      </c>
      <c r="K440" s="130" t="s">
        <v>1193</v>
      </c>
      <c r="L440" s="130" t="s">
        <v>543</v>
      </c>
      <c r="M440" s="128">
        <v>7</v>
      </c>
      <c r="N440" s="128">
        <f t="shared" si="6"/>
        <v>-1</v>
      </c>
      <c r="O440" s="130" t="s">
        <v>134</v>
      </c>
      <c r="P440" s="130" t="s">
        <v>134</v>
      </c>
      <c r="Q440" s="130" t="s">
        <v>543</v>
      </c>
      <c r="R440" s="128">
        <v>7</v>
      </c>
      <c r="S440" s="130" t="s">
        <v>1105</v>
      </c>
    </row>
    <row r="441" spans="1:19" x14ac:dyDescent="0.25">
      <c r="A441" s="130" t="s">
        <v>1204</v>
      </c>
      <c r="B441" s="130" t="s">
        <v>1205</v>
      </c>
      <c r="C441" s="130" t="s">
        <v>134</v>
      </c>
      <c r="D441" s="130" t="s">
        <v>134</v>
      </c>
      <c r="E441" s="130" t="s">
        <v>1193</v>
      </c>
      <c r="F441" s="130" t="s">
        <v>1194</v>
      </c>
      <c r="G441" s="130" t="s">
        <v>137</v>
      </c>
      <c r="I441" s="130" t="s">
        <v>416</v>
      </c>
      <c r="J441" s="130" t="s">
        <v>159</v>
      </c>
      <c r="K441" s="130" t="s">
        <v>1193</v>
      </c>
      <c r="L441" s="130" t="s">
        <v>543</v>
      </c>
      <c r="M441" s="128">
        <v>7</v>
      </c>
      <c r="N441" s="128">
        <f t="shared" si="6"/>
        <v>-1</v>
      </c>
      <c r="O441" s="130" t="s">
        <v>134</v>
      </c>
      <c r="P441" s="130" t="s">
        <v>134</v>
      </c>
      <c r="Q441" s="130" t="s">
        <v>543</v>
      </c>
      <c r="R441" s="128">
        <v>7</v>
      </c>
      <c r="S441" s="130" t="s">
        <v>1105</v>
      </c>
    </row>
    <row r="442" spans="1:19" x14ac:dyDescent="0.25">
      <c r="A442" s="130" t="s">
        <v>1206</v>
      </c>
      <c r="B442" s="130" t="s">
        <v>1207</v>
      </c>
      <c r="C442" s="130" t="s">
        <v>134</v>
      </c>
      <c r="D442" s="130" t="s">
        <v>134</v>
      </c>
      <c r="E442" s="130" t="s">
        <v>1193</v>
      </c>
      <c r="F442" s="130" t="s">
        <v>1194</v>
      </c>
      <c r="G442" s="130" t="s">
        <v>137</v>
      </c>
      <c r="I442" s="130" t="s">
        <v>416</v>
      </c>
      <c r="J442" s="130" t="s">
        <v>159</v>
      </c>
      <c r="K442" s="130" t="s">
        <v>1193</v>
      </c>
      <c r="L442" s="130" t="s">
        <v>543</v>
      </c>
      <c r="M442" s="128">
        <v>7</v>
      </c>
      <c r="N442" s="128">
        <f t="shared" si="6"/>
        <v>-1</v>
      </c>
      <c r="O442" s="130" t="s">
        <v>134</v>
      </c>
      <c r="P442" s="130" t="s">
        <v>134</v>
      </c>
      <c r="Q442" s="130" t="s">
        <v>543</v>
      </c>
      <c r="R442" s="128">
        <v>7</v>
      </c>
      <c r="S442" s="130" t="s">
        <v>1105</v>
      </c>
    </row>
    <row r="443" spans="1:19" x14ac:dyDescent="0.25">
      <c r="A443" s="130" t="s">
        <v>1208</v>
      </c>
      <c r="B443" s="130" t="s">
        <v>1209</v>
      </c>
      <c r="C443" s="130" t="s">
        <v>134</v>
      </c>
      <c r="D443" s="130" t="s">
        <v>134</v>
      </c>
      <c r="E443" s="130" t="s">
        <v>1193</v>
      </c>
      <c r="F443" s="130" t="s">
        <v>1194</v>
      </c>
      <c r="G443" s="130" t="s">
        <v>137</v>
      </c>
      <c r="I443" s="130" t="s">
        <v>416</v>
      </c>
      <c r="J443" s="130" t="s">
        <v>159</v>
      </c>
      <c r="K443" s="130" t="s">
        <v>1193</v>
      </c>
      <c r="L443" s="130" t="s">
        <v>543</v>
      </c>
      <c r="M443" s="128">
        <v>7</v>
      </c>
      <c r="N443" s="128">
        <f t="shared" si="6"/>
        <v>-1</v>
      </c>
      <c r="O443" s="130" t="s">
        <v>134</v>
      </c>
      <c r="P443" s="130" t="s">
        <v>134</v>
      </c>
      <c r="Q443" s="130" t="s">
        <v>543</v>
      </c>
      <c r="R443" s="128">
        <v>7</v>
      </c>
      <c r="S443" s="130" t="s">
        <v>1105</v>
      </c>
    </row>
    <row r="444" spans="1:19" x14ac:dyDescent="0.25">
      <c r="A444" s="130" t="s">
        <v>1210</v>
      </c>
      <c r="B444" s="130" t="s">
        <v>1211</v>
      </c>
      <c r="C444" s="130" t="s">
        <v>134</v>
      </c>
      <c r="D444" s="130" t="s">
        <v>134</v>
      </c>
      <c r="E444" s="130" t="s">
        <v>1193</v>
      </c>
      <c r="F444" s="130" t="s">
        <v>1194</v>
      </c>
      <c r="G444" s="130" t="s">
        <v>137</v>
      </c>
      <c r="I444" s="130" t="s">
        <v>416</v>
      </c>
      <c r="J444" s="130" t="s">
        <v>159</v>
      </c>
      <c r="K444" s="130" t="s">
        <v>1193</v>
      </c>
      <c r="L444" s="130" t="s">
        <v>543</v>
      </c>
      <c r="M444" s="128">
        <v>7</v>
      </c>
      <c r="N444" s="128">
        <f t="shared" si="6"/>
        <v>-1</v>
      </c>
      <c r="O444" s="130" t="s">
        <v>134</v>
      </c>
      <c r="P444" s="130" t="s">
        <v>134</v>
      </c>
      <c r="Q444" s="130" t="s">
        <v>543</v>
      </c>
      <c r="R444" s="128">
        <v>7</v>
      </c>
      <c r="S444" s="130" t="s">
        <v>1105</v>
      </c>
    </row>
    <row r="445" spans="1:19" x14ac:dyDescent="0.25">
      <c r="A445" s="130" t="s">
        <v>1212</v>
      </c>
      <c r="B445" s="130" t="s">
        <v>1213</v>
      </c>
      <c r="C445" s="130" t="s">
        <v>134</v>
      </c>
      <c r="D445" s="130" t="s">
        <v>134</v>
      </c>
      <c r="E445" s="130" t="s">
        <v>1193</v>
      </c>
      <c r="F445" s="130" t="s">
        <v>1194</v>
      </c>
      <c r="G445" s="130" t="s">
        <v>137</v>
      </c>
      <c r="I445" s="130" t="s">
        <v>416</v>
      </c>
      <c r="J445" s="130" t="s">
        <v>159</v>
      </c>
      <c r="K445" s="130" t="s">
        <v>1193</v>
      </c>
      <c r="L445" s="130" t="s">
        <v>543</v>
      </c>
      <c r="M445" s="128">
        <v>7</v>
      </c>
      <c r="N445" s="128">
        <f t="shared" si="6"/>
        <v>-1</v>
      </c>
      <c r="O445" s="130" t="s">
        <v>134</v>
      </c>
      <c r="P445" s="130" t="s">
        <v>134</v>
      </c>
      <c r="Q445" s="130" t="s">
        <v>543</v>
      </c>
      <c r="R445" s="128">
        <v>7</v>
      </c>
      <c r="S445" s="130" t="s">
        <v>1105</v>
      </c>
    </row>
    <row r="446" spans="1:19" x14ac:dyDescent="0.25">
      <c r="A446" s="130" t="s">
        <v>1214</v>
      </c>
      <c r="B446" s="130" t="s">
        <v>1215</v>
      </c>
      <c r="C446" s="130" t="s">
        <v>134</v>
      </c>
      <c r="D446" s="130" t="s">
        <v>134</v>
      </c>
      <c r="E446" s="130" t="s">
        <v>1193</v>
      </c>
      <c r="F446" s="130" t="s">
        <v>1194</v>
      </c>
      <c r="G446" s="130" t="s">
        <v>137</v>
      </c>
      <c r="I446" s="130" t="s">
        <v>416</v>
      </c>
      <c r="J446" s="130" t="s">
        <v>159</v>
      </c>
      <c r="K446" s="130" t="s">
        <v>1193</v>
      </c>
      <c r="L446" s="130" t="s">
        <v>543</v>
      </c>
      <c r="M446" s="128">
        <v>7</v>
      </c>
      <c r="N446" s="128">
        <f t="shared" si="6"/>
        <v>-1</v>
      </c>
      <c r="O446" s="130" t="s">
        <v>134</v>
      </c>
      <c r="P446" s="130" t="s">
        <v>134</v>
      </c>
      <c r="Q446" s="130" t="s">
        <v>543</v>
      </c>
      <c r="R446" s="128">
        <v>7</v>
      </c>
      <c r="S446" s="130" t="s">
        <v>1105</v>
      </c>
    </row>
    <row r="447" spans="1:19" x14ac:dyDescent="0.25">
      <c r="A447" s="130" t="s">
        <v>1216</v>
      </c>
      <c r="B447" s="130" t="s">
        <v>1217</v>
      </c>
      <c r="C447" s="130" t="s">
        <v>134</v>
      </c>
      <c r="D447" s="130" t="s">
        <v>134</v>
      </c>
      <c r="E447" s="130" t="s">
        <v>1193</v>
      </c>
      <c r="F447" s="130" t="s">
        <v>1194</v>
      </c>
      <c r="G447" s="130" t="s">
        <v>137</v>
      </c>
      <c r="I447" s="130" t="s">
        <v>416</v>
      </c>
      <c r="J447" s="130" t="s">
        <v>159</v>
      </c>
      <c r="K447" s="130" t="s">
        <v>1193</v>
      </c>
      <c r="L447" s="130" t="s">
        <v>543</v>
      </c>
      <c r="M447" s="128">
        <v>7</v>
      </c>
      <c r="N447" s="128">
        <f t="shared" si="6"/>
        <v>-1</v>
      </c>
      <c r="O447" s="130" t="s">
        <v>134</v>
      </c>
      <c r="P447" s="130" t="s">
        <v>134</v>
      </c>
      <c r="Q447" s="130" t="s">
        <v>543</v>
      </c>
      <c r="R447" s="128">
        <v>7</v>
      </c>
      <c r="S447" s="130" t="s">
        <v>1105</v>
      </c>
    </row>
    <row r="448" spans="1:19" x14ac:dyDescent="0.25">
      <c r="A448" s="130" t="s">
        <v>1218</v>
      </c>
      <c r="B448" s="130" t="s">
        <v>1219</v>
      </c>
      <c r="C448" s="130" t="s">
        <v>134</v>
      </c>
      <c r="D448" s="130" t="s">
        <v>134</v>
      </c>
      <c r="E448" s="130" t="s">
        <v>1193</v>
      </c>
      <c r="F448" s="130" t="s">
        <v>1194</v>
      </c>
      <c r="G448" s="130" t="s">
        <v>137</v>
      </c>
      <c r="I448" s="130" t="s">
        <v>416</v>
      </c>
      <c r="J448" s="130" t="s">
        <v>159</v>
      </c>
      <c r="K448" s="130" t="s">
        <v>1193</v>
      </c>
      <c r="L448" s="130" t="s">
        <v>543</v>
      </c>
      <c r="M448" s="128">
        <v>7</v>
      </c>
      <c r="N448" s="128">
        <f t="shared" si="6"/>
        <v>-1</v>
      </c>
      <c r="O448" s="130" t="s">
        <v>134</v>
      </c>
      <c r="P448" s="130" t="s">
        <v>134</v>
      </c>
      <c r="Q448" s="130" t="s">
        <v>543</v>
      </c>
      <c r="R448" s="128">
        <v>7</v>
      </c>
      <c r="S448" s="130" t="s">
        <v>1105</v>
      </c>
    </row>
    <row r="449" spans="1:19" x14ac:dyDescent="0.25">
      <c r="A449" s="130" t="s">
        <v>1220</v>
      </c>
      <c r="B449" s="130" t="s">
        <v>1221</v>
      </c>
      <c r="C449" s="130" t="s">
        <v>134</v>
      </c>
      <c r="D449" s="130" t="s">
        <v>134</v>
      </c>
      <c r="E449" s="130" t="s">
        <v>1193</v>
      </c>
      <c r="F449" s="130" t="s">
        <v>1194</v>
      </c>
      <c r="G449" s="130" t="s">
        <v>137</v>
      </c>
      <c r="I449" s="130" t="s">
        <v>416</v>
      </c>
      <c r="J449" s="130" t="s">
        <v>159</v>
      </c>
      <c r="K449" s="130" t="s">
        <v>1193</v>
      </c>
      <c r="L449" s="130" t="s">
        <v>543</v>
      </c>
      <c r="M449" s="128">
        <v>7</v>
      </c>
      <c r="N449" s="128">
        <f t="shared" si="6"/>
        <v>-1</v>
      </c>
      <c r="O449" s="130" t="s">
        <v>134</v>
      </c>
      <c r="P449" s="130" t="s">
        <v>134</v>
      </c>
      <c r="Q449" s="130" t="s">
        <v>543</v>
      </c>
      <c r="R449" s="128">
        <v>7</v>
      </c>
      <c r="S449" s="130" t="s">
        <v>1105</v>
      </c>
    </row>
    <row r="450" spans="1:19" x14ac:dyDescent="0.25">
      <c r="A450" s="130" t="s">
        <v>1222</v>
      </c>
      <c r="B450" s="130" t="s">
        <v>1223</v>
      </c>
      <c r="C450" s="130" t="s">
        <v>134</v>
      </c>
      <c r="D450" s="130" t="s">
        <v>134</v>
      </c>
      <c r="E450" s="130" t="s">
        <v>1193</v>
      </c>
      <c r="F450" s="130" t="s">
        <v>1194</v>
      </c>
      <c r="G450" s="130" t="s">
        <v>137</v>
      </c>
      <c r="I450" s="130" t="s">
        <v>416</v>
      </c>
      <c r="J450" s="130" t="s">
        <v>159</v>
      </c>
      <c r="K450" s="130" t="s">
        <v>1193</v>
      </c>
      <c r="L450" s="130" t="s">
        <v>543</v>
      </c>
      <c r="M450" s="128">
        <v>7</v>
      </c>
      <c r="N450" s="128">
        <f t="shared" si="6"/>
        <v>-1</v>
      </c>
      <c r="O450" s="130" t="s">
        <v>134</v>
      </c>
      <c r="P450" s="130" t="s">
        <v>134</v>
      </c>
      <c r="Q450" s="130" t="s">
        <v>543</v>
      </c>
      <c r="R450" s="128">
        <v>7</v>
      </c>
      <c r="S450" s="130" t="s">
        <v>1105</v>
      </c>
    </row>
    <row r="451" spans="1:19" x14ac:dyDescent="0.25">
      <c r="A451" s="130" t="s">
        <v>1224</v>
      </c>
      <c r="B451" s="130" t="s">
        <v>1225</v>
      </c>
      <c r="C451" s="130" t="s">
        <v>134</v>
      </c>
      <c r="D451" s="130" t="s">
        <v>134</v>
      </c>
      <c r="E451" s="130" t="s">
        <v>1193</v>
      </c>
      <c r="F451" s="130" t="s">
        <v>1194</v>
      </c>
      <c r="G451" s="130" t="s">
        <v>137</v>
      </c>
      <c r="I451" s="130" t="s">
        <v>416</v>
      </c>
      <c r="J451" s="130" t="s">
        <v>159</v>
      </c>
      <c r="K451" s="130" t="s">
        <v>1193</v>
      </c>
      <c r="L451" s="130" t="s">
        <v>543</v>
      </c>
      <c r="M451" s="128">
        <v>7</v>
      </c>
      <c r="N451" s="128">
        <f t="shared" ref="N451:N514" si="7">M451-L451</f>
        <v>-1</v>
      </c>
      <c r="O451" s="130" t="s">
        <v>134</v>
      </c>
      <c r="P451" s="130" t="s">
        <v>134</v>
      </c>
      <c r="Q451" s="130" t="s">
        <v>543</v>
      </c>
      <c r="R451" s="128">
        <v>7</v>
      </c>
      <c r="S451" s="130" t="s">
        <v>1105</v>
      </c>
    </row>
    <row r="452" spans="1:19" x14ac:dyDescent="0.25">
      <c r="A452" s="130" t="s">
        <v>1226</v>
      </c>
      <c r="B452" s="130" t="s">
        <v>1227</v>
      </c>
      <c r="C452" s="130" t="s">
        <v>134</v>
      </c>
      <c r="D452" s="130" t="s">
        <v>134</v>
      </c>
      <c r="E452" s="130" t="s">
        <v>1193</v>
      </c>
      <c r="F452" s="130" t="s">
        <v>1194</v>
      </c>
      <c r="G452" s="130" t="s">
        <v>137</v>
      </c>
      <c r="I452" s="130" t="s">
        <v>416</v>
      </c>
      <c r="J452" s="130" t="s">
        <v>159</v>
      </c>
      <c r="K452" s="130" t="s">
        <v>1193</v>
      </c>
      <c r="L452" s="130" t="s">
        <v>543</v>
      </c>
      <c r="M452" s="128">
        <v>7</v>
      </c>
      <c r="N452" s="128">
        <f t="shared" si="7"/>
        <v>-1</v>
      </c>
      <c r="O452" s="130" t="s">
        <v>134</v>
      </c>
      <c r="P452" s="130" t="s">
        <v>134</v>
      </c>
      <c r="Q452" s="130" t="s">
        <v>543</v>
      </c>
      <c r="R452" s="128">
        <v>7</v>
      </c>
      <c r="S452" s="130" t="s">
        <v>1105</v>
      </c>
    </row>
    <row r="453" spans="1:19" x14ac:dyDescent="0.25">
      <c r="A453" s="130" t="s">
        <v>1228</v>
      </c>
      <c r="B453" s="130" t="s">
        <v>1229</v>
      </c>
      <c r="C453" s="130" t="s">
        <v>134</v>
      </c>
      <c r="D453" s="130" t="s">
        <v>134</v>
      </c>
      <c r="E453" s="130" t="s">
        <v>1193</v>
      </c>
      <c r="F453" s="130" t="s">
        <v>1194</v>
      </c>
      <c r="G453" s="130" t="s">
        <v>137</v>
      </c>
      <c r="I453" s="130" t="s">
        <v>416</v>
      </c>
      <c r="J453" s="130" t="s">
        <v>159</v>
      </c>
      <c r="K453" s="130" t="s">
        <v>1193</v>
      </c>
      <c r="L453" s="130" t="s">
        <v>543</v>
      </c>
      <c r="M453" s="128">
        <v>7</v>
      </c>
      <c r="N453" s="128">
        <f t="shared" si="7"/>
        <v>-1</v>
      </c>
      <c r="O453" s="130" t="s">
        <v>134</v>
      </c>
      <c r="P453" s="130" t="s">
        <v>134</v>
      </c>
      <c r="Q453" s="130" t="s">
        <v>543</v>
      </c>
      <c r="R453" s="128">
        <v>7</v>
      </c>
      <c r="S453" s="130" t="s">
        <v>1105</v>
      </c>
    </row>
    <row r="454" spans="1:19" x14ac:dyDescent="0.25">
      <c r="A454" s="130" t="s">
        <v>1230</v>
      </c>
      <c r="B454" s="130" t="s">
        <v>1231</v>
      </c>
      <c r="C454" s="130" t="s">
        <v>134</v>
      </c>
      <c r="D454" s="130" t="s">
        <v>134</v>
      </c>
      <c r="E454" s="130" t="s">
        <v>1193</v>
      </c>
      <c r="F454" s="130" t="s">
        <v>1194</v>
      </c>
      <c r="G454" s="130" t="s">
        <v>137</v>
      </c>
      <c r="I454" s="130" t="s">
        <v>416</v>
      </c>
      <c r="J454" s="130" t="s">
        <v>159</v>
      </c>
      <c r="K454" s="130" t="s">
        <v>1193</v>
      </c>
      <c r="L454" s="130" t="s">
        <v>543</v>
      </c>
      <c r="M454" s="128">
        <v>7</v>
      </c>
      <c r="N454" s="128">
        <f t="shared" si="7"/>
        <v>-1</v>
      </c>
      <c r="O454" s="130" t="s">
        <v>134</v>
      </c>
      <c r="P454" s="130" t="s">
        <v>134</v>
      </c>
      <c r="Q454" s="130" t="s">
        <v>543</v>
      </c>
      <c r="R454" s="128">
        <v>7</v>
      </c>
      <c r="S454" s="130" t="s">
        <v>1105</v>
      </c>
    </row>
    <row r="455" spans="1:19" x14ac:dyDescent="0.25">
      <c r="A455" s="130" t="s">
        <v>1232</v>
      </c>
      <c r="B455" s="130" t="s">
        <v>1233</v>
      </c>
      <c r="C455" s="130" t="s">
        <v>134</v>
      </c>
      <c r="D455" s="130" t="s">
        <v>134</v>
      </c>
      <c r="E455" s="130" t="s">
        <v>1193</v>
      </c>
      <c r="F455" s="130" t="s">
        <v>1194</v>
      </c>
      <c r="G455" s="130" t="s">
        <v>137</v>
      </c>
      <c r="I455" s="130" t="s">
        <v>416</v>
      </c>
      <c r="J455" s="130" t="s">
        <v>159</v>
      </c>
      <c r="K455" s="130" t="s">
        <v>1193</v>
      </c>
      <c r="L455" s="130" t="s">
        <v>543</v>
      </c>
      <c r="M455" s="128">
        <v>7</v>
      </c>
      <c r="N455" s="128">
        <f t="shared" si="7"/>
        <v>-1</v>
      </c>
      <c r="O455" s="130" t="s">
        <v>134</v>
      </c>
      <c r="P455" s="130" t="s">
        <v>134</v>
      </c>
      <c r="Q455" s="130" t="s">
        <v>543</v>
      </c>
      <c r="R455" s="128">
        <v>7</v>
      </c>
      <c r="S455" s="130" t="s">
        <v>1105</v>
      </c>
    </row>
    <row r="456" spans="1:19" x14ac:dyDescent="0.25">
      <c r="A456" s="130" t="s">
        <v>1234</v>
      </c>
      <c r="B456" s="130" t="s">
        <v>1235</v>
      </c>
      <c r="C456" s="130" t="s">
        <v>134</v>
      </c>
      <c r="D456" s="130" t="s">
        <v>134</v>
      </c>
      <c r="E456" s="130" t="s">
        <v>1193</v>
      </c>
      <c r="F456" s="130" t="s">
        <v>1194</v>
      </c>
      <c r="G456" s="130" t="s">
        <v>137</v>
      </c>
      <c r="I456" s="130" t="s">
        <v>416</v>
      </c>
      <c r="J456" s="130" t="s">
        <v>159</v>
      </c>
      <c r="K456" s="130" t="s">
        <v>1193</v>
      </c>
      <c r="L456" s="130" t="s">
        <v>543</v>
      </c>
      <c r="M456" s="128">
        <v>7</v>
      </c>
      <c r="N456" s="128">
        <f t="shared" si="7"/>
        <v>-1</v>
      </c>
      <c r="O456" s="130" t="s">
        <v>134</v>
      </c>
      <c r="P456" s="130" t="s">
        <v>134</v>
      </c>
      <c r="Q456" s="130" t="s">
        <v>543</v>
      </c>
      <c r="R456" s="128">
        <v>7</v>
      </c>
      <c r="S456" s="130" t="s">
        <v>1105</v>
      </c>
    </row>
    <row r="457" spans="1:19" x14ac:dyDescent="0.25">
      <c r="A457" s="130" t="s">
        <v>1236</v>
      </c>
      <c r="B457" s="130" t="s">
        <v>1237</v>
      </c>
      <c r="C457" s="130" t="s">
        <v>134</v>
      </c>
      <c r="D457" s="130" t="s">
        <v>134</v>
      </c>
      <c r="E457" s="130" t="s">
        <v>1193</v>
      </c>
      <c r="F457" s="130" t="s">
        <v>1194</v>
      </c>
      <c r="G457" s="130" t="s">
        <v>137</v>
      </c>
      <c r="I457" s="130" t="s">
        <v>416</v>
      </c>
      <c r="J457" s="130" t="s">
        <v>159</v>
      </c>
      <c r="K457" s="130" t="s">
        <v>1193</v>
      </c>
      <c r="L457" s="130" t="s">
        <v>543</v>
      </c>
      <c r="M457" s="128">
        <v>7</v>
      </c>
      <c r="N457" s="128">
        <f t="shared" si="7"/>
        <v>-1</v>
      </c>
      <c r="O457" s="130" t="s">
        <v>134</v>
      </c>
      <c r="P457" s="130" t="s">
        <v>134</v>
      </c>
      <c r="Q457" s="130" t="s">
        <v>543</v>
      </c>
      <c r="R457" s="128">
        <v>7</v>
      </c>
      <c r="S457" s="130" t="s">
        <v>1105</v>
      </c>
    </row>
    <row r="458" spans="1:19" x14ac:dyDescent="0.25">
      <c r="A458" s="130" t="s">
        <v>1238</v>
      </c>
      <c r="B458" s="130" t="s">
        <v>1239</v>
      </c>
      <c r="C458" s="130" t="s">
        <v>134</v>
      </c>
      <c r="D458" s="130" t="s">
        <v>134</v>
      </c>
      <c r="E458" s="130" t="s">
        <v>1193</v>
      </c>
      <c r="F458" s="130" t="s">
        <v>1194</v>
      </c>
      <c r="G458" s="130" t="s">
        <v>137</v>
      </c>
      <c r="I458" s="130" t="s">
        <v>416</v>
      </c>
      <c r="J458" s="130" t="s">
        <v>159</v>
      </c>
      <c r="K458" s="130" t="s">
        <v>1193</v>
      </c>
      <c r="L458" s="130" t="s">
        <v>543</v>
      </c>
      <c r="M458" s="128">
        <v>7</v>
      </c>
      <c r="N458" s="128">
        <f t="shared" si="7"/>
        <v>-1</v>
      </c>
      <c r="O458" s="130" t="s">
        <v>134</v>
      </c>
      <c r="P458" s="130" t="s">
        <v>134</v>
      </c>
      <c r="Q458" s="130" t="s">
        <v>543</v>
      </c>
      <c r="R458" s="128">
        <v>7</v>
      </c>
      <c r="S458" s="130" t="s">
        <v>1105</v>
      </c>
    </row>
    <row r="459" spans="1:19" x14ac:dyDescent="0.25">
      <c r="A459" s="130" t="s">
        <v>1240</v>
      </c>
      <c r="B459" s="130" t="s">
        <v>1241</v>
      </c>
      <c r="C459" s="130" t="s">
        <v>134</v>
      </c>
      <c r="D459" s="130" t="s">
        <v>134</v>
      </c>
      <c r="E459" s="130" t="s">
        <v>1193</v>
      </c>
      <c r="F459" s="130" t="s">
        <v>1194</v>
      </c>
      <c r="G459" s="130" t="s">
        <v>137</v>
      </c>
      <c r="I459" s="130" t="s">
        <v>416</v>
      </c>
      <c r="J459" s="130" t="s">
        <v>159</v>
      </c>
      <c r="K459" s="130" t="s">
        <v>1193</v>
      </c>
      <c r="L459" s="130" t="s">
        <v>543</v>
      </c>
      <c r="M459" s="128">
        <v>7</v>
      </c>
      <c r="N459" s="128">
        <f t="shared" si="7"/>
        <v>-1</v>
      </c>
      <c r="O459" s="130" t="s">
        <v>134</v>
      </c>
      <c r="P459" s="130" t="s">
        <v>134</v>
      </c>
      <c r="Q459" s="130" t="s">
        <v>543</v>
      </c>
      <c r="R459" s="128">
        <v>7</v>
      </c>
      <c r="S459" s="130" t="s">
        <v>1105</v>
      </c>
    </row>
    <row r="460" spans="1:19" x14ac:dyDescent="0.25">
      <c r="A460" s="130" t="s">
        <v>1242</v>
      </c>
      <c r="B460" s="130" t="s">
        <v>1243</v>
      </c>
      <c r="C460" s="130" t="s">
        <v>134</v>
      </c>
      <c r="D460" s="130" t="s">
        <v>134</v>
      </c>
      <c r="E460" s="130" t="s">
        <v>1193</v>
      </c>
      <c r="F460" s="130" t="s">
        <v>1194</v>
      </c>
      <c r="G460" s="130" t="s">
        <v>137</v>
      </c>
      <c r="I460" s="130" t="s">
        <v>416</v>
      </c>
      <c r="J460" s="130" t="s">
        <v>159</v>
      </c>
      <c r="K460" s="130" t="s">
        <v>1193</v>
      </c>
      <c r="L460" s="130" t="s">
        <v>543</v>
      </c>
      <c r="M460" s="128">
        <v>7</v>
      </c>
      <c r="N460" s="128">
        <f t="shared" si="7"/>
        <v>-1</v>
      </c>
      <c r="O460" s="130" t="s">
        <v>134</v>
      </c>
      <c r="P460" s="130" t="s">
        <v>134</v>
      </c>
      <c r="Q460" s="130" t="s">
        <v>543</v>
      </c>
      <c r="R460" s="128">
        <v>7</v>
      </c>
      <c r="S460" s="130" t="s">
        <v>1105</v>
      </c>
    </row>
    <row r="461" spans="1:19" x14ac:dyDescent="0.25">
      <c r="A461" s="130" t="s">
        <v>1244</v>
      </c>
      <c r="B461" s="130" t="s">
        <v>1245</v>
      </c>
      <c r="C461" s="130" t="s">
        <v>134</v>
      </c>
      <c r="D461" s="130" t="s">
        <v>134</v>
      </c>
      <c r="E461" s="130" t="s">
        <v>1193</v>
      </c>
      <c r="F461" s="130" t="s">
        <v>1194</v>
      </c>
      <c r="G461" s="130" t="s">
        <v>137</v>
      </c>
      <c r="I461" s="130" t="s">
        <v>416</v>
      </c>
      <c r="J461" s="130" t="s">
        <v>159</v>
      </c>
      <c r="K461" s="130" t="s">
        <v>1193</v>
      </c>
      <c r="L461" s="130" t="s">
        <v>543</v>
      </c>
      <c r="M461" s="128">
        <v>7</v>
      </c>
      <c r="N461" s="128">
        <f t="shared" si="7"/>
        <v>-1</v>
      </c>
      <c r="O461" s="130" t="s">
        <v>134</v>
      </c>
      <c r="P461" s="130" t="s">
        <v>134</v>
      </c>
      <c r="Q461" s="130" t="s">
        <v>543</v>
      </c>
      <c r="R461" s="128">
        <v>7</v>
      </c>
      <c r="S461" s="130" t="s">
        <v>1105</v>
      </c>
    </row>
    <row r="462" spans="1:19" x14ac:dyDescent="0.25">
      <c r="A462" s="130" t="s">
        <v>1246</v>
      </c>
      <c r="B462" s="130" t="s">
        <v>1247</v>
      </c>
      <c r="C462" s="130" t="s">
        <v>134</v>
      </c>
      <c r="D462" s="130" t="s">
        <v>134</v>
      </c>
      <c r="E462" s="130" t="s">
        <v>1193</v>
      </c>
      <c r="F462" s="130" t="s">
        <v>1194</v>
      </c>
      <c r="G462" s="130" t="s">
        <v>137</v>
      </c>
      <c r="I462" s="130" t="s">
        <v>416</v>
      </c>
      <c r="J462" s="130" t="s">
        <v>159</v>
      </c>
      <c r="K462" s="130" t="s">
        <v>1193</v>
      </c>
      <c r="L462" s="130" t="s">
        <v>543</v>
      </c>
      <c r="M462" s="128">
        <v>7</v>
      </c>
      <c r="N462" s="128">
        <f t="shared" si="7"/>
        <v>-1</v>
      </c>
      <c r="O462" s="130" t="s">
        <v>134</v>
      </c>
      <c r="P462" s="130" t="s">
        <v>134</v>
      </c>
      <c r="Q462" s="130" t="s">
        <v>543</v>
      </c>
      <c r="R462" s="128">
        <v>7</v>
      </c>
      <c r="S462" s="130" t="s">
        <v>1105</v>
      </c>
    </row>
    <row r="463" spans="1:19" x14ac:dyDescent="0.25">
      <c r="A463" s="130" t="s">
        <v>1248</v>
      </c>
      <c r="B463" s="130" t="s">
        <v>1249</v>
      </c>
      <c r="C463" s="130" t="s">
        <v>134</v>
      </c>
      <c r="D463" s="130" t="s">
        <v>134</v>
      </c>
      <c r="E463" s="130" t="s">
        <v>1193</v>
      </c>
      <c r="F463" s="130" t="s">
        <v>1194</v>
      </c>
      <c r="G463" s="130" t="s">
        <v>137</v>
      </c>
      <c r="I463" s="130" t="s">
        <v>416</v>
      </c>
      <c r="J463" s="130" t="s">
        <v>159</v>
      </c>
      <c r="K463" s="130" t="s">
        <v>1193</v>
      </c>
      <c r="L463" s="130" t="s">
        <v>543</v>
      </c>
      <c r="M463" s="128">
        <v>7</v>
      </c>
      <c r="N463" s="128">
        <f t="shared" si="7"/>
        <v>-1</v>
      </c>
      <c r="O463" s="130" t="s">
        <v>134</v>
      </c>
      <c r="P463" s="130" t="s">
        <v>134</v>
      </c>
      <c r="Q463" s="130" t="s">
        <v>543</v>
      </c>
      <c r="R463" s="128">
        <v>7</v>
      </c>
      <c r="S463" s="130" t="s">
        <v>1105</v>
      </c>
    </row>
    <row r="464" spans="1:19" x14ac:dyDescent="0.25">
      <c r="A464" s="130" t="s">
        <v>1250</v>
      </c>
      <c r="B464" s="130" t="s">
        <v>1251</v>
      </c>
      <c r="C464" s="130" t="s">
        <v>134</v>
      </c>
      <c r="D464" s="130" t="s">
        <v>134</v>
      </c>
      <c r="E464" s="130" t="s">
        <v>1193</v>
      </c>
      <c r="F464" s="130" t="s">
        <v>1194</v>
      </c>
      <c r="G464" s="130" t="s">
        <v>137</v>
      </c>
      <c r="I464" s="130" t="s">
        <v>416</v>
      </c>
      <c r="J464" s="130" t="s">
        <v>159</v>
      </c>
      <c r="K464" s="130" t="s">
        <v>1193</v>
      </c>
      <c r="L464" s="130" t="s">
        <v>543</v>
      </c>
      <c r="M464" s="128">
        <v>7</v>
      </c>
      <c r="N464" s="128">
        <f t="shared" si="7"/>
        <v>-1</v>
      </c>
      <c r="O464" s="130" t="s">
        <v>134</v>
      </c>
      <c r="P464" s="130" t="s">
        <v>134</v>
      </c>
      <c r="Q464" s="130" t="s">
        <v>543</v>
      </c>
      <c r="R464" s="128">
        <v>7</v>
      </c>
      <c r="S464" s="130" t="s">
        <v>1105</v>
      </c>
    </row>
    <row r="465" spans="1:19" x14ac:dyDescent="0.25">
      <c r="A465" s="130" t="s">
        <v>1252</v>
      </c>
      <c r="B465" s="130" t="s">
        <v>1253</v>
      </c>
      <c r="C465" s="130" t="s">
        <v>134</v>
      </c>
      <c r="D465" s="130" t="s">
        <v>134</v>
      </c>
      <c r="E465" s="130" t="s">
        <v>1252</v>
      </c>
      <c r="F465" s="130" t="s">
        <v>1254</v>
      </c>
      <c r="G465" s="130" t="s">
        <v>137</v>
      </c>
      <c r="I465" s="130" t="s">
        <v>416</v>
      </c>
      <c r="J465" s="130" t="s">
        <v>159</v>
      </c>
      <c r="K465" s="130" t="s">
        <v>1252</v>
      </c>
      <c r="L465" s="130" t="s">
        <v>543</v>
      </c>
      <c r="M465" s="128">
        <v>8</v>
      </c>
      <c r="N465" s="128">
        <f t="shared" si="7"/>
        <v>0</v>
      </c>
      <c r="O465" s="130" t="s">
        <v>134</v>
      </c>
      <c r="P465" s="130" t="s">
        <v>134</v>
      </c>
      <c r="Q465" s="130" t="s">
        <v>543</v>
      </c>
      <c r="R465" s="128">
        <v>8</v>
      </c>
      <c r="S465" s="130" t="s">
        <v>1255</v>
      </c>
    </row>
    <row r="466" spans="1:19" x14ac:dyDescent="0.25">
      <c r="A466" s="130" t="s">
        <v>1256</v>
      </c>
      <c r="B466" s="130" t="s">
        <v>1257</v>
      </c>
      <c r="C466" s="130" t="s">
        <v>134</v>
      </c>
      <c r="D466" s="130" t="s">
        <v>134</v>
      </c>
      <c r="E466" s="130" t="s">
        <v>1256</v>
      </c>
      <c r="F466" s="130" t="s">
        <v>1258</v>
      </c>
      <c r="G466" s="130" t="s">
        <v>137</v>
      </c>
      <c r="I466" s="130" t="s">
        <v>416</v>
      </c>
      <c r="J466" s="130" t="s">
        <v>159</v>
      </c>
      <c r="K466" s="130" t="s">
        <v>1256</v>
      </c>
      <c r="L466" s="130" t="s">
        <v>543</v>
      </c>
      <c r="M466" s="128">
        <v>8</v>
      </c>
      <c r="N466" s="128">
        <f t="shared" si="7"/>
        <v>0</v>
      </c>
      <c r="O466" s="130" t="s">
        <v>134</v>
      </c>
      <c r="P466" s="130" t="s">
        <v>134</v>
      </c>
      <c r="Q466" s="130" t="s">
        <v>543</v>
      </c>
      <c r="R466" s="128">
        <v>8</v>
      </c>
      <c r="S466" s="130" t="s">
        <v>1255</v>
      </c>
    </row>
    <row r="467" spans="1:19" x14ac:dyDescent="0.25">
      <c r="A467" s="130" t="s">
        <v>1259</v>
      </c>
      <c r="B467" s="130" t="s">
        <v>1260</v>
      </c>
      <c r="C467" s="130" t="s">
        <v>134</v>
      </c>
      <c r="D467" s="130" t="s">
        <v>134</v>
      </c>
      <c r="E467" s="130" t="s">
        <v>1256</v>
      </c>
      <c r="F467" s="130" t="s">
        <v>1258</v>
      </c>
      <c r="G467" s="130" t="s">
        <v>137</v>
      </c>
      <c r="I467" s="130" t="s">
        <v>416</v>
      </c>
      <c r="J467" s="130" t="s">
        <v>159</v>
      </c>
      <c r="K467" s="130" t="s">
        <v>1256</v>
      </c>
      <c r="L467" s="130" t="s">
        <v>543</v>
      </c>
      <c r="M467" s="128">
        <v>8</v>
      </c>
      <c r="N467" s="128">
        <f t="shared" si="7"/>
        <v>0</v>
      </c>
      <c r="O467" s="130" t="s">
        <v>134</v>
      </c>
      <c r="P467" s="130" t="s">
        <v>134</v>
      </c>
      <c r="Q467" s="130" t="s">
        <v>543</v>
      </c>
      <c r="R467" s="128">
        <v>8</v>
      </c>
      <c r="S467" s="130" t="s">
        <v>1255</v>
      </c>
    </row>
    <row r="468" spans="1:19" x14ac:dyDescent="0.25">
      <c r="A468" s="130" t="s">
        <v>1261</v>
      </c>
      <c r="B468" s="130" t="s">
        <v>1262</v>
      </c>
      <c r="C468" s="130" t="s">
        <v>134</v>
      </c>
      <c r="D468" s="130" t="s">
        <v>134</v>
      </c>
      <c r="E468" s="130" t="s">
        <v>1256</v>
      </c>
      <c r="F468" s="130" t="s">
        <v>1258</v>
      </c>
      <c r="G468" s="130" t="s">
        <v>137</v>
      </c>
      <c r="I468" s="130" t="s">
        <v>416</v>
      </c>
      <c r="J468" s="130" t="s">
        <v>159</v>
      </c>
      <c r="K468" s="130" t="s">
        <v>1256</v>
      </c>
      <c r="L468" s="130" t="s">
        <v>543</v>
      </c>
      <c r="M468" s="128">
        <v>8</v>
      </c>
      <c r="N468" s="128">
        <f t="shared" si="7"/>
        <v>0</v>
      </c>
      <c r="O468" s="130" t="s">
        <v>134</v>
      </c>
      <c r="P468" s="130" t="s">
        <v>134</v>
      </c>
      <c r="Q468" s="130" t="s">
        <v>543</v>
      </c>
      <c r="R468" s="128">
        <v>8</v>
      </c>
      <c r="S468" s="130" t="s">
        <v>1255</v>
      </c>
    </row>
    <row r="469" spans="1:19" x14ac:dyDescent="0.25">
      <c r="A469" s="130" t="s">
        <v>1263</v>
      </c>
      <c r="B469" s="130" t="s">
        <v>1264</v>
      </c>
      <c r="C469" s="130" t="s">
        <v>134</v>
      </c>
      <c r="D469" s="130" t="s">
        <v>134</v>
      </c>
      <c r="E469" s="130" t="s">
        <v>1256</v>
      </c>
      <c r="F469" s="130" t="s">
        <v>1258</v>
      </c>
      <c r="G469" s="130" t="s">
        <v>137</v>
      </c>
      <c r="I469" s="130" t="s">
        <v>416</v>
      </c>
      <c r="J469" s="130" t="s">
        <v>159</v>
      </c>
      <c r="K469" s="130" t="s">
        <v>1256</v>
      </c>
      <c r="L469" s="130" t="s">
        <v>543</v>
      </c>
      <c r="M469" s="128">
        <v>8</v>
      </c>
      <c r="N469" s="128">
        <f t="shared" si="7"/>
        <v>0</v>
      </c>
      <c r="O469" s="130" t="s">
        <v>134</v>
      </c>
      <c r="P469" s="130" t="s">
        <v>134</v>
      </c>
      <c r="Q469" s="130" t="s">
        <v>543</v>
      </c>
      <c r="R469" s="128">
        <v>8</v>
      </c>
      <c r="S469" s="130" t="s">
        <v>1255</v>
      </c>
    </row>
    <row r="470" spans="1:19" x14ac:dyDescent="0.25">
      <c r="A470" s="130" t="s">
        <v>1265</v>
      </c>
      <c r="B470" s="130" t="s">
        <v>1266</v>
      </c>
      <c r="C470" s="130" t="s">
        <v>134</v>
      </c>
      <c r="D470" s="130" t="s">
        <v>134</v>
      </c>
      <c r="E470" s="130" t="s">
        <v>1256</v>
      </c>
      <c r="F470" s="130" t="s">
        <v>1258</v>
      </c>
      <c r="G470" s="130" t="s">
        <v>137</v>
      </c>
      <c r="I470" s="130" t="s">
        <v>416</v>
      </c>
      <c r="J470" s="130" t="s">
        <v>159</v>
      </c>
      <c r="K470" s="130" t="s">
        <v>1256</v>
      </c>
      <c r="L470" s="130" t="s">
        <v>543</v>
      </c>
      <c r="M470" s="128">
        <v>8</v>
      </c>
      <c r="N470" s="128">
        <f t="shared" si="7"/>
        <v>0</v>
      </c>
      <c r="O470" s="130" t="s">
        <v>134</v>
      </c>
      <c r="P470" s="130" t="s">
        <v>134</v>
      </c>
      <c r="Q470" s="130" t="s">
        <v>543</v>
      </c>
      <c r="R470" s="128">
        <v>8</v>
      </c>
      <c r="S470" s="130" t="s">
        <v>1255</v>
      </c>
    </row>
    <row r="471" spans="1:19" x14ac:dyDescent="0.25">
      <c r="A471" s="130" t="s">
        <v>1267</v>
      </c>
      <c r="B471" s="130" t="s">
        <v>1268</v>
      </c>
      <c r="C471" s="130" t="s">
        <v>134</v>
      </c>
      <c r="D471" s="130" t="s">
        <v>134</v>
      </c>
      <c r="E471" s="130" t="s">
        <v>1256</v>
      </c>
      <c r="F471" s="130" t="s">
        <v>1258</v>
      </c>
      <c r="G471" s="130" t="s">
        <v>137</v>
      </c>
      <c r="I471" s="130" t="s">
        <v>416</v>
      </c>
      <c r="J471" s="130" t="s">
        <v>159</v>
      </c>
      <c r="K471" s="130" t="s">
        <v>1256</v>
      </c>
      <c r="L471" s="130" t="s">
        <v>543</v>
      </c>
      <c r="M471" s="128">
        <v>8</v>
      </c>
      <c r="N471" s="128">
        <f t="shared" si="7"/>
        <v>0</v>
      </c>
      <c r="O471" s="130" t="s">
        <v>134</v>
      </c>
      <c r="P471" s="130" t="s">
        <v>134</v>
      </c>
      <c r="Q471" s="130" t="s">
        <v>543</v>
      </c>
      <c r="R471" s="128">
        <v>8</v>
      </c>
      <c r="S471" s="130" t="s">
        <v>1255</v>
      </c>
    </row>
    <row r="472" spans="1:19" x14ac:dyDescent="0.25">
      <c r="A472" s="130" t="s">
        <v>1269</v>
      </c>
      <c r="B472" s="130" t="s">
        <v>1270</v>
      </c>
      <c r="C472" s="130" t="s">
        <v>134</v>
      </c>
      <c r="D472" s="130" t="s">
        <v>134</v>
      </c>
      <c r="E472" s="130" t="s">
        <v>1256</v>
      </c>
      <c r="F472" s="130" t="s">
        <v>1258</v>
      </c>
      <c r="G472" s="130" t="s">
        <v>137</v>
      </c>
      <c r="I472" s="130" t="s">
        <v>416</v>
      </c>
      <c r="J472" s="130" t="s">
        <v>159</v>
      </c>
      <c r="K472" s="130" t="s">
        <v>1256</v>
      </c>
      <c r="L472" s="130" t="s">
        <v>543</v>
      </c>
      <c r="M472" s="128">
        <v>8</v>
      </c>
      <c r="N472" s="128">
        <f t="shared" si="7"/>
        <v>0</v>
      </c>
      <c r="O472" s="130" t="s">
        <v>134</v>
      </c>
      <c r="P472" s="130" t="s">
        <v>134</v>
      </c>
      <c r="Q472" s="130" t="s">
        <v>543</v>
      </c>
      <c r="R472" s="128">
        <v>8</v>
      </c>
      <c r="S472" s="130" t="s">
        <v>1255</v>
      </c>
    </row>
    <row r="473" spans="1:19" x14ac:dyDescent="0.25">
      <c r="A473" s="130" t="s">
        <v>1271</v>
      </c>
      <c r="B473" s="130" t="s">
        <v>1272</v>
      </c>
      <c r="C473" s="130" t="s">
        <v>134</v>
      </c>
      <c r="D473" s="130" t="s">
        <v>134</v>
      </c>
      <c r="E473" s="130" t="s">
        <v>1256</v>
      </c>
      <c r="F473" s="130" t="s">
        <v>1258</v>
      </c>
      <c r="G473" s="130" t="s">
        <v>137</v>
      </c>
      <c r="I473" s="130" t="s">
        <v>416</v>
      </c>
      <c r="J473" s="130" t="s">
        <v>159</v>
      </c>
      <c r="K473" s="130" t="s">
        <v>1256</v>
      </c>
      <c r="L473" s="130" t="s">
        <v>543</v>
      </c>
      <c r="M473" s="128">
        <v>8</v>
      </c>
      <c r="N473" s="128">
        <f t="shared" si="7"/>
        <v>0</v>
      </c>
      <c r="O473" s="130" t="s">
        <v>134</v>
      </c>
      <c r="P473" s="130" t="s">
        <v>134</v>
      </c>
      <c r="Q473" s="130" t="s">
        <v>543</v>
      </c>
      <c r="R473" s="128">
        <v>8</v>
      </c>
      <c r="S473" s="130" t="s">
        <v>1255</v>
      </c>
    </row>
    <row r="474" spans="1:19" x14ac:dyDescent="0.25">
      <c r="A474" s="130" t="s">
        <v>1273</v>
      </c>
      <c r="B474" s="130" t="s">
        <v>1274</v>
      </c>
      <c r="C474" s="130" t="s">
        <v>134</v>
      </c>
      <c r="D474" s="130" t="s">
        <v>134</v>
      </c>
      <c r="E474" s="130" t="s">
        <v>1256</v>
      </c>
      <c r="F474" s="130" t="s">
        <v>1258</v>
      </c>
      <c r="G474" s="130" t="s">
        <v>137</v>
      </c>
      <c r="I474" s="130" t="s">
        <v>416</v>
      </c>
      <c r="J474" s="130" t="s">
        <v>159</v>
      </c>
      <c r="K474" s="130" t="s">
        <v>1256</v>
      </c>
      <c r="L474" s="130" t="s">
        <v>543</v>
      </c>
      <c r="M474" s="128">
        <v>8</v>
      </c>
      <c r="N474" s="128">
        <f t="shared" si="7"/>
        <v>0</v>
      </c>
      <c r="O474" s="130" t="s">
        <v>134</v>
      </c>
      <c r="P474" s="130" t="s">
        <v>134</v>
      </c>
      <c r="Q474" s="130" t="s">
        <v>543</v>
      </c>
      <c r="R474" s="128">
        <v>8</v>
      </c>
      <c r="S474" s="130" t="s">
        <v>1255</v>
      </c>
    </row>
    <row r="475" spans="1:19" x14ac:dyDescent="0.25">
      <c r="A475" s="130" t="s">
        <v>1275</v>
      </c>
      <c r="B475" s="130" t="s">
        <v>1276</v>
      </c>
      <c r="C475" s="130" t="s">
        <v>134</v>
      </c>
      <c r="D475" s="130" t="s">
        <v>134</v>
      </c>
      <c r="E475" s="130" t="s">
        <v>1256</v>
      </c>
      <c r="F475" s="130" t="s">
        <v>1258</v>
      </c>
      <c r="G475" s="130" t="s">
        <v>137</v>
      </c>
      <c r="I475" s="130" t="s">
        <v>416</v>
      </c>
      <c r="J475" s="130" t="s">
        <v>159</v>
      </c>
      <c r="K475" s="130" t="s">
        <v>1256</v>
      </c>
      <c r="L475" s="130" t="s">
        <v>543</v>
      </c>
      <c r="M475" s="128">
        <v>8</v>
      </c>
      <c r="N475" s="128">
        <f t="shared" si="7"/>
        <v>0</v>
      </c>
      <c r="O475" s="130" t="s">
        <v>134</v>
      </c>
      <c r="P475" s="130" t="s">
        <v>134</v>
      </c>
      <c r="Q475" s="130" t="s">
        <v>543</v>
      </c>
      <c r="R475" s="128">
        <v>8</v>
      </c>
      <c r="S475" s="130" t="s">
        <v>1255</v>
      </c>
    </row>
    <row r="476" spans="1:19" x14ac:dyDescent="0.25">
      <c r="A476" s="130" t="s">
        <v>1277</v>
      </c>
      <c r="B476" s="130" t="s">
        <v>1278</v>
      </c>
      <c r="C476" s="130" t="s">
        <v>134</v>
      </c>
      <c r="D476" s="130" t="s">
        <v>134</v>
      </c>
      <c r="E476" s="130" t="s">
        <v>1256</v>
      </c>
      <c r="F476" s="130" t="s">
        <v>1258</v>
      </c>
      <c r="G476" s="130" t="s">
        <v>137</v>
      </c>
      <c r="I476" s="130" t="s">
        <v>416</v>
      </c>
      <c r="J476" s="130" t="s">
        <v>159</v>
      </c>
      <c r="K476" s="130" t="s">
        <v>1256</v>
      </c>
      <c r="L476" s="130" t="s">
        <v>543</v>
      </c>
      <c r="M476" s="128">
        <v>8</v>
      </c>
      <c r="N476" s="128">
        <f t="shared" si="7"/>
        <v>0</v>
      </c>
      <c r="O476" s="130" t="s">
        <v>134</v>
      </c>
      <c r="P476" s="130" t="s">
        <v>134</v>
      </c>
      <c r="Q476" s="130" t="s">
        <v>543</v>
      </c>
      <c r="R476" s="128">
        <v>8</v>
      </c>
      <c r="S476" s="130" t="s">
        <v>1255</v>
      </c>
    </row>
    <row r="477" spans="1:19" x14ac:dyDescent="0.25">
      <c r="A477" s="130" t="s">
        <v>1279</v>
      </c>
      <c r="B477" s="130" t="s">
        <v>1280</v>
      </c>
      <c r="C477" s="130" t="s">
        <v>134</v>
      </c>
      <c r="D477" s="130" t="s">
        <v>134</v>
      </c>
      <c r="E477" s="130" t="s">
        <v>1279</v>
      </c>
      <c r="F477" s="130" t="s">
        <v>1280</v>
      </c>
      <c r="G477" s="130" t="s">
        <v>137</v>
      </c>
      <c r="I477" s="130" t="s">
        <v>416</v>
      </c>
      <c r="J477" s="130" t="s">
        <v>159</v>
      </c>
      <c r="K477" s="130" t="s">
        <v>1279</v>
      </c>
      <c r="L477" s="130" t="s">
        <v>543</v>
      </c>
      <c r="M477" s="128">
        <v>8</v>
      </c>
      <c r="N477" s="128">
        <f t="shared" si="7"/>
        <v>0</v>
      </c>
      <c r="O477" s="130" t="s">
        <v>134</v>
      </c>
      <c r="P477" s="130" t="s">
        <v>134</v>
      </c>
      <c r="Q477" s="130" t="s">
        <v>543</v>
      </c>
      <c r="R477" s="128">
        <v>8</v>
      </c>
      <c r="S477" s="130" t="s">
        <v>1255</v>
      </c>
    </row>
    <row r="478" spans="1:19" x14ac:dyDescent="0.25">
      <c r="A478" s="130" t="s">
        <v>1281</v>
      </c>
      <c r="B478" s="130" t="s">
        <v>1282</v>
      </c>
      <c r="C478" s="130" t="s">
        <v>134</v>
      </c>
      <c r="D478" s="130" t="s">
        <v>134</v>
      </c>
      <c r="E478" s="130" t="s">
        <v>1283</v>
      </c>
      <c r="F478" s="130" t="s">
        <v>1284</v>
      </c>
      <c r="G478" s="130" t="s">
        <v>137</v>
      </c>
      <c r="I478" s="130" t="s">
        <v>416</v>
      </c>
      <c r="J478" s="130" t="s">
        <v>159</v>
      </c>
      <c r="K478" s="130" t="s">
        <v>1283</v>
      </c>
      <c r="L478" s="130" t="s">
        <v>543</v>
      </c>
      <c r="M478" s="128">
        <v>8</v>
      </c>
      <c r="N478" s="128">
        <f t="shared" si="7"/>
        <v>0</v>
      </c>
      <c r="O478" s="130" t="s">
        <v>134</v>
      </c>
      <c r="P478" s="130" t="s">
        <v>134</v>
      </c>
      <c r="Q478" s="130" t="s">
        <v>543</v>
      </c>
      <c r="R478" s="128">
        <v>8</v>
      </c>
      <c r="S478" s="130" t="s">
        <v>1255</v>
      </c>
    </row>
    <row r="479" spans="1:19" x14ac:dyDescent="0.25">
      <c r="A479" s="130" t="s">
        <v>1285</v>
      </c>
      <c r="B479" s="130" t="s">
        <v>1286</v>
      </c>
      <c r="C479" s="130" t="s">
        <v>134</v>
      </c>
      <c r="D479" s="130" t="s">
        <v>134</v>
      </c>
      <c r="E479" s="130" t="s">
        <v>1283</v>
      </c>
      <c r="F479" s="130" t="s">
        <v>1284</v>
      </c>
      <c r="G479" s="130" t="s">
        <v>137</v>
      </c>
      <c r="I479" s="130" t="s">
        <v>416</v>
      </c>
      <c r="J479" s="130" t="s">
        <v>159</v>
      </c>
      <c r="K479" s="130" t="s">
        <v>1283</v>
      </c>
      <c r="L479" s="130" t="s">
        <v>543</v>
      </c>
      <c r="M479" s="128">
        <v>8</v>
      </c>
      <c r="N479" s="128">
        <f t="shared" si="7"/>
        <v>0</v>
      </c>
      <c r="O479" s="130" t="s">
        <v>134</v>
      </c>
      <c r="P479" s="130" t="s">
        <v>134</v>
      </c>
      <c r="Q479" s="130" t="s">
        <v>543</v>
      </c>
      <c r="R479" s="128">
        <v>8</v>
      </c>
      <c r="S479" s="130" t="s">
        <v>1255</v>
      </c>
    </row>
    <row r="480" spans="1:19" x14ac:dyDescent="0.25">
      <c r="A480" s="130" t="s">
        <v>1287</v>
      </c>
      <c r="B480" s="130" t="s">
        <v>1288</v>
      </c>
      <c r="C480" s="130" t="s">
        <v>134</v>
      </c>
      <c r="D480" s="130" t="s">
        <v>134</v>
      </c>
      <c r="E480" s="130" t="s">
        <v>1283</v>
      </c>
      <c r="F480" s="130" t="s">
        <v>1284</v>
      </c>
      <c r="G480" s="130" t="s">
        <v>137</v>
      </c>
      <c r="I480" s="130" t="s">
        <v>416</v>
      </c>
      <c r="J480" s="130" t="s">
        <v>159</v>
      </c>
      <c r="K480" s="130" t="s">
        <v>1283</v>
      </c>
      <c r="L480" s="130" t="s">
        <v>543</v>
      </c>
      <c r="M480" s="128">
        <v>8</v>
      </c>
      <c r="N480" s="128">
        <f t="shared" si="7"/>
        <v>0</v>
      </c>
      <c r="O480" s="130" t="s">
        <v>134</v>
      </c>
      <c r="P480" s="130" t="s">
        <v>134</v>
      </c>
      <c r="Q480" s="130" t="s">
        <v>543</v>
      </c>
      <c r="R480" s="128">
        <v>8</v>
      </c>
      <c r="S480" s="130" t="s">
        <v>1255</v>
      </c>
    </row>
    <row r="481" spans="1:19" x14ac:dyDescent="0.25">
      <c r="A481" s="130" t="s">
        <v>1289</v>
      </c>
      <c r="B481" s="130" t="s">
        <v>1290</v>
      </c>
      <c r="C481" s="130" t="s">
        <v>134</v>
      </c>
      <c r="D481" s="130" t="s">
        <v>134</v>
      </c>
      <c r="E481" s="130" t="s">
        <v>1283</v>
      </c>
      <c r="F481" s="130" t="s">
        <v>1284</v>
      </c>
      <c r="G481" s="130" t="s">
        <v>137</v>
      </c>
      <c r="I481" s="130" t="s">
        <v>416</v>
      </c>
      <c r="J481" s="130" t="s">
        <v>159</v>
      </c>
      <c r="K481" s="130" t="s">
        <v>1283</v>
      </c>
      <c r="L481" s="130" t="s">
        <v>543</v>
      </c>
      <c r="M481" s="128">
        <v>8</v>
      </c>
      <c r="N481" s="128">
        <f t="shared" si="7"/>
        <v>0</v>
      </c>
      <c r="O481" s="130" t="s">
        <v>134</v>
      </c>
      <c r="P481" s="130" t="s">
        <v>134</v>
      </c>
      <c r="Q481" s="130" t="s">
        <v>543</v>
      </c>
      <c r="R481" s="128">
        <v>8</v>
      </c>
      <c r="S481" s="130" t="s">
        <v>1255</v>
      </c>
    </row>
    <row r="482" spans="1:19" x14ac:dyDescent="0.25">
      <c r="A482" s="130" t="s">
        <v>1291</v>
      </c>
      <c r="B482" s="130" t="s">
        <v>1292</v>
      </c>
      <c r="C482" s="130" t="s">
        <v>134</v>
      </c>
      <c r="D482" s="130" t="s">
        <v>134</v>
      </c>
      <c r="E482" s="130" t="s">
        <v>1283</v>
      </c>
      <c r="F482" s="130" t="s">
        <v>1284</v>
      </c>
      <c r="G482" s="130" t="s">
        <v>137</v>
      </c>
      <c r="I482" s="130" t="s">
        <v>416</v>
      </c>
      <c r="J482" s="130" t="s">
        <v>159</v>
      </c>
      <c r="K482" s="130" t="s">
        <v>1283</v>
      </c>
      <c r="L482" s="130" t="s">
        <v>543</v>
      </c>
      <c r="M482" s="128">
        <v>8</v>
      </c>
      <c r="N482" s="128">
        <f t="shared" si="7"/>
        <v>0</v>
      </c>
      <c r="O482" s="130" t="s">
        <v>134</v>
      </c>
      <c r="P482" s="130" t="s">
        <v>134</v>
      </c>
      <c r="Q482" s="130" t="s">
        <v>543</v>
      </c>
      <c r="R482" s="128">
        <v>8</v>
      </c>
      <c r="S482" s="130" t="s">
        <v>1255</v>
      </c>
    </row>
    <row r="483" spans="1:19" x14ac:dyDescent="0.25">
      <c r="A483" s="130" t="s">
        <v>1293</v>
      </c>
      <c r="B483" s="130" t="s">
        <v>1294</v>
      </c>
      <c r="C483" s="130" t="s">
        <v>134</v>
      </c>
      <c r="D483" s="130" t="s">
        <v>134</v>
      </c>
      <c r="E483" s="130" t="s">
        <v>1283</v>
      </c>
      <c r="F483" s="130" t="s">
        <v>1284</v>
      </c>
      <c r="G483" s="130" t="s">
        <v>137</v>
      </c>
      <c r="I483" s="130" t="s">
        <v>416</v>
      </c>
      <c r="J483" s="130" t="s">
        <v>159</v>
      </c>
      <c r="K483" s="130" t="s">
        <v>1283</v>
      </c>
      <c r="L483" s="130" t="s">
        <v>543</v>
      </c>
      <c r="M483" s="128">
        <v>8</v>
      </c>
      <c r="N483" s="128">
        <f t="shared" si="7"/>
        <v>0</v>
      </c>
      <c r="O483" s="130" t="s">
        <v>134</v>
      </c>
      <c r="P483" s="130" t="s">
        <v>134</v>
      </c>
      <c r="Q483" s="130" t="s">
        <v>543</v>
      </c>
      <c r="R483" s="128">
        <v>8</v>
      </c>
      <c r="S483" s="130" t="s">
        <v>1255</v>
      </c>
    </row>
    <row r="484" spans="1:19" x14ac:dyDescent="0.25">
      <c r="A484" s="130" t="s">
        <v>1295</v>
      </c>
      <c r="B484" s="130" t="s">
        <v>1296</v>
      </c>
      <c r="C484" s="130" t="s">
        <v>134</v>
      </c>
      <c r="D484" s="130" t="s">
        <v>134</v>
      </c>
      <c r="E484" s="130" t="s">
        <v>1283</v>
      </c>
      <c r="F484" s="130" t="s">
        <v>1284</v>
      </c>
      <c r="G484" s="130" t="s">
        <v>137</v>
      </c>
      <c r="I484" s="130" t="s">
        <v>416</v>
      </c>
      <c r="J484" s="130" t="s">
        <v>159</v>
      </c>
      <c r="K484" s="130" t="s">
        <v>1283</v>
      </c>
      <c r="L484" s="130" t="s">
        <v>543</v>
      </c>
      <c r="M484" s="128">
        <v>8</v>
      </c>
      <c r="N484" s="128">
        <f t="shared" si="7"/>
        <v>0</v>
      </c>
      <c r="O484" s="130" t="s">
        <v>134</v>
      </c>
      <c r="P484" s="130" t="s">
        <v>134</v>
      </c>
      <c r="Q484" s="130" t="s">
        <v>543</v>
      </c>
      <c r="R484" s="128">
        <v>8</v>
      </c>
      <c r="S484" s="130" t="s">
        <v>1255</v>
      </c>
    </row>
    <row r="485" spans="1:19" x14ac:dyDescent="0.25">
      <c r="A485" s="130" t="s">
        <v>1297</v>
      </c>
      <c r="B485" s="130" t="s">
        <v>1298</v>
      </c>
      <c r="C485" s="130" t="s">
        <v>134</v>
      </c>
      <c r="D485" s="130" t="s">
        <v>134</v>
      </c>
      <c r="E485" s="130" t="s">
        <v>1283</v>
      </c>
      <c r="F485" s="130" t="s">
        <v>1284</v>
      </c>
      <c r="G485" s="130" t="s">
        <v>137</v>
      </c>
      <c r="I485" s="130" t="s">
        <v>416</v>
      </c>
      <c r="J485" s="130" t="s">
        <v>159</v>
      </c>
      <c r="K485" s="130" t="s">
        <v>1283</v>
      </c>
      <c r="L485" s="130" t="s">
        <v>543</v>
      </c>
      <c r="M485" s="128">
        <v>8</v>
      </c>
      <c r="N485" s="128">
        <f t="shared" si="7"/>
        <v>0</v>
      </c>
      <c r="O485" s="130" t="s">
        <v>134</v>
      </c>
      <c r="P485" s="130" t="s">
        <v>134</v>
      </c>
      <c r="Q485" s="130" t="s">
        <v>543</v>
      </c>
      <c r="R485" s="128">
        <v>8</v>
      </c>
      <c r="S485" s="130" t="s">
        <v>1255</v>
      </c>
    </row>
    <row r="486" spans="1:19" x14ac:dyDescent="0.25">
      <c r="A486" s="130" t="s">
        <v>1299</v>
      </c>
      <c r="B486" s="130" t="s">
        <v>1300</v>
      </c>
      <c r="C486" s="130" t="s">
        <v>134</v>
      </c>
      <c r="D486" s="130" t="s">
        <v>134</v>
      </c>
      <c r="E486" s="130" t="s">
        <v>1283</v>
      </c>
      <c r="F486" s="130" t="s">
        <v>1284</v>
      </c>
      <c r="G486" s="130" t="s">
        <v>137</v>
      </c>
      <c r="I486" s="130" t="s">
        <v>416</v>
      </c>
      <c r="J486" s="130" t="s">
        <v>159</v>
      </c>
      <c r="K486" s="130" t="s">
        <v>1283</v>
      </c>
      <c r="L486" s="130" t="s">
        <v>543</v>
      </c>
      <c r="M486" s="128">
        <v>8</v>
      </c>
      <c r="N486" s="128">
        <f t="shared" si="7"/>
        <v>0</v>
      </c>
      <c r="O486" s="130" t="s">
        <v>134</v>
      </c>
      <c r="P486" s="130" t="s">
        <v>134</v>
      </c>
      <c r="Q486" s="130" t="s">
        <v>543</v>
      </c>
      <c r="R486" s="128">
        <v>8</v>
      </c>
      <c r="S486" s="130" t="s">
        <v>1255</v>
      </c>
    </row>
    <row r="487" spans="1:19" x14ac:dyDescent="0.25">
      <c r="A487" s="130" t="s">
        <v>1301</v>
      </c>
      <c r="B487" s="130" t="s">
        <v>1302</v>
      </c>
      <c r="C487" s="130" t="s">
        <v>134</v>
      </c>
      <c r="D487" s="130" t="s">
        <v>134</v>
      </c>
      <c r="E487" s="130" t="s">
        <v>1283</v>
      </c>
      <c r="F487" s="130" t="s">
        <v>1284</v>
      </c>
      <c r="G487" s="130" t="s">
        <v>137</v>
      </c>
      <c r="I487" s="130" t="s">
        <v>416</v>
      </c>
      <c r="J487" s="130" t="s">
        <v>159</v>
      </c>
      <c r="K487" s="130" t="s">
        <v>1283</v>
      </c>
      <c r="L487" s="130" t="s">
        <v>543</v>
      </c>
      <c r="M487" s="128">
        <v>8</v>
      </c>
      <c r="N487" s="128">
        <f t="shared" si="7"/>
        <v>0</v>
      </c>
      <c r="O487" s="130" t="s">
        <v>134</v>
      </c>
      <c r="P487" s="130" t="s">
        <v>134</v>
      </c>
      <c r="Q487" s="130" t="s">
        <v>543</v>
      </c>
      <c r="R487" s="128">
        <v>8</v>
      </c>
      <c r="S487" s="130" t="s">
        <v>1255</v>
      </c>
    </row>
    <row r="488" spans="1:19" x14ac:dyDescent="0.25">
      <c r="A488" s="130" t="s">
        <v>1303</v>
      </c>
      <c r="B488" s="130" t="s">
        <v>1304</v>
      </c>
      <c r="C488" s="130" t="s">
        <v>134</v>
      </c>
      <c r="D488" s="130" t="s">
        <v>134</v>
      </c>
      <c r="E488" s="130" t="s">
        <v>1283</v>
      </c>
      <c r="F488" s="130" t="s">
        <v>1284</v>
      </c>
      <c r="G488" s="130" t="s">
        <v>137</v>
      </c>
      <c r="I488" s="130" t="s">
        <v>416</v>
      </c>
      <c r="J488" s="130" t="s">
        <v>159</v>
      </c>
      <c r="K488" s="130" t="s">
        <v>1283</v>
      </c>
      <c r="L488" s="130" t="s">
        <v>543</v>
      </c>
      <c r="M488" s="128">
        <v>8</v>
      </c>
      <c r="N488" s="128">
        <f t="shared" si="7"/>
        <v>0</v>
      </c>
      <c r="O488" s="130" t="s">
        <v>134</v>
      </c>
      <c r="P488" s="130" t="s">
        <v>134</v>
      </c>
      <c r="Q488" s="130" t="s">
        <v>543</v>
      </c>
      <c r="R488" s="128">
        <v>8</v>
      </c>
      <c r="S488" s="130" t="s">
        <v>1255</v>
      </c>
    </row>
    <row r="489" spans="1:19" x14ac:dyDescent="0.25">
      <c r="A489" s="130" t="s">
        <v>1305</v>
      </c>
      <c r="B489" s="130" t="s">
        <v>1306</v>
      </c>
      <c r="C489" s="130" t="s">
        <v>134</v>
      </c>
      <c r="D489" s="130" t="s">
        <v>134</v>
      </c>
      <c r="E489" s="130" t="s">
        <v>1283</v>
      </c>
      <c r="F489" s="130" t="s">
        <v>1284</v>
      </c>
      <c r="G489" s="130" t="s">
        <v>137</v>
      </c>
      <c r="I489" s="130" t="s">
        <v>416</v>
      </c>
      <c r="J489" s="130" t="s">
        <v>159</v>
      </c>
      <c r="K489" s="130" t="s">
        <v>1283</v>
      </c>
      <c r="L489" s="130" t="s">
        <v>543</v>
      </c>
      <c r="M489" s="128">
        <v>8</v>
      </c>
      <c r="N489" s="128">
        <f t="shared" si="7"/>
        <v>0</v>
      </c>
      <c r="O489" s="130" t="s">
        <v>134</v>
      </c>
      <c r="P489" s="130" t="s">
        <v>134</v>
      </c>
      <c r="Q489" s="130" t="s">
        <v>543</v>
      </c>
      <c r="R489" s="128">
        <v>8</v>
      </c>
      <c r="S489" s="130" t="s">
        <v>1255</v>
      </c>
    </row>
    <row r="490" spans="1:19" x14ac:dyDescent="0.25">
      <c r="A490" s="130" t="s">
        <v>1307</v>
      </c>
      <c r="B490" s="130" t="s">
        <v>1308</v>
      </c>
      <c r="C490" s="130" t="s">
        <v>134</v>
      </c>
      <c r="D490" s="130" t="s">
        <v>134</v>
      </c>
      <c r="E490" s="130" t="s">
        <v>1283</v>
      </c>
      <c r="F490" s="130" t="s">
        <v>1284</v>
      </c>
      <c r="G490" s="130" t="s">
        <v>137</v>
      </c>
      <c r="I490" s="130" t="s">
        <v>416</v>
      </c>
      <c r="J490" s="130" t="s">
        <v>159</v>
      </c>
      <c r="K490" s="130" t="s">
        <v>1283</v>
      </c>
      <c r="L490" s="130" t="s">
        <v>543</v>
      </c>
      <c r="M490" s="128">
        <v>8</v>
      </c>
      <c r="N490" s="128">
        <f t="shared" si="7"/>
        <v>0</v>
      </c>
      <c r="O490" s="130" t="s">
        <v>134</v>
      </c>
      <c r="P490" s="130" t="s">
        <v>134</v>
      </c>
      <c r="Q490" s="130" t="s">
        <v>543</v>
      </c>
      <c r="R490" s="128">
        <v>8</v>
      </c>
      <c r="S490" s="130" t="s">
        <v>1255</v>
      </c>
    </row>
    <row r="491" spans="1:19" x14ac:dyDescent="0.25">
      <c r="A491" s="130" t="s">
        <v>1309</v>
      </c>
      <c r="B491" s="130" t="s">
        <v>1310</v>
      </c>
      <c r="C491" s="130" t="s">
        <v>134</v>
      </c>
      <c r="D491" s="130" t="s">
        <v>134</v>
      </c>
      <c r="E491" s="130" t="s">
        <v>1283</v>
      </c>
      <c r="F491" s="130" t="s">
        <v>1284</v>
      </c>
      <c r="G491" s="130" t="s">
        <v>137</v>
      </c>
      <c r="I491" s="130" t="s">
        <v>416</v>
      </c>
      <c r="J491" s="130" t="s">
        <v>159</v>
      </c>
      <c r="K491" s="130" t="s">
        <v>1283</v>
      </c>
      <c r="L491" s="130" t="s">
        <v>543</v>
      </c>
      <c r="M491" s="128">
        <v>8</v>
      </c>
      <c r="N491" s="128">
        <f t="shared" si="7"/>
        <v>0</v>
      </c>
      <c r="O491" s="130" t="s">
        <v>134</v>
      </c>
      <c r="P491" s="130" t="s">
        <v>134</v>
      </c>
      <c r="Q491" s="130" t="s">
        <v>543</v>
      </c>
      <c r="R491" s="128">
        <v>8</v>
      </c>
      <c r="S491" s="130" t="s">
        <v>1255</v>
      </c>
    </row>
    <row r="492" spans="1:19" x14ac:dyDescent="0.25">
      <c r="A492" s="130" t="s">
        <v>1311</v>
      </c>
      <c r="B492" s="130" t="s">
        <v>1312</v>
      </c>
      <c r="C492" s="130" t="s">
        <v>134</v>
      </c>
      <c r="D492" s="130" t="s">
        <v>134</v>
      </c>
      <c r="E492" s="130" t="s">
        <v>1283</v>
      </c>
      <c r="F492" s="130" t="s">
        <v>1284</v>
      </c>
      <c r="G492" s="130" t="s">
        <v>137</v>
      </c>
      <c r="I492" s="130" t="s">
        <v>416</v>
      </c>
      <c r="J492" s="130" t="s">
        <v>159</v>
      </c>
      <c r="K492" s="130" t="s">
        <v>1283</v>
      </c>
      <c r="L492" s="130" t="s">
        <v>543</v>
      </c>
      <c r="M492" s="128">
        <v>8</v>
      </c>
      <c r="N492" s="128">
        <f t="shared" si="7"/>
        <v>0</v>
      </c>
      <c r="O492" s="130" t="s">
        <v>134</v>
      </c>
      <c r="P492" s="130" t="s">
        <v>134</v>
      </c>
      <c r="Q492" s="130" t="s">
        <v>543</v>
      </c>
      <c r="R492" s="128">
        <v>8</v>
      </c>
      <c r="S492" s="130" t="s">
        <v>1255</v>
      </c>
    </row>
    <row r="493" spans="1:19" x14ac:dyDescent="0.25">
      <c r="A493" s="130" t="s">
        <v>1313</v>
      </c>
      <c r="B493" s="130" t="s">
        <v>1314</v>
      </c>
      <c r="C493" s="130" t="s">
        <v>134</v>
      </c>
      <c r="D493" s="130" t="s">
        <v>134</v>
      </c>
      <c r="E493" s="130" t="s">
        <v>1283</v>
      </c>
      <c r="F493" s="130" t="s">
        <v>1284</v>
      </c>
      <c r="G493" s="130" t="s">
        <v>137</v>
      </c>
      <c r="I493" s="130" t="s">
        <v>416</v>
      </c>
      <c r="J493" s="130" t="s">
        <v>159</v>
      </c>
      <c r="K493" s="130" t="s">
        <v>1283</v>
      </c>
      <c r="L493" s="130" t="s">
        <v>543</v>
      </c>
      <c r="M493" s="128">
        <v>8</v>
      </c>
      <c r="N493" s="128">
        <f t="shared" si="7"/>
        <v>0</v>
      </c>
      <c r="O493" s="130" t="s">
        <v>134</v>
      </c>
      <c r="P493" s="130" t="s">
        <v>134</v>
      </c>
      <c r="Q493" s="130" t="s">
        <v>543</v>
      </c>
      <c r="R493" s="128">
        <v>8</v>
      </c>
      <c r="S493" s="130" t="s">
        <v>1255</v>
      </c>
    </row>
    <row r="494" spans="1:19" x14ac:dyDescent="0.25">
      <c r="A494" s="130" t="s">
        <v>1283</v>
      </c>
      <c r="B494" s="130" t="s">
        <v>1315</v>
      </c>
      <c r="C494" s="130" t="s">
        <v>134</v>
      </c>
      <c r="D494" s="130" t="s">
        <v>134</v>
      </c>
      <c r="E494" s="130" t="s">
        <v>1283</v>
      </c>
      <c r="F494" s="130" t="s">
        <v>1284</v>
      </c>
      <c r="G494" s="130" t="s">
        <v>137</v>
      </c>
      <c r="I494" s="130" t="s">
        <v>416</v>
      </c>
      <c r="J494" s="130" t="s">
        <v>159</v>
      </c>
      <c r="K494" s="130" t="s">
        <v>1283</v>
      </c>
      <c r="L494" s="130" t="s">
        <v>543</v>
      </c>
      <c r="M494" s="128">
        <v>8</v>
      </c>
      <c r="N494" s="128">
        <f t="shared" si="7"/>
        <v>0</v>
      </c>
      <c r="O494" s="130" t="s">
        <v>134</v>
      </c>
      <c r="P494" s="130" t="s">
        <v>134</v>
      </c>
      <c r="Q494" s="130" t="s">
        <v>543</v>
      </c>
      <c r="R494" s="128">
        <v>8</v>
      </c>
      <c r="S494" s="130" t="s">
        <v>1255</v>
      </c>
    </row>
    <row r="495" spans="1:19" x14ac:dyDescent="0.25">
      <c r="A495" s="130" t="s">
        <v>1316</v>
      </c>
      <c r="B495" s="130" t="s">
        <v>1317</v>
      </c>
      <c r="C495" s="130" t="s">
        <v>134</v>
      </c>
      <c r="D495" s="130" t="s">
        <v>134</v>
      </c>
      <c r="E495" s="130" t="s">
        <v>1283</v>
      </c>
      <c r="F495" s="130" t="s">
        <v>1284</v>
      </c>
      <c r="G495" s="130" t="s">
        <v>137</v>
      </c>
      <c r="I495" s="130" t="s">
        <v>416</v>
      </c>
      <c r="J495" s="130" t="s">
        <v>159</v>
      </c>
      <c r="K495" s="130" t="s">
        <v>1283</v>
      </c>
      <c r="L495" s="130" t="s">
        <v>543</v>
      </c>
      <c r="M495" s="128">
        <v>8</v>
      </c>
      <c r="N495" s="128">
        <f t="shared" si="7"/>
        <v>0</v>
      </c>
      <c r="O495" s="130" t="s">
        <v>134</v>
      </c>
      <c r="P495" s="130" t="s">
        <v>134</v>
      </c>
      <c r="Q495" s="130" t="s">
        <v>543</v>
      </c>
      <c r="R495" s="128">
        <v>8</v>
      </c>
      <c r="S495" s="130" t="s">
        <v>1255</v>
      </c>
    </row>
    <row r="496" spans="1:19" x14ac:dyDescent="0.25">
      <c r="A496" s="130" t="s">
        <v>1318</v>
      </c>
      <c r="B496" s="130" t="s">
        <v>1319</v>
      </c>
      <c r="C496" s="130" t="s">
        <v>134</v>
      </c>
      <c r="D496" s="130" t="s">
        <v>134</v>
      </c>
      <c r="E496" s="130" t="s">
        <v>1283</v>
      </c>
      <c r="F496" s="130" t="s">
        <v>1284</v>
      </c>
      <c r="G496" s="130" t="s">
        <v>137</v>
      </c>
      <c r="I496" s="130" t="s">
        <v>416</v>
      </c>
      <c r="J496" s="130" t="s">
        <v>159</v>
      </c>
      <c r="K496" s="130" t="s">
        <v>1283</v>
      </c>
      <c r="L496" s="130" t="s">
        <v>543</v>
      </c>
      <c r="M496" s="128">
        <v>8</v>
      </c>
      <c r="N496" s="128">
        <f t="shared" si="7"/>
        <v>0</v>
      </c>
      <c r="O496" s="130" t="s">
        <v>134</v>
      </c>
      <c r="P496" s="130" t="s">
        <v>134</v>
      </c>
      <c r="Q496" s="130" t="s">
        <v>543</v>
      </c>
      <c r="R496" s="128">
        <v>8</v>
      </c>
      <c r="S496" s="130" t="s">
        <v>1255</v>
      </c>
    </row>
    <row r="497" spans="1:19" x14ac:dyDescent="0.25">
      <c r="A497" s="130" t="s">
        <v>1320</v>
      </c>
      <c r="B497" s="130" t="s">
        <v>1321</v>
      </c>
      <c r="C497" s="130" t="s">
        <v>134</v>
      </c>
      <c r="D497" s="130" t="s">
        <v>134</v>
      </c>
      <c r="E497" s="130" t="s">
        <v>1283</v>
      </c>
      <c r="F497" s="130" t="s">
        <v>1284</v>
      </c>
      <c r="G497" s="130" t="s">
        <v>137</v>
      </c>
      <c r="I497" s="130" t="s">
        <v>416</v>
      </c>
      <c r="J497" s="130" t="s">
        <v>159</v>
      </c>
      <c r="K497" s="130" t="s">
        <v>1283</v>
      </c>
      <c r="L497" s="130" t="s">
        <v>543</v>
      </c>
      <c r="M497" s="128">
        <v>8</v>
      </c>
      <c r="N497" s="128">
        <f t="shared" si="7"/>
        <v>0</v>
      </c>
      <c r="O497" s="130" t="s">
        <v>134</v>
      </c>
      <c r="P497" s="130" t="s">
        <v>134</v>
      </c>
      <c r="Q497" s="130" t="s">
        <v>543</v>
      </c>
      <c r="R497" s="128">
        <v>8</v>
      </c>
      <c r="S497" s="130" t="s">
        <v>1255</v>
      </c>
    </row>
    <row r="498" spans="1:19" x14ac:dyDescent="0.25">
      <c r="A498" s="130" t="s">
        <v>1322</v>
      </c>
      <c r="B498" s="130" t="s">
        <v>1323</v>
      </c>
      <c r="C498" s="130" t="s">
        <v>134</v>
      </c>
      <c r="D498" s="130" t="s">
        <v>134</v>
      </c>
      <c r="E498" s="130" t="s">
        <v>1283</v>
      </c>
      <c r="F498" s="130" t="s">
        <v>1284</v>
      </c>
      <c r="G498" s="130" t="s">
        <v>137</v>
      </c>
      <c r="I498" s="130" t="s">
        <v>416</v>
      </c>
      <c r="J498" s="130" t="s">
        <v>159</v>
      </c>
      <c r="K498" s="130" t="s">
        <v>1283</v>
      </c>
      <c r="L498" s="130" t="s">
        <v>543</v>
      </c>
      <c r="M498" s="128">
        <v>8</v>
      </c>
      <c r="N498" s="128">
        <f t="shared" si="7"/>
        <v>0</v>
      </c>
      <c r="O498" s="130" t="s">
        <v>134</v>
      </c>
      <c r="P498" s="130" t="s">
        <v>134</v>
      </c>
      <c r="Q498" s="130" t="s">
        <v>543</v>
      </c>
      <c r="R498" s="128">
        <v>8</v>
      </c>
      <c r="S498" s="130" t="s">
        <v>1255</v>
      </c>
    </row>
    <row r="499" spans="1:19" x14ac:dyDescent="0.25">
      <c r="A499" s="130" t="s">
        <v>1324</v>
      </c>
      <c r="B499" s="130" t="s">
        <v>1325</v>
      </c>
      <c r="C499" s="130" t="s">
        <v>134</v>
      </c>
      <c r="D499" s="130" t="s">
        <v>134</v>
      </c>
      <c r="E499" s="130" t="s">
        <v>1283</v>
      </c>
      <c r="F499" s="130" t="s">
        <v>1284</v>
      </c>
      <c r="G499" s="130" t="s">
        <v>137</v>
      </c>
      <c r="I499" s="130" t="s">
        <v>416</v>
      </c>
      <c r="J499" s="130" t="s">
        <v>159</v>
      </c>
      <c r="K499" s="130" t="s">
        <v>1283</v>
      </c>
      <c r="L499" s="130" t="s">
        <v>543</v>
      </c>
      <c r="M499" s="128">
        <v>8</v>
      </c>
      <c r="N499" s="128">
        <f t="shared" si="7"/>
        <v>0</v>
      </c>
      <c r="O499" s="130" t="s">
        <v>134</v>
      </c>
      <c r="P499" s="130" t="s">
        <v>134</v>
      </c>
      <c r="Q499" s="130" t="s">
        <v>543</v>
      </c>
      <c r="R499" s="128">
        <v>8</v>
      </c>
      <c r="S499" s="130" t="s">
        <v>1255</v>
      </c>
    </row>
    <row r="500" spans="1:19" x14ac:dyDescent="0.25">
      <c r="A500" s="130" t="s">
        <v>1326</v>
      </c>
      <c r="B500" s="130" t="s">
        <v>1327</v>
      </c>
      <c r="C500" s="130" t="s">
        <v>134</v>
      </c>
      <c r="D500" s="130" t="s">
        <v>134</v>
      </c>
      <c r="E500" s="130" t="s">
        <v>1283</v>
      </c>
      <c r="F500" s="130" t="s">
        <v>1284</v>
      </c>
      <c r="G500" s="130" t="s">
        <v>137</v>
      </c>
      <c r="I500" s="130" t="s">
        <v>416</v>
      </c>
      <c r="J500" s="130" t="s">
        <v>159</v>
      </c>
      <c r="K500" s="130" t="s">
        <v>1283</v>
      </c>
      <c r="L500" s="130" t="s">
        <v>543</v>
      </c>
      <c r="M500" s="128">
        <v>8</v>
      </c>
      <c r="N500" s="128">
        <f t="shared" si="7"/>
        <v>0</v>
      </c>
      <c r="O500" s="130" t="s">
        <v>134</v>
      </c>
      <c r="P500" s="130" t="s">
        <v>134</v>
      </c>
      <c r="Q500" s="130" t="s">
        <v>543</v>
      </c>
      <c r="R500" s="128">
        <v>8</v>
      </c>
      <c r="S500" s="130" t="s">
        <v>1255</v>
      </c>
    </row>
    <row r="501" spans="1:19" x14ac:dyDescent="0.25">
      <c r="A501" s="130" t="s">
        <v>1328</v>
      </c>
      <c r="B501" s="130" t="s">
        <v>1329</v>
      </c>
      <c r="C501" s="130" t="s">
        <v>134</v>
      </c>
      <c r="D501" s="130" t="s">
        <v>134</v>
      </c>
      <c r="E501" s="130" t="s">
        <v>1283</v>
      </c>
      <c r="F501" s="130" t="s">
        <v>1284</v>
      </c>
      <c r="G501" s="130" t="s">
        <v>137</v>
      </c>
      <c r="I501" s="130" t="s">
        <v>416</v>
      </c>
      <c r="J501" s="130" t="s">
        <v>159</v>
      </c>
      <c r="K501" s="130" t="s">
        <v>1283</v>
      </c>
      <c r="L501" s="130" t="s">
        <v>543</v>
      </c>
      <c r="M501" s="128">
        <v>8</v>
      </c>
      <c r="N501" s="128">
        <f t="shared" si="7"/>
        <v>0</v>
      </c>
      <c r="O501" s="130" t="s">
        <v>134</v>
      </c>
      <c r="P501" s="130" t="s">
        <v>134</v>
      </c>
      <c r="Q501" s="130" t="s">
        <v>543</v>
      </c>
      <c r="R501" s="128">
        <v>8</v>
      </c>
      <c r="S501" s="130" t="s">
        <v>1255</v>
      </c>
    </row>
    <row r="502" spans="1:19" x14ac:dyDescent="0.25">
      <c r="A502" s="130" t="s">
        <v>1330</v>
      </c>
      <c r="B502" s="130" t="s">
        <v>1331</v>
      </c>
      <c r="C502" s="130" t="s">
        <v>134</v>
      </c>
      <c r="D502" s="130" t="s">
        <v>134</v>
      </c>
      <c r="E502" s="130" t="s">
        <v>1283</v>
      </c>
      <c r="F502" s="130" t="s">
        <v>1284</v>
      </c>
      <c r="G502" s="130" t="s">
        <v>137</v>
      </c>
      <c r="I502" s="130" t="s">
        <v>416</v>
      </c>
      <c r="J502" s="130" t="s">
        <v>159</v>
      </c>
      <c r="K502" s="130" t="s">
        <v>1283</v>
      </c>
      <c r="L502" s="130" t="s">
        <v>543</v>
      </c>
      <c r="M502" s="128">
        <v>8</v>
      </c>
      <c r="N502" s="128">
        <f t="shared" si="7"/>
        <v>0</v>
      </c>
      <c r="O502" s="130" t="s">
        <v>134</v>
      </c>
      <c r="P502" s="130" t="s">
        <v>134</v>
      </c>
      <c r="Q502" s="130" t="s">
        <v>543</v>
      </c>
      <c r="R502" s="128">
        <v>8</v>
      </c>
      <c r="S502" s="130" t="s">
        <v>1255</v>
      </c>
    </row>
    <row r="503" spans="1:19" x14ac:dyDescent="0.25">
      <c r="A503" s="130" t="s">
        <v>1332</v>
      </c>
      <c r="B503" s="130" t="s">
        <v>1333</v>
      </c>
      <c r="C503" s="130" t="s">
        <v>134</v>
      </c>
      <c r="D503" s="130" t="s">
        <v>134</v>
      </c>
      <c r="E503" s="130" t="s">
        <v>1283</v>
      </c>
      <c r="F503" s="130" t="s">
        <v>1284</v>
      </c>
      <c r="G503" s="130" t="s">
        <v>137</v>
      </c>
      <c r="I503" s="130" t="s">
        <v>416</v>
      </c>
      <c r="J503" s="130" t="s">
        <v>159</v>
      </c>
      <c r="K503" s="130" t="s">
        <v>1283</v>
      </c>
      <c r="L503" s="130" t="s">
        <v>543</v>
      </c>
      <c r="M503" s="128">
        <v>8</v>
      </c>
      <c r="N503" s="128">
        <f t="shared" si="7"/>
        <v>0</v>
      </c>
      <c r="O503" s="130" t="s">
        <v>134</v>
      </c>
      <c r="P503" s="130" t="s">
        <v>134</v>
      </c>
      <c r="Q503" s="130" t="s">
        <v>543</v>
      </c>
      <c r="R503" s="128">
        <v>8</v>
      </c>
      <c r="S503" s="130" t="s">
        <v>1255</v>
      </c>
    </row>
    <row r="504" spans="1:19" x14ac:dyDescent="0.25">
      <c r="A504" s="130" t="s">
        <v>1334</v>
      </c>
      <c r="B504" s="130" t="s">
        <v>1335</v>
      </c>
      <c r="C504" s="130" t="s">
        <v>134</v>
      </c>
      <c r="D504" s="130" t="s">
        <v>134</v>
      </c>
      <c r="E504" s="130" t="s">
        <v>1336</v>
      </c>
      <c r="F504" s="130" t="s">
        <v>1337</v>
      </c>
      <c r="G504" s="130" t="s">
        <v>137</v>
      </c>
      <c r="I504" s="130" t="s">
        <v>416</v>
      </c>
      <c r="J504" s="130" t="s">
        <v>159</v>
      </c>
      <c r="K504" s="130" t="s">
        <v>1338</v>
      </c>
      <c r="L504" s="130" t="s">
        <v>543</v>
      </c>
      <c r="M504" s="128">
        <v>8</v>
      </c>
      <c r="N504" s="128">
        <f t="shared" si="7"/>
        <v>0</v>
      </c>
      <c r="O504" s="130" t="s">
        <v>134</v>
      </c>
      <c r="P504" s="130" t="s">
        <v>134</v>
      </c>
      <c r="Q504" s="130" t="s">
        <v>543</v>
      </c>
      <c r="R504" s="128">
        <v>8</v>
      </c>
      <c r="S504" s="130" t="s">
        <v>1255</v>
      </c>
    </row>
    <row r="505" spans="1:19" x14ac:dyDescent="0.25">
      <c r="A505" s="130" t="s">
        <v>1339</v>
      </c>
      <c r="B505" s="130" t="s">
        <v>1340</v>
      </c>
      <c r="C505" s="130" t="s">
        <v>134</v>
      </c>
      <c r="D505" s="130" t="s">
        <v>134</v>
      </c>
      <c r="E505" s="130" t="s">
        <v>1336</v>
      </c>
      <c r="F505" s="130" t="s">
        <v>1337</v>
      </c>
      <c r="G505" s="130" t="s">
        <v>137</v>
      </c>
      <c r="I505" s="130" t="s">
        <v>416</v>
      </c>
      <c r="J505" s="130" t="s">
        <v>159</v>
      </c>
      <c r="K505" s="130" t="s">
        <v>1338</v>
      </c>
      <c r="L505" s="130" t="s">
        <v>543</v>
      </c>
      <c r="M505" s="128">
        <v>8</v>
      </c>
      <c r="N505" s="128">
        <f t="shared" si="7"/>
        <v>0</v>
      </c>
      <c r="O505" s="130" t="s">
        <v>134</v>
      </c>
      <c r="P505" s="130" t="s">
        <v>134</v>
      </c>
      <c r="Q505" s="130" t="s">
        <v>543</v>
      </c>
      <c r="R505" s="128">
        <v>8</v>
      </c>
      <c r="S505" s="130" t="s">
        <v>1255</v>
      </c>
    </row>
    <row r="506" spans="1:19" x14ac:dyDescent="0.25">
      <c r="A506" s="130" t="s">
        <v>1341</v>
      </c>
      <c r="B506" s="130" t="s">
        <v>1342</v>
      </c>
      <c r="C506" s="130" t="s">
        <v>134</v>
      </c>
      <c r="D506" s="130" t="s">
        <v>134</v>
      </c>
      <c r="E506" s="130" t="s">
        <v>1336</v>
      </c>
      <c r="F506" s="130" t="s">
        <v>1337</v>
      </c>
      <c r="G506" s="130" t="s">
        <v>137</v>
      </c>
      <c r="I506" s="130" t="s">
        <v>416</v>
      </c>
      <c r="J506" s="130" t="s">
        <v>159</v>
      </c>
      <c r="K506" s="130" t="s">
        <v>1338</v>
      </c>
      <c r="L506" s="130" t="s">
        <v>543</v>
      </c>
      <c r="M506" s="128">
        <v>8</v>
      </c>
      <c r="N506" s="128">
        <f t="shared" si="7"/>
        <v>0</v>
      </c>
      <c r="O506" s="130" t="s">
        <v>134</v>
      </c>
      <c r="P506" s="130" t="s">
        <v>134</v>
      </c>
      <c r="Q506" s="130" t="s">
        <v>543</v>
      </c>
      <c r="R506" s="128">
        <v>8</v>
      </c>
      <c r="S506" s="130" t="s">
        <v>1255</v>
      </c>
    </row>
    <row r="507" spans="1:19" x14ac:dyDescent="0.25">
      <c r="A507" s="130" t="s">
        <v>1343</v>
      </c>
      <c r="B507" s="130" t="s">
        <v>1344</v>
      </c>
      <c r="C507" s="130" t="s">
        <v>134</v>
      </c>
      <c r="D507" s="130" t="s">
        <v>134</v>
      </c>
      <c r="E507" s="130" t="s">
        <v>1345</v>
      </c>
      <c r="F507" s="130" t="s">
        <v>1346</v>
      </c>
      <c r="G507" s="130" t="s">
        <v>137</v>
      </c>
      <c r="I507" s="130" t="s">
        <v>416</v>
      </c>
      <c r="J507" s="130" t="s">
        <v>159</v>
      </c>
      <c r="K507" s="130" t="s">
        <v>1338</v>
      </c>
      <c r="L507" s="130" t="s">
        <v>543</v>
      </c>
      <c r="M507" s="128">
        <v>8</v>
      </c>
      <c r="N507" s="128">
        <f t="shared" si="7"/>
        <v>0</v>
      </c>
      <c r="O507" s="130" t="s">
        <v>134</v>
      </c>
      <c r="P507" s="130" t="s">
        <v>134</v>
      </c>
      <c r="Q507" s="130" t="s">
        <v>543</v>
      </c>
      <c r="R507" s="128">
        <v>8</v>
      </c>
      <c r="S507" s="130" t="s">
        <v>1255</v>
      </c>
    </row>
    <row r="508" spans="1:19" x14ac:dyDescent="0.25">
      <c r="A508" s="130" t="s">
        <v>1347</v>
      </c>
      <c r="B508" s="130" t="s">
        <v>1348</v>
      </c>
      <c r="C508" s="130" t="s">
        <v>134</v>
      </c>
      <c r="D508" s="130" t="s">
        <v>134</v>
      </c>
      <c r="E508" s="130" t="s">
        <v>1345</v>
      </c>
      <c r="F508" s="130" t="s">
        <v>1346</v>
      </c>
      <c r="G508" s="130" t="s">
        <v>137</v>
      </c>
      <c r="I508" s="130" t="s">
        <v>416</v>
      </c>
      <c r="J508" s="130" t="s">
        <v>159</v>
      </c>
      <c r="K508" s="130" t="s">
        <v>1338</v>
      </c>
      <c r="L508" s="130" t="s">
        <v>543</v>
      </c>
      <c r="M508" s="128">
        <v>8</v>
      </c>
      <c r="N508" s="128">
        <f t="shared" si="7"/>
        <v>0</v>
      </c>
      <c r="O508" s="130" t="s">
        <v>134</v>
      </c>
      <c r="P508" s="130" t="s">
        <v>134</v>
      </c>
      <c r="Q508" s="130" t="s">
        <v>543</v>
      </c>
      <c r="R508" s="128">
        <v>8</v>
      </c>
      <c r="S508" s="130" t="s">
        <v>1255</v>
      </c>
    </row>
    <row r="509" spans="1:19" x14ac:dyDescent="0.25">
      <c r="A509" s="130" t="s">
        <v>1349</v>
      </c>
      <c r="B509" s="130" t="s">
        <v>1350</v>
      </c>
      <c r="C509" s="130" t="s">
        <v>134</v>
      </c>
      <c r="D509" s="130" t="s">
        <v>134</v>
      </c>
      <c r="E509" s="130" t="s">
        <v>1351</v>
      </c>
      <c r="F509" s="130" t="s">
        <v>1352</v>
      </c>
      <c r="G509" s="130" t="s">
        <v>137</v>
      </c>
      <c r="I509" s="130" t="s">
        <v>416</v>
      </c>
      <c r="J509" s="130" t="s">
        <v>159</v>
      </c>
      <c r="K509" s="130" t="s">
        <v>1338</v>
      </c>
      <c r="L509" s="130" t="s">
        <v>543</v>
      </c>
      <c r="M509" s="128">
        <v>8</v>
      </c>
      <c r="N509" s="128">
        <f t="shared" si="7"/>
        <v>0</v>
      </c>
      <c r="O509" s="130" t="s">
        <v>134</v>
      </c>
      <c r="P509" s="130" t="s">
        <v>134</v>
      </c>
      <c r="Q509" s="130" t="s">
        <v>543</v>
      </c>
      <c r="R509" s="128">
        <v>8</v>
      </c>
      <c r="S509" s="130" t="s">
        <v>1255</v>
      </c>
    </row>
    <row r="510" spans="1:19" x14ac:dyDescent="0.25">
      <c r="A510" s="130" t="s">
        <v>1353</v>
      </c>
      <c r="B510" s="130" t="s">
        <v>1354</v>
      </c>
      <c r="C510" s="130" t="s">
        <v>134</v>
      </c>
      <c r="D510" s="130" t="s">
        <v>134</v>
      </c>
      <c r="E510" s="130" t="s">
        <v>1355</v>
      </c>
      <c r="F510" s="130" t="s">
        <v>1356</v>
      </c>
      <c r="G510" s="130" t="s">
        <v>137</v>
      </c>
      <c r="I510" s="130" t="s">
        <v>416</v>
      </c>
      <c r="J510" s="130" t="s">
        <v>159</v>
      </c>
      <c r="K510" s="130" t="s">
        <v>1355</v>
      </c>
      <c r="L510" s="130" t="s">
        <v>543</v>
      </c>
      <c r="M510" s="128">
        <v>8</v>
      </c>
      <c r="N510" s="128">
        <f t="shared" si="7"/>
        <v>0</v>
      </c>
      <c r="O510" s="130" t="s">
        <v>134</v>
      </c>
      <c r="P510" s="130" t="s">
        <v>134</v>
      </c>
      <c r="Q510" s="130" t="s">
        <v>543</v>
      </c>
      <c r="R510" s="128">
        <v>8</v>
      </c>
      <c r="S510" s="130" t="s">
        <v>1255</v>
      </c>
    </row>
    <row r="511" spans="1:19" x14ac:dyDescent="0.25">
      <c r="A511" s="130" t="s">
        <v>1357</v>
      </c>
      <c r="B511" s="130" t="s">
        <v>1358</v>
      </c>
      <c r="C511" s="130" t="s">
        <v>134</v>
      </c>
      <c r="D511" s="130" t="s">
        <v>134</v>
      </c>
      <c r="E511" s="130" t="s">
        <v>1355</v>
      </c>
      <c r="F511" s="130" t="s">
        <v>1356</v>
      </c>
      <c r="G511" s="130" t="s">
        <v>137</v>
      </c>
      <c r="I511" s="130" t="s">
        <v>416</v>
      </c>
      <c r="J511" s="130" t="s">
        <v>159</v>
      </c>
      <c r="K511" s="130" t="s">
        <v>1355</v>
      </c>
      <c r="L511" s="130" t="s">
        <v>543</v>
      </c>
      <c r="M511" s="128">
        <v>8</v>
      </c>
      <c r="N511" s="128">
        <f t="shared" si="7"/>
        <v>0</v>
      </c>
      <c r="O511" s="130" t="s">
        <v>134</v>
      </c>
      <c r="P511" s="130" t="s">
        <v>134</v>
      </c>
      <c r="Q511" s="130" t="s">
        <v>543</v>
      </c>
      <c r="R511" s="128">
        <v>8</v>
      </c>
      <c r="S511" s="130" t="s">
        <v>1255</v>
      </c>
    </row>
    <row r="512" spans="1:19" x14ac:dyDescent="0.25">
      <c r="A512" s="130" t="s">
        <v>1359</v>
      </c>
      <c r="B512" s="130" t="s">
        <v>1360</v>
      </c>
      <c r="C512" s="130" t="s">
        <v>134</v>
      </c>
      <c r="D512" s="130" t="s">
        <v>134</v>
      </c>
      <c r="E512" s="130" t="s">
        <v>1361</v>
      </c>
      <c r="F512" s="130" t="s">
        <v>1362</v>
      </c>
      <c r="G512" s="130" t="s">
        <v>137</v>
      </c>
      <c r="I512" s="130" t="s">
        <v>416</v>
      </c>
      <c r="J512" s="130" t="s">
        <v>159</v>
      </c>
      <c r="K512" s="130" t="s">
        <v>1361</v>
      </c>
      <c r="L512" s="130" t="s">
        <v>543</v>
      </c>
      <c r="M512" s="128">
        <v>8</v>
      </c>
      <c r="N512" s="128">
        <f t="shared" si="7"/>
        <v>0</v>
      </c>
      <c r="O512" s="130" t="s">
        <v>134</v>
      </c>
      <c r="P512" s="130" t="s">
        <v>134</v>
      </c>
      <c r="Q512" s="130" t="s">
        <v>543</v>
      </c>
      <c r="R512" s="128">
        <v>8</v>
      </c>
      <c r="S512" s="130" t="s">
        <v>1255</v>
      </c>
    </row>
    <row r="513" spans="1:19" x14ac:dyDescent="0.25">
      <c r="A513" s="130" t="s">
        <v>1363</v>
      </c>
      <c r="B513" s="130" t="s">
        <v>1364</v>
      </c>
      <c r="C513" s="130" t="s">
        <v>159</v>
      </c>
      <c r="D513" s="130" t="s">
        <v>159</v>
      </c>
      <c r="E513" s="130" t="s">
        <v>1361</v>
      </c>
      <c r="F513" s="130" t="s">
        <v>1362</v>
      </c>
      <c r="G513" s="130" t="s">
        <v>137</v>
      </c>
      <c r="I513" s="130" t="s">
        <v>416</v>
      </c>
      <c r="J513" s="130" t="s">
        <v>159</v>
      </c>
      <c r="K513" s="130" t="s">
        <v>1361</v>
      </c>
      <c r="L513" s="130" t="s">
        <v>543</v>
      </c>
      <c r="M513" s="128">
        <v>8</v>
      </c>
      <c r="N513" s="128">
        <f t="shared" si="7"/>
        <v>0</v>
      </c>
      <c r="O513" s="130" t="s">
        <v>159</v>
      </c>
      <c r="P513" s="130" t="s">
        <v>159</v>
      </c>
      <c r="Q513" s="130" t="s">
        <v>160</v>
      </c>
      <c r="R513" s="128">
        <v>0</v>
      </c>
      <c r="S513" s="130" t="s">
        <v>1255</v>
      </c>
    </row>
    <row r="514" spans="1:19" x14ac:dyDescent="0.25">
      <c r="A514" s="130" t="s">
        <v>1365</v>
      </c>
      <c r="B514" s="130" t="s">
        <v>1366</v>
      </c>
      <c r="C514" s="130" t="s">
        <v>134</v>
      </c>
      <c r="D514" s="130" t="s">
        <v>134</v>
      </c>
      <c r="E514" s="130" t="s">
        <v>1367</v>
      </c>
      <c r="F514" s="130" t="s">
        <v>1368</v>
      </c>
      <c r="G514" s="130" t="s">
        <v>137</v>
      </c>
      <c r="I514" s="130" t="s">
        <v>416</v>
      </c>
      <c r="J514" s="130" t="s">
        <v>159</v>
      </c>
      <c r="K514" s="130" t="s">
        <v>1369</v>
      </c>
      <c r="L514" s="130" t="s">
        <v>543</v>
      </c>
      <c r="M514" s="128">
        <v>8</v>
      </c>
      <c r="N514" s="128">
        <f t="shared" si="7"/>
        <v>0</v>
      </c>
      <c r="O514" s="130" t="s">
        <v>134</v>
      </c>
      <c r="P514" s="130" t="s">
        <v>134</v>
      </c>
      <c r="Q514" s="130" t="s">
        <v>543</v>
      </c>
      <c r="R514" s="128">
        <v>8</v>
      </c>
      <c r="S514" s="130" t="s">
        <v>1255</v>
      </c>
    </row>
    <row r="515" spans="1:19" x14ac:dyDescent="0.25">
      <c r="A515" s="130" t="s">
        <v>1370</v>
      </c>
      <c r="B515" s="130" t="s">
        <v>1371</v>
      </c>
      <c r="C515" s="130" t="s">
        <v>134</v>
      </c>
      <c r="D515" s="130" t="s">
        <v>134</v>
      </c>
      <c r="E515" s="130" t="s">
        <v>1367</v>
      </c>
      <c r="F515" s="130" t="s">
        <v>1368</v>
      </c>
      <c r="G515" s="130" t="s">
        <v>137</v>
      </c>
      <c r="I515" s="130" t="s">
        <v>416</v>
      </c>
      <c r="J515" s="130" t="s">
        <v>159</v>
      </c>
      <c r="K515" s="130" t="s">
        <v>1369</v>
      </c>
      <c r="L515" s="130" t="s">
        <v>543</v>
      </c>
      <c r="M515" s="128">
        <v>8</v>
      </c>
      <c r="N515" s="128">
        <f t="shared" ref="N515:N578" si="8">M515-L515</f>
        <v>0</v>
      </c>
      <c r="O515" s="130" t="s">
        <v>134</v>
      </c>
      <c r="P515" s="130" t="s">
        <v>134</v>
      </c>
      <c r="Q515" s="130" t="s">
        <v>543</v>
      </c>
      <c r="R515" s="128">
        <v>8</v>
      </c>
      <c r="S515" s="130" t="s">
        <v>1255</v>
      </c>
    </row>
    <row r="516" spans="1:19" x14ac:dyDescent="0.25">
      <c r="A516" s="130" t="s">
        <v>1372</v>
      </c>
      <c r="B516" s="130" t="s">
        <v>1373</v>
      </c>
      <c r="C516" s="130" t="s">
        <v>134</v>
      </c>
      <c r="D516" s="130" t="s">
        <v>134</v>
      </c>
      <c r="E516" s="130" t="s">
        <v>1367</v>
      </c>
      <c r="F516" s="130" t="s">
        <v>1368</v>
      </c>
      <c r="G516" s="130" t="s">
        <v>137</v>
      </c>
      <c r="I516" s="130" t="s">
        <v>416</v>
      </c>
      <c r="J516" s="130" t="s">
        <v>159</v>
      </c>
      <c r="K516" s="130" t="s">
        <v>1369</v>
      </c>
      <c r="L516" s="130" t="s">
        <v>543</v>
      </c>
      <c r="M516" s="128">
        <v>8</v>
      </c>
      <c r="N516" s="128">
        <f t="shared" si="8"/>
        <v>0</v>
      </c>
      <c r="O516" s="130" t="s">
        <v>134</v>
      </c>
      <c r="P516" s="130" t="s">
        <v>134</v>
      </c>
      <c r="Q516" s="130" t="s">
        <v>543</v>
      </c>
      <c r="R516" s="128">
        <v>8</v>
      </c>
      <c r="S516" s="130" t="s">
        <v>1255</v>
      </c>
    </row>
    <row r="517" spans="1:19" x14ac:dyDescent="0.25">
      <c r="A517" s="130" t="s">
        <v>1374</v>
      </c>
      <c r="B517" s="130" t="s">
        <v>1375</v>
      </c>
      <c r="C517" s="130" t="s">
        <v>134</v>
      </c>
      <c r="D517" s="130" t="s">
        <v>134</v>
      </c>
      <c r="E517" s="130" t="s">
        <v>1367</v>
      </c>
      <c r="F517" s="130" t="s">
        <v>1368</v>
      </c>
      <c r="G517" s="130" t="s">
        <v>137</v>
      </c>
      <c r="I517" s="130" t="s">
        <v>416</v>
      </c>
      <c r="J517" s="130" t="s">
        <v>159</v>
      </c>
      <c r="K517" s="130" t="s">
        <v>1369</v>
      </c>
      <c r="L517" s="130" t="s">
        <v>543</v>
      </c>
      <c r="M517" s="128">
        <v>8</v>
      </c>
      <c r="N517" s="128">
        <f t="shared" si="8"/>
        <v>0</v>
      </c>
      <c r="O517" s="130" t="s">
        <v>134</v>
      </c>
      <c r="P517" s="130" t="s">
        <v>134</v>
      </c>
      <c r="Q517" s="130" t="s">
        <v>543</v>
      </c>
      <c r="R517" s="128">
        <v>8</v>
      </c>
      <c r="S517" s="130" t="s">
        <v>1255</v>
      </c>
    </row>
    <row r="518" spans="1:19" x14ac:dyDescent="0.25">
      <c r="A518" s="130" t="s">
        <v>1376</v>
      </c>
      <c r="B518" s="130" t="s">
        <v>1377</v>
      </c>
      <c r="C518" s="130" t="s">
        <v>134</v>
      </c>
      <c r="D518" s="130" t="s">
        <v>134</v>
      </c>
      <c r="E518" s="130" t="s">
        <v>1367</v>
      </c>
      <c r="F518" s="130" t="s">
        <v>1368</v>
      </c>
      <c r="G518" s="130" t="s">
        <v>137</v>
      </c>
      <c r="I518" s="130" t="s">
        <v>416</v>
      </c>
      <c r="J518" s="130" t="s">
        <v>159</v>
      </c>
      <c r="K518" s="130" t="s">
        <v>1369</v>
      </c>
      <c r="L518" s="130" t="s">
        <v>543</v>
      </c>
      <c r="M518" s="128">
        <v>8</v>
      </c>
      <c r="N518" s="128">
        <f t="shared" si="8"/>
        <v>0</v>
      </c>
      <c r="O518" s="130" t="s">
        <v>134</v>
      </c>
      <c r="P518" s="130" t="s">
        <v>134</v>
      </c>
      <c r="Q518" s="130" t="s">
        <v>543</v>
      </c>
      <c r="R518" s="128">
        <v>8</v>
      </c>
      <c r="S518" s="130" t="s">
        <v>1255</v>
      </c>
    </row>
    <row r="519" spans="1:19" x14ac:dyDescent="0.25">
      <c r="A519" s="130" t="s">
        <v>1378</v>
      </c>
      <c r="B519" s="130" t="s">
        <v>1379</v>
      </c>
      <c r="C519" s="130" t="s">
        <v>134</v>
      </c>
      <c r="D519" s="130" t="s">
        <v>134</v>
      </c>
      <c r="E519" s="130" t="s">
        <v>1367</v>
      </c>
      <c r="F519" s="130" t="s">
        <v>1368</v>
      </c>
      <c r="G519" s="130" t="s">
        <v>137</v>
      </c>
      <c r="I519" s="130" t="s">
        <v>416</v>
      </c>
      <c r="J519" s="130" t="s">
        <v>159</v>
      </c>
      <c r="K519" s="130" t="s">
        <v>1369</v>
      </c>
      <c r="L519" s="130" t="s">
        <v>543</v>
      </c>
      <c r="M519" s="128">
        <v>8</v>
      </c>
      <c r="N519" s="128">
        <f t="shared" si="8"/>
        <v>0</v>
      </c>
      <c r="O519" s="130" t="s">
        <v>134</v>
      </c>
      <c r="P519" s="130" t="s">
        <v>134</v>
      </c>
      <c r="Q519" s="130" t="s">
        <v>543</v>
      </c>
      <c r="R519" s="128">
        <v>8</v>
      </c>
      <c r="S519" s="130" t="s">
        <v>1255</v>
      </c>
    </row>
    <row r="520" spans="1:19" x14ac:dyDescent="0.25">
      <c r="A520" s="130" t="s">
        <v>1380</v>
      </c>
      <c r="B520" s="130" t="s">
        <v>1381</v>
      </c>
      <c r="C520" s="130" t="s">
        <v>134</v>
      </c>
      <c r="D520" s="130" t="s">
        <v>134</v>
      </c>
      <c r="E520" s="130" t="s">
        <v>1369</v>
      </c>
      <c r="F520" s="130" t="s">
        <v>1382</v>
      </c>
      <c r="G520" s="130" t="s">
        <v>137</v>
      </c>
      <c r="I520" s="130" t="s">
        <v>416</v>
      </c>
      <c r="J520" s="130" t="s">
        <v>159</v>
      </c>
      <c r="K520" s="130" t="s">
        <v>1369</v>
      </c>
      <c r="L520" s="130" t="s">
        <v>543</v>
      </c>
      <c r="M520" s="128">
        <v>8</v>
      </c>
      <c r="N520" s="128">
        <f t="shared" si="8"/>
        <v>0</v>
      </c>
      <c r="O520" s="130" t="s">
        <v>134</v>
      </c>
      <c r="P520" s="130" t="s">
        <v>134</v>
      </c>
      <c r="Q520" s="130" t="s">
        <v>543</v>
      </c>
      <c r="R520" s="128">
        <v>8</v>
      </c>
      <c r="S520" s="130" t="s">
        <v>1255</v>
      </c>
    </row>
    <row r="521" spans="1:19" x14ac:dyDescent="0.25">
      <c r="A521" s="130" t="s">
        <v>1383</v>
      </c>
      <c r="B521" s="130" t="s">
        <v>1384</v>
      </c>
      <c r="C521" s="130" t="s">
        <v>134</v>
      </c>
      <c r="D521" s="130" t="s">
        <v>134</v>
      </c>
      <c r="E521" s="130" t="s">
        <v>1369</v>
      </c>
      <c r="F521" s="130" t="s">
        <v>1382</v>
      </c>
      <c r="G521" s="130" t="s">
        <v>137</v>
      </c>
      <c r="I521" s="130" t="s">
        <v>416</v>
      </c>
      <c r="J521" s="130" t="s">
        <v>159</v>
      </c>
      <c r="K521" s="130" t="s">
        <v>1369</v>
      </c>
      <c r="L521" s="130" t="s">
        <v>543</v>
      </c>
      <c r="M521" s="128">
        <v>8</v>
      </c>
      <c r="N521" s="128">
        <f t="shared" si="8"/>
        <v>0</v>
      </c>
      <c r="O521" s="130" t="s">
        <v>134</v>
      </c>
      <c r="P521" s="130" t="s">
        <v>134</v>
      </c>
      <c r="Q521" s="130" t="s">
        <v>543</v>
      </c>
      <c r="R521" s="128">
        <v>8</v>
      </c>
      <c r="S521" s="130" t="s">
        <v>1255</v>
      </c>
    </row>
    <row r="522" spans="1:19" x14ac:dyDescent="0.25">
      <c r="A522" s="130" t="s">
        <v>1385</v>
      </c>
      <c r="B522" s="130" t="s">
        <v>1386</v>
      </c>
      <c r="C522" s="130" t="s">
        <v>134</v>
      </c>
      <c r="D522" s="130" t="s">
        <v>134</v>
      </c>
      <c r="E522" s="130" t="s">
        <v>1369</v>
      </c>
      <c r="F522" s="130" t="s">
        <v>1382</v>
      </c>
      <c r="G522" s="130" t="s">
        <v>137</v>
      </c>
      <c r="I522" s="130" t="s">
        <v>416</v>
      </c>
      <c r="J522" s="130" t="s">
        <v>159</v>
      </c>
      <c r="K522" s="130" t="s">
        <v>1369</v>
      </c>
      <c r="L522" s="130" t="s">
        <v>543</v>
      </c>
      <c r="M522" s="128">
        <v>8</v>
      </c>
      <c r="N522" s="128">
        <f t="shared" si="8"/>
        <v>0</v>
      </c>
      <c r="O522" s="130" t="s">
        <v>134</v>
      </c>
      <c r="P522" s="130" t="s">
        <v>134</v>
      </c>
      <c r="Q522" s="130" t="s">
        <v>543</v>
      </c>
      <c r="R522" s="128">
        <v>8</v>
      </c>
      <c r="S522" s="130" t="s">
        <v>1255</v>
      </c>
    </row>
    <row r="523" spans="1:19" x14ac:dyDescent="0.25">
      <c r="A523" s="130" t="s">
        <v>1387</v>
      </c>
      <c r="B523" s="130" t="s">
        <v>1388</v>
      </c>
      <c r="C523" s="130" t="s">
        <v>134</v>
      </c>
      <c r="D523" s="130" t="s">
        <v>134</v>
      </c>
      <c r="E523" s="130" t="s">
        <v>1369</v>
      </c>
      <c r="F523" s="130" t="s">
        <v>1382</v>
      </c>
      <c r="G523" s="130" t="s">
        <v>137</v>
      </c>
      <c r="I523" s="130" t="s">
        <v>416</v>
      </c>
      <c r="J523" s="130" t="s">
        <v>159</v>
      </c>
      <c r="K523" s="130" t="s">
        <v>1369</v>
      </c>
      <c r="L523" s="130" t="s">
        <v>543</v>
      </c>
      <c r="M523" s="128">
        <v>8</v>
      </c>
      <c r="N523" s="128">
        <f t="shared" si="8"/>
        <v>0</v>
      </c>
      <c r="O523" s="130" t="s">
        <v>134</v>
      </c>
      <c r="P523" s="130" t="s">
        <v>134</v>
      </c>
      <c r="Q523" s="130" t="s">
        <v>543</v>
      </c>
      <c r="R523" s="128">
        <v>8</v>
      </c>
      <c r="S523" s="130" t="s">
        <v>1255</v>
      </c>
    </row>
    <row r="524" spans="1:19" x14ac:dyDescent="0.25">
      <c r="A524" s="130" t="s">
        <v>1389</v>
      </c>
      <c r="B524" s="130" t="s">
        <v>1390</v>
      </c>
      <c r="C524" s="130" t="s">
        <v>134</v>
      </c>
      <c r="D524" s="130" t="s">
        <v>134</v>
      </c>
      <c r="E524" s="130" t="s">
        <v>1369</v>
      </c>
      <c r="F524" s="130" t="s">
        <v>1382</v>
      </c>
      <c r="G524" s="130" t="s">
        <v>137</v>
      </c>
      <c r="I524" s="130" t="s">
        <v>416</v>
      </c>
      <c r="J524" s="130" t="s">
        <v>159</v>
      </c>
      <c r="K524" s="130" t="s">
        <v>1369</v>
      </c>
      <c r="L524" s="130" t="s">
        <v>543</v>
      </c>
      <c r="M524" s="128">
        <v>8</v>
      </c>
      <c r="N524" s="128">
        <f t="shared" si="8"/>
        <v>0</v>
      </c>
      <c r="O524" s="130" t="s">
        <v>134</v>
      </c>
      <c r="P524" s="130" t="s">
        <v>134</v>
      </c>
      <c r="Q524" s="130" t="s">
        <v>543</v>
      </c>
      <c r="R524" s="128">
        <v>8</v>
      </c>
      <c r="S524" s="130" t="s">
        <v>1255</v>
      </c>
    </row>
    <row r="525" spans="1:19" x14ac:dyDescent="0.25">
      <c r="A525" s="130" t="s">
        <v>1391</v>
      </c>
      <c r="B525" s="130" t="s">
        <v>1392</v>
      </c>
      <c r="C525" s="130" t="s">
        <v>134</v>
      </c>
      <c r="D525" s="130" t="s">
        <v>134</v>
      </c>
      <c r="E525" s="130" t="s">
        <v>1369</v>
      </c>
      <c r="F525" s="130" t="s">
        <v>1382</v>
      </c>
      <c r="G525" s="130" t="s">
        <v>137</v>
      </c>
      <c r="I525" s="130" t="s">
        <v>416</v>
      </c>
      <c r="J525" s="130" t="s">
        <v>159</v>
      </c>
      <c r="K525" s="130" t="s">
        <v>1369</v>
      </c>
      <c r="L525" s="130" t="s">
        <v>543</v>
      </c>
      <c r="M525" s="128">
        <v>8</v>
      </c>
      <c r="N525" s="128">
        <f t="shared" si="8"/>
        <v>0</v>
      </c>
      <c r="O525" s="130" t="s">
        <v>134</v>
      </c>
      <c r="P525" s="130" t="s">
        <v>134</v>
      </c>
      <c r="Q525" s="130" t="s">
        <v>543</v>
      </c>
      <c r="R525" s="128">
        <v>8</v>
      </c>
      <c r="S525" s="130" t="s">
        <v>1255</v>
      </c>
    </row>
    <row r="526" spans="1:19" x14ac:dyDescent="0.25">
      <c r="A526" s="130" t="s">
        <v>1393</v>
      </c>
      <c r="B526" s="130" t="s">
        <v>1394</v>
      </c>
      <c r="C526" s="130" t="s">
        <v>134</v>
      </c>
      <c r="D526" s="130" t="s">
        <v>134</v>
      </c>
      <c r="E526" s="130" t="s">
        <v>1369</v>
      </c>
      <c r="F526" s="130" t="s">
        <v>1382</v>
      </c>
      <c r="G526" s="130" t="s">
        <v>137</v>
      </c>
      <c r="I526" s="130" t="s">
        <v>416</v>
      </c>
      <c r="J526" s="130" t="s">
        <v>159</v>
      </c>
      <c r="K526" s="130" t="s">
        <v>1369</v>
      </c>
      <c r="L526" s="130" t="s">
        <v>543</v>
      </c>
      <c r="M526" s="128">
        <v>8</v>
      </c>
      <c r="N526" s="128">
        <f t="shared" si="8"/>
        <v>0</v>
      </c>
      <c r="O526" s="130" t="s">
        <v>134</v>
      </c>
      <c r="P526" s="130" t="s">
        <v>134</v>
      </c>
      <c r="Q526" s="130" t="s">
        <v>543</v>
      </c>
      <c r="R526" s="128">
        <v>8</v>
      </c>
      <c r="S526" s="130" t="s">
        <v>1255</v>
      </c>
    </row>
    <row r="527" spans="1:19" x14ac:dyDescent="0.25">
      <c r="A527" s="130" t="s">
        <v>1395</v>
      </c>
      <c r="B527" s="130" t="s">
        <v>1396</v>
      </c>
      <c r="C527" s="130" t="s">
        <v>134</v>
      </c>
      <c r="D527" s="130" t="s">
        <v>134</v>
      </c>
      <c r="E527" s="130" t="s">
        <v>1369</v>
      </c>
      <c r="F527" s="130" t="s">
        <v>1382</v>
      </c>
      <c r="G527" s="130" t="s">
        <v>137</v>
      </c>
      <c r="I527" s="130" t="s">
        <v>416</v>
      </c>
      <c r="J527" s="130" t="s">
        <v>159</v>
      </c>
      <c r="K527" s="130" t="s">
        <v>1369</v>
      </c>
      <c r="L527" s="130" t="s">
        <v>543</v>
      </c>
      <c r="M527" s="128">
        <v>8</v>
      </c>
      <c r="N527" s="128">
        <f t="shared" si="8"/>
        <v>0</v>
      </c>
      <c r="O527" s="130" t="s">
        <v>134</v>
      </c>
      <c r="P527" s="130" t="s">
        <v>134</v>
      </c>
      <c r="Q527" s="130" t="s">
        <v>543</v>
      </c>
      <c r="R527" s="128">
        <v>8</v>
      </c>
      <c r="S527" s="130" t="s">
        <v>1255</v>
      </c>
    </row>
    <row r="528" spans="1:19" x14ac:dyDescent="0.25">
      <c r="A528" s="130" t="s">
        <v>1397</v>
      </c>
      <c r="B528" s="130" t="s">
        <v>1398</v>
      </c>
      <c r="C528" s="130" t="s">
        <v>134</v>
      </c>
      <c r="D528" s="130" t="s">
        <v>134</v>
      </c>
      <c r="E528" s="130" t="s">
        <v>1369</v>
      </c>
      <c r="F528" s="130" t="s">
        <v>1382</v>
      </c>
      <c r="G528" s="130" t="s">
        <v>137</v>
      </c>
      <c r="I528" s="130" t="s">
        <v>416</v>
      </c>
      <c r="J528" s="130" t="s">
        <v>159</v>
      </c>
      <c r="K528" s="130" t="s">
        <v>1369</v>
      </c>
      <c r="L528" s="130" t="s">
        <v>543</v>
      </c>
      <c r="M528" s="128">
        <v>8</v>
      </c>
      <c r="N528" s="128">
        <f t="shared" si="8"/>
        <v>0</v>
      </c>
      <c r="O528" s="130" t="s">
        <v>134</v>
      </c>
      <c r="P528" s="130" t="s">
        <v>134</v>
      </c>
      <c r="Q528" s="130" t="s">
        <v>543</v>
      </c>
      <c r="R528" s="128">
        <v>8</v>
      </c>
      <c r="S528" s="130" t="s">
        <v>1255</v>
      </c>
    </row>
    <row r="529" spans="1:19" x14ac:dyDescent="0.25">
      <c r="A529" s="130" t="s">
        <v>1399</v>
      </c>
      <c r="B529" s="130" t="s">
        <v>1400</v>
      </c>
      <c r="C529" s="130" t="s">
        <v>860</v>
      </c>
      <c r="D529" s="130" t="s">
        <v>860</v>
      </c>
      <c r="E529" s="130" t="s">
        <v>1401</v>
      </c>
      <c r="F529" s="130" t="s">
        <v>1402</v>
      </c>
      <c r="G529" s="130" t="s">
        <v>137</v>
      </c>
      <c r="I529" s="130" t="s">
        <v>416</v>
      </c>
      <c r="J529" s="130" t="s">
        <v>159</v>
      </c>
      <c r="K529" s="130" t="s">
        <v>1401</v>
      </c>
      <c r="L529" s="130" t="s">
        <v>543</v>
      </c>
      <c r="M529" s="128">
        <v>7</v>
      </c>
      <c r="N529" s="128">
        <f t="shared" si="8"/>
        <v>-1</v>
      </c>
      <c r="O529" s="130" t="s">
        <v>860</v>
      </c>
      <c r="P529" s="130" t="s">
        <v>860</v>
      </c>
      <c r="Q529" s="130" t="s">
        <v>160</v>
      </c>
      <c r="R529" s="128">
        <v>0</v>
      </c>
      <c r="S529" s="130" t="s">
        <v>1402</v>
      </c>
    </row>
    <row r="530" spans="1:19" x14ac:dyDescent="0.25">
      <c r="A530" s="130" t="s">
        <v>1403</v>
      </c>
      <c r="B530" s="130" t="s">
        <v>1404</v>
      </c>
      <c r="C530" s="130" t="s">
        <v>860</v>
      </c>
      <c r="D530" s="130" t="s">
        <v>860</v>
      </c>
      <c r="E530" s="130" t="s">
        <v>1401</v>
      </c>
      <c r="F530" s="130" t="s">
        <v>1402</v>
      </c>
      <c r="G530" s="130" t="s">
        <v>137</v>
      </c>
      <c r="H530" s="130" t="s">
        <v>159</v>
      </c>
      <c r="I530" s="130" t="s">
        <v>416</v>
      </c>
      <c r="J530" s="130" t="s">
        <v>159</v>
      </c>
      <c r="K530" s="130" t="s">
        <v>1401</v>
      </c>
      <c r="L530" s="130" t="s">
        <v>543</v>
      </c>
      <c r="M530" s="128">
        <v>7</v>
      </c>
      <c r="N530" s="128">
        <f t="shared" si="8"/>
        <v>-1</v>
      </c>
      <c r="O530" s="130" t="s">
        <v>860</v>
      </c>
      <c r="P530" s="130" t="s">
        <v>860</v>
      </c>
      <c r="Q530" s="130" t="s">
        <v>160</v>
      </c>
      <c r="R530" s="128">
        <v>0</v>
      </c>
      <c r="S530" s="130" t="s">
        <v>1402</v>
      </c>
    </row>
    <row r="531" spans="1:19" x14ac:dyDescent="0.25">
      <c r="A531" s="130" t="s">
        <v>1405</v>
      </c>
      <c r="B531" s="130" t="s">
        <v>1406</v>
      </c>
      <c r="C531" s="130" t="s">
        <v>860</v>
      </c>
      <c r="D531" s="130" t="s">
        <v>860</v>
      </c>
      <c r="E531" s="130" t="s">
        <v>1401</v>
      </c>
      <c r="F531" s="130" t="s">
        <v>1402</v>
      </c>
      <c r="G531" s="130" t="s">
        <v>137</v>
      </c>
      <c r="I531" s="130" t="s">
        <v>416</v>
      </c>
      <c r="J531" s="130" t="s">
        <v>159</v>
      </c>
      <c r="K531" s="130" t="s">
        <v>1401</v>
      </c>
      <c r="L531" s="130" t="s">
        <v>543</v>
      </c>
      <c r="M531" s="128">
        <v>7</v>
      </c>
      <c r="N531" s="128">
        <f t="shared" si="8"/>
        <v>-1</v>
      </c>
      <c r="O531" s="130" t="s">
        <v>860</v>
      </c>
      <c r="P531" s="130" t="s">
        <v>860</v>
      </c>
      <c r="Q531" s="130" t="s">
        <v>160</v>
      </c>
      <c r="R531" s="128">
        <v>0</v>
      </c>
      <c r="S531" s="130" t="s">
        <v>1402</v>
      </c>
    </row>
    <row r="532" spans="1:19" x14ac:dyDescent="0.25">
      <c r="A532" s="130" t="s">
        <v>1407</v>
      </c>
      <c r="B532" s="130" t="s">
        <v>1408</v>
      </c>
      <c r="C532" s="130" t="s">
        <v>860</v>
      </c>
      <c r="D532" s="130" t="s">
        <v>860</v>
      </c>
      <c r="E532" s="130" t="s">
        <v>1401</v>
      </c>
      <c r="F532" s="130" t="s">
        <v>1402</v>
      </c>
      <c r="G532" s="130" t="s">
        <v>137</v>
      </c>
      <c r="I532" s="130" t="s">
        <v>416</v>
      </c>
      <c r="J532" s="130" t="s">
        <v>159</v>
      </c>
      <c r="K532" s="130" t="s">
        <v>1401</v>
      </c>
      <c r="L532" s="130" t="s">
        <v>543</v>
      </c>
      <c r="M532" s="128">
        <v>7</v>
      </c>
      <c r="N532" s="128">
        <f t="shared" si="8"/>
        <v>-1</v>
      </c>
      <c r="O532" s="130" t="s">
        <v>860</v>
      </c>
      <c r="P532" s="130" t="s">
        <v>860</v>
      </c>
      <c r="Q532" s="130" t="s">
        <v>160</v>
      </c>
      <c r="R532" s="128">
        <v>0</v>
      </c>
      <c r="S532" s="130" t="s">
        <v>1402</v>
      </c>
    </row>
    <row r="533" spans="1:19" x14ac:dyDescent="0.25">
      <c r="A533" s="130" t="s">
        <v>1409</v>
      </c>
      <c r="B533" s="130" t="s">
        <v>1410</v>
      </c>
      <c r="C533" s="130" t="s">
        <v>860</v>
      </c>
      <c r="D533" s="130" t="s">
        <v>860</v>
      </c>
      <c r="E533" s="130" t="s">
        <v>1401</v>
      </c>
      <c r="F533" s="130" t="s">
        <v>1402</v>
      </c>
      <c r="G533" s="130" t="s">
        <v>137</v>
      </c>
      <c r="I533" s="130" t="s">
        <v>416</v>
      </c>
      <c r="J533" s="130" t="s">
        <v>159</v>
      </c>
      <c r="K533" s="130" t="s">
        <v>1401</v>
      </c>
      <c r="L533" s="130" t="s">
        <v>543</v>
      </c>
      <c r="M533" s="128">
        <v>7</v>
      </c>
      <c r="N533" s="128">
        <f t="shared" si="8"/>
        <v>-1</v>
      </c>
      <c r="O533" s="130" t="s">
        <v>860</v>
      </c>
      <c r="P533" s="130" t="s">
        <v>860</v>
      </c>
      <c r="Q533" s="130" t="s">
        <v>160</v>
      </c>
      <c r="R533" s="128">
        <v>0</v>
      </c>
      <c r="S533" s="130" t="s">
        <v>1402</v>
      </c>
    </row>
    <row r="534" spans="1:19" x14ac:dyDescent="0.25">
      <c r="A534" s="130" t="s">
        <v>1411</v>
      </c>
      <c r="B534" s="130" t="s">
        <v>1412</v>
      </c>
      <c r="C534" s="130" t="s">
        <v>860</v>
      </c>
      <c r="D534" s="130" t="s">
        <v>860</v>
      </c>
      <c r="E534" s="130" t="s">
        <v>1401</v>
      </c>
      <c r="F534" s="130" t="s">
        <v>1402</v>
      </c>
      <c r="G534" s="130" t="s">
        <v>137</v>
      </c>
      <c r="I534" s="130" t="s">
        <v>416</v>
      </c>
      <c r="J534" s="130" t="s">
        <v>159</v>
      </c>
      <c r="K534" s="130" t="s">
        <v>1401</v>
      </c>
      <c r="L534" s="130" t="s">
        <v>543</v>
      </c>
      <c r="M534" s="128">
        <v>7</v>
      </c>
      <c r="N534" s="128">
        <f t="shared" si="8"/>
        <v>-1</v>
      </c>
      <c r="O534" s="130" t="s">
        <v>860</v>
      </c>
      <c r="P534" s="130" t="s">
        <v>860</v>
      </c>
      <c r="Q534" s="130" t="s">
        <v>160</v>
      </c>
      <c r="R534" s="128">
        <v>0</v>
      </c>
      <c r="S534" s="130" t="s">
        <v>1402</v>
      </c>
    </row>
    <row r="535" spans="1:19" x14ac:dyDescent="0.25">
      <c r="A535" s="130" t="s">
        <v>1413</v>
      </c>
      <c r="B535" s="130" t="s">
        <v>1414</v>
      </c>
      <c r="C535" s="130" t="s">
        <v>860</v>
      </c>
      <c r="D535" s="130" t="s">
        <v>860</v>
      </c>
      <c r="E535" s="130" t="s">
        <v>1401</v>
      </c>
      <c r="F535" s="130" t="s">
        <v>1402</v>
      </c>
      <c r="G535" s="130" t="s">
        <v>137</v>
      </c>
      <c r="I535" s="130" t="s">
        <v>416</v>
      </c>
      <c r="J535" s="130" t="s">
        <v>159</v>
      </c>
      <c r="K535" s="130" t="s">
        <v>1401</v>
      </c>
      <c r="L535" s="130" t="s">
        <v>543</v>
      </c>
      <c r="M535" s="128">
        <v>7</v>
      </c>
      <c r="N535" s="128">
        <f t="shared" si="8"/>
        <v>-1</v>
      </c>
      <c r="O535" s="130" t="s">
        <v>860</v>
      </c>
      <c r="P535" s="130" t="s">
        <v>860</v>
      </c>
      <c r="Q535" s="130" t="s">
        <v>160</v>
      </c>
      <c r="R535" s="128">
        <v>0</v>
      </c>
      <c r="S535" s="130" t="s">
        <v>1402</v>
      </c>
    </row>
    <row r="536" spans="1:19" x14ac:dyDescent="0.25">
      <c r="A536" s="130" t="s">
        <v>1415</v>
      </c>
      <c r="B536" s="130" t="s">
        <v>1416</v>
      </c>
      <c r="C536" s="130" t="s">
        <v>860</v>
      </c>
      <c r="D536" s="130" t="s">
        <v>860</v>
      </c>
      <c r="E536" s="130" t="s">
        <v>1401</v>
      </c>
      <c r="F536" s="130" t="s">
        <v>1402</v>
      </c>
      <c r="G536" s="130" t="s">
        <v>137</v>
      </c>
      <c r="I536" s="130" t="s">
        <v>416</v>
      </c>
      <c r="J536" s="130" t="s">
        <v>159</v>
      </c>
      <c r="K536" s="130" t="s">
        <v>1401</v>
      </c>
      <c r="L536" s="130" t="s">
        <v>543</v>
      </c>
      <c r="M536" s="128">
        <v>7</v>
      </c>
      <c r="N536" s="128">
        <f t="shared" si="8"/>
        <v>-1</v>
      </c>
      <c r="O536" s="130" t="s">
        <v>860</v>
      </c>
      <c r="P536" s="130" t="s">
        <v>860</v>
      </c>
      <c r="Q536" s="130" t="s">
        <v>160</v>
      </c>
      <c r="R536" s="128">
        <v>0</v>
      </c>
      <c r="S536" s="130" t="s">
        <v>1402</v>
      </c>
    </row>
    <row r="537" spans="1:19" x14ac:dyDescent="0.25">
      <c r="A537" s="130" t="s">
        <v>1417</v>
      </c>
      <c r="B537" s="130" t="s">
        <v>1418</v>
      </c>
      <c r="C537" s="130" t="s">
        <v>860</v>
      </c>
      <c r="D537" s="130" t="s">
        <v>860</v>
      </c>
      <c r="E537" s="130" t="s">
        <v>1401</v>
      </c>
      <c r="F537" s="130" t="s">
        <v>1402</v>
      </c>
      <c r="G537" s="130" t="s">
        <v>137</v>
      </c>
      <c r="I537" s="130" t="s">
        <v>416</v>
      </c>
      <c r="J537" s="130" t="s">
        <v>159</v>
      </c>
      <c r="K537" s="130" t="s">
        <v>1401</v>
      </c>
      <c r="L537" s="130" t="s">
        <v>543</v>
      </c>
      <c r="M537" s="128">
        <v>7</v>
      </c>
      <c r="N537" s="128">
        <f t="shared" si="8"/>
        <v>-1</v>
      </c>
      <c r="O537" s="130" t="s">
        <v>860</v>
      </c>
      <c r="P537" s="130" t="s">
        <v>860</v>
      </c>
      <c r="Q537" s="130" t="s">
        <v>160</v>
      </c>
      <c r="R537" s="128">
        <v>0</v>
      </c>
      <c r="S537" s="130" t="s">
        <v>1402</v>
      </c>
    </row>
    <row r="538" spans="1:19" x14ac:dyDescent="0.25">
      <c r="A538" s="130" t="s">
        <v>1419</v>
      </c>
      <c r="B538" s="130" t="s">
        <v>1420</v>
      </c>
      <c r="C538" s="130" t="s">
        <v>860</v>
      </c>
      <c r="D538" s="130" t="s">
        <v>860</v>
      </c>
      <c r="E538" s="130" t="s">
        <v>1401</v>
      </c>
      <c r="F538" s="130" t="s">
        <v>1402</v>
      </c>
      <c r="G538" s="130" t="s">
        <v>137</v>
      </c>
      <c r="I538" s="130" t="s">
        <v>416</v>
      </c>
      <c r="J538" s="130" t="s">
        <v>159</v>
      </c>
      <c r="K538" s="130" t="s">
        <v>1401</v>
      </c>
      <c r="L538" s="130" t="s">
        <v>543</v>
      </c>
      <c r="M538" s="128">
        <v>7</v>
      </c>
      <c r="N538" s="128">
        <f t="shared" si="8"/>
        <v>-1</v>
      </c>
      <c r="O538" s="130" t="s">
        <v>860</v>
      </c>
      <c r="P538" s="130" t="s">
        <v>860</v>
      </c>
      <c r="Q538" s="130" t="s">
        <v>160</v>
      </c>
      <c r="R538" s="128">
        <v>0</v>
      </c>
      <c r="S538" s="130" t="s">
        <v>1402</v>
      </c>
    </row>
    <row r="539" spans="1:19" x14ac:dyDescent="0.25">
      <c r="A539" s="130" t="s">
        <v>1421</v>
      </c>
      <c r="B539" s="130" t="s">
        <v>1422</v>
      </c>
      <c r="C539" s="130" t="s">
        <v>860</v>
      </c>
      <c r="D539" s="130" t="s">
        <v>860</v>
      </c>
      <c r="E539" s="130" t="s">
        <v>1401</v>
      </c>
      <c r="F539" s="130" t="s">
        <v>1402</v>
      </c>
      <c r="G539" s="130" t="s">
        <v>137</v>
      </c>
      <c r="I539" s="130" t="s">
        <v>416</v>
      </c>
      <c r="J539" s="130" t="s">
        <v>159</v>
      </c>
      <c r="K539" s="130" t="s">
        <v>1401</v>
      </c>
      <c r="L539" s="130" t="s">
        <v>543</v>
      </c>
      <c r="M539" s="128">
        <v>7</v>
      </c>
      <c r="N539" s="128">
        <f t="shared" si="8"/>
        <v>-1</v>
      </c>
      <c r="O539" s="130" t="s">
        <v>860</v>
      </c>
      <c r="P539" s="130" t="s">
        <v>860</v>
      </c>
      <c r="Q539" s="130" t="s">
        <v>160</v>
      </c>
      <c r="R539" s="128">
        <v>0</v>
      </c>
      <c r="S539" s="130" t="s">
        <v>1402</v>
      </c>
    </row>
    <row r="540" spans="1:19" x14ac:dyDescent="0.25">
      <c r="A540" s="130" t="s">
        <v>1423</v>
      </c>
      <c r="B540" s="130" t="s">
        <v>1424</v>
      </c>
      <c r="C540" s="130" t="s">
        <v>860</v>
      </c>
      <c r="D540" s="130" t="s">
        <v>860</v>
      </c>
      <c r="E540" s="130" t="s">
        <v>1401</v>
      </c>
      <c r="F540" s="130" t="s">
        <v>1402</v>
      </c>
      <c r="G540" s="130" t="s">
        <v>137</v>
      </c>
      <c r="I540" s="130" t="s">
        <v>416</v>
      </c>
      <c r="J540" s="130" t="s">
        <v>159</v>
      </c>
      <c r="K540" s="130" t="s">
        <v>1401</v>
      </c>
      <c r="L540" s="130" t="s">
        <v>139</v>
      </c>
      <c r="M540" s="128">
        <v>7</v>
      </c>
      <c r="N540" s="128">
        <f t="shared" si="8"/>
        <v>-3</v>
      </c>
      <c r="O540" s="130" t="s">
        <v>860</v>
      </c>
      <c r="P540" s="130" t="s">
        <v>860</v>
      </c>
      <c r="Q540" s="130" t="s">
        <v>160</v>
      </c>
      <c r="R540" s="128">
        <v>0</v>
      </c>
      <c r="S540" s="130" t="s">
        <v>1402</v>
      </c>
    </row>
    <row r="541" spans="1:19" x14ac:dyDescent="0.25">
      <c r="A541" s="130" t="s">
        <v>1425</v>
      </c>
      <c r="B541" s="130" t="s">
        <v>1426</v>
      </c>
      <c r="C541" s="130" t="s">
        <v>860</v>
      </c>
      <c r="D541" s="130" t="s">
        <v>860</v>
      </c>
      <c r="E541" s="130" t="s">
        <v>1401</v>
      </c>
      <c r="F541" s="130" t="s">
        <v>1402</v>
      </c>
      <c r="G541" s="130" t="s">
        <v>137</v>
      </c>
      <c r="I541" s="130" t="s">
        <v>416</v>
      </c>
      <c r="J541" s="130" t="s">
        <v>159</v>
      </c>
      <c r="K541" s="130" t="s">
        <v>1401</v>
      </c>
      <c r="L541" s="130" t="s">
        <v>543</v>
      </c>
      <c r="M541" s="128">
        <v>7</v>
      </c>
      <c r="N541" s="128">
        <f t="shared" si="8"/>
        <v>-1</v>
      </c>
      <c r="O541" s="130" t="s">
        <v>860</v>
      </c>
      <c r="P541" s="130" t="s">
        <v>860</v>
      </c>
      <c r="Q541" s="130" t="s">
        <v>160</v>
      </c>
      <c r="R541" s="128">
        <v>0</v>
      </c>
      <c r="S541" s="130" t="s">
        <v>1402</v>
      </c>
    </row>
    <row r="542" spans="1:19" x14ac:dyDescent="0.25">
      <c r="A542" s="130" t="s">
        <v>1427</v>
      </c>
      <c r="B542" s="130" t="s">
        <v>1428</v>
      </c>
      <c r="C542" s="130" t="s">
        <v>134</v>
      </c>
      <c r="D542" s="130" t="s">
        <v>134</v>
      </c>
      <c r="E542" s="130" t="s">
        <v>1151</v>
      </c>
      <c r="F542" s="130" t="s">
        <v>1152</v>
      </c>
      <c r="G542" s="130" t="s">
        <v>137</v>
      </c>
      <c r="I542" s="130" t="s">
        <v>416</v>
      </c>
      <c r="J542" s="130" t="s">
        <v>159</v>
      </c>
      <c r="K542" s="130" t="s">
        <v>1151</v>
      </c>
      <c r="L542" s="130" t="s">
        <v>543</v>
      </c>
      <c r="M542" s="128">
        <v>10</v>
      </c>
      <c r="N542" s="128">
        <f t="shared" si="8"/>
        <v>2</v>
      </c>
      <c r="O542" s="130" t="s">
        <v>134</v>
      </c>
      <c r="P542" s="130" t="s">
        <v>134</v>
      </c>
      <c r="Q542" s="130" t="s">
        <v>543</v>
      </c>
      <c r="R542" s="128">
        <v>10</v>
      </c>
      <c r="S542" s="130" t="s">
        <v>841</v>
      </c>
    </row>
    <row r="543" spans="1:19" x14ac:dyDescent="0.25">
      <c r="A543" s="130" t="s">
        <v>1429</v>
      </c>
      <c r="B543" s="130" t="s">
        <v>1430</v>
      </c>
      <c r="C543" s="130" t="s">
        <v>134</v>
      </c>
      <c r="D543" s="130" t="s">
        <v>134</v>
      </c>
      <c r="E543" s="130" t="s">
        <v>1151</v>
      </c>
      <c r="F543" s="130" t="s">
        <v>1152</v>
      </c>
      <c r="G543" s="130" t="s">
        <v>137</v>
      </c>
      <c r="I543" s="130" t="s">
        <v>416</v>
      </c>
      <c r="J543" s="130" t="s">
        <v>159</v>
      </c>
      <c r="K543" s="130" t="s">
        <v>1151</v>
      </c>
      <c r="L543" s="130" t="s">
        <v>543</v>
      </c>
      <c r="M543" s="128">
        <v>10</v>
      </c>
      <c r="N543" s="128">
        <f t="shared" si="8"/>
        <v>2</v>
      </c>
      <c r="O543" s="130" t="s">
        <v>134</v>
      </c>
      <c r="P543" s="130" t="s">
        <v>134</v>
      </c>
      <c r="Q543" s="130" t="s">
        <v>543</v>
      </c>
      <c r="R543" s="128">
        <v>10</v>
      </c>
      <c r="S543" s="130" t="s">
        <v>841</v>
      </c>
    </row>
    <row r="544" spans="1:19" x14ac:dyDescent="0.25">
      <c r="A544" s="130" t="s">
        <v>1431</v>
      </c>
      <c r="B544" s="130" t="s">
        <v>1432</v>
      </c>
      <c r="C544" s="130" t="s">
        <v>134</v>
      </c>
      <c r="D544" s="130" t="s">
        <v>134</v>
      </c>
      <c r="E544" s="130" t="s">
        <v>1151</v>
      </c>
      <c r="F544" s="130" t="s">
        <v>1152</v>
      </c>
      <c r="G544" s="130" t="s">
        <v>137</v>
      </c>
      <c r="I544" s="130" t="s">
        <v>416</v>
      </c>
      <c r="J544" s="130" t="s">
        <v>159</v>
      </c>
      <c r="K544" s="130" t="s">
        <v>1151</v>
      </c>
      <c r="L544" s="130" t="s">
        <v>543</v>
      </c>
      <c r="M544" s="128">
        <v>10</v>
      </c>
      <c r="N544" s="128">
        <f t="shared" si="8"/>
        <v>2</v>
      </c>
      <c r="O544" s="130" t="s">
        <v>134</v>
      </c>
      <c r="P544" s="130" t="s">
        <v>134</v>
      </c>
      <c r="Q544" s="130" t="s">
        <v>543</v>
      </c>
      <c r="R544" s="128">
        <v>10</v>
      </c>
      <c r="S544" s="130" t="s">
        <v>841</v>
      </c>
    </row>
    <row r="545" spans="1:19" x14ac:dyDescent="0.25">
      <c r="A545" s="130" t="s">
        <v>1433</v>
      </c>
      <c r="B545" s="130" t="s">
        <v>1434</v>
      </c>
      <c r="C545" s="130" t="s">
        <v>134</v>
      </c>
      <c r="D545" s="130" t="s">
        <v>134</v>
      </c>
      <c r="E545" s="130" t="s">
        <v>1151</v>
      </c>
      <c r="F545" s="130" t="s">
        <v>1152</v>
      </c>
      <c r="G545" s="130" t="s">
        <v>137</v>
      </c>
      <c r="I545" s="130" t="s">
        <v>416</v>
      </c>
      <c r="J545" s="130" t="s">
        <v>159</v>
      </c>
      <c r="K545" s="130" t="s">
        <v>1151</v>
      </c>
      <c r="L545" s="130" t="s">
        <v>543</v>
      </c>
      <c r="M545" s="128">
        <v>10</v>
      </c>
      <c r="N545" s="128">
        <f t="shared" si="8"/>
        <v>2</v>
      </c>
      <c r="O545" s="130" t="s">
        <v>134</v>
      </c>
      <c r="P545" s="130" t="s">
        <v>134</v>
      </c>
      <c r="Q545" s="130" t="s">
        <v>543</v>
      </c>
      <c r="R545" s="128">
        <v>10</v>
      </c>
      <c r="S545" s="130" t="s">
        <v>841</v>
      </c>
    </row>
    <row r="546" spans="1:19" x14ac:dyDescent="0.25">
      <c r="A546" s="130" t="s">
        <v>1435</v>
      </c>
      <c r="B546" s="130" t="s">
        <v>1436</v>
      </c>
      <c r="C546" s="130" t="s">
        <v>134</v>
      </c>
      <c r="D546" s="130" t="s">
        <v>134</v>
      </c>
      <c r="E546" s="130" t="s">
        <v>1151</v>
      </c>
      <c r="F546" s="130" t="s">
        <v>1152</v>
      </c>
      <c r="G546" s="130" t="s">
        <v>137</v>
      </c>
      <c r="I546" s="130" t="s">
        <v>416</v>
      </c>
      <c r="J546" s="130" t="s">
        <v>159</v>
      </c>
      <c r="K546" s="130" t="s">
        <v>1151</v>
      </c>
      <c r="L546" s="130" t="s">
        <v>543</v>
      </c>
      <c r="M546" s="128">
        <v>10</v>
      </c>
      <c r="N546" s="128">
        <f t="shared" si="8"/>
        <v>2</v>
      </c>
      <c r="O546" s="130" t="s">
        <v>134</v>
      </c>
      <c r="P546" s="130" t="s">
        <v>134</v>
      </c>
      <c r="Q546" s="130" t="s">
        <v>543</v>
      </c>
      <c r="R546" s="128">
        <v>10</v>
      </c>
      <c r="S546" s="130" t="s">
        <v>841</v>
      </c>
    </row>
    <row r="547" spans="1:19" x14ac:dyDescent="0.25">
      <c r="A547" s="130" t="s">
        <v>1437</v>
      </c>
      <c r="B547" s="130" t="s">
        <v>1438</v>
      </c>
      <c r="C547" s="130" t="s">
        <v>134</v>
      </c>
      <c r="D547" s="130" t="s">
        <v>134</v>
      </c>
      <c r="E547" s="130" t="s">
        <v>1151</v>
      </c>
      <c r="F547" s="130" t="s">
        <v>1152</v>
      </c>
      <c r="G547" s="130" t="s">
        <v>137</v>
      </c>
      <c r="I547" s="130" t="s">
        <v>416</v>
      </c>
      <c r="J547" s="130" t="s">
        <v>159</v>
      </c>
      <c r="K547" s="130" t="s">
        <v>1151</v>
      </c>
      <c r="L547" s="130" t="s">
        <v>543</v>
      </c>
      <c r="M547" s="128">
        <v>10</v>
      </c>
      <c r="N547" s="128">
        <f t="shared" si="8"/>
        <v>2</v>
      </c>
      <c r="O547" s="130" t="s">
        <v>134</v>
      </c>
      <c r="P547" s="130" t="s">
        <v>134</v>
      </c>
      <c r="Q547" s="130" t="s">
        <v>543</v>
      </c>
      <c r="R547" s="128">
        <v>10</v>
      </c>
      <c r="S547" s="130" t="s">
        <v>841</v>
      </c>
    </row>
    <row r="548" spans="1:19" x14ac:dyDescent="0.25">
      <c r="A548" s="130" t="s">
        <v>1439</v>
      </c>
      <c r="B548" s="130" t="s">
        <v>1440</v>
      </c>
      <c r="C548" s="130" t="s">
        <v>134</v>
      </c>
      <c r="D548" s="130" t="s">
        <v>134</v>
      </c>
      <c r="E548" s="130" t="s">
        <v>1151</v>
      </c>
      <c r="F548" s="130" t="s">
        <v>1152</v>
      </c>
      <c r="G548" s="130" t="s">
        <v>137</v>
      </c>
      <c r="I548" s="130" t="s">
        <v>416</v>
      </c>
      <c r="J548" s="130" t="s">
        <v>159</v>
      </c>
      <c r="K548" s="130" t="s">
        <v>1151</v>
      </c>
      <c r="L548" s="130" t="s">
        <v>543</v>
      </c>
      <c r="M548" s="128">
        <v>10</v>
      </c>
      <c r="N548" s="128">
        <f t="shared" si="8"/>
        <v>2</v>
      </c>
      <c r="O548" s="130" t="s">
        <v>134</v>
      </c>
      <c r="P548" s="130" t="s">
        <v>134</v>
      </c>
      <c r="Q548" s="130" t="s">
        <v>543</v>
      </c>
      <c r="R548" s="128">
        <v>10</v>
      </c>
      <c r="S548" s="130" t="s">
        <v>841</v>
      </c>
    </row>
    <row r="549" spans="1:19" x14ac:dyDescent="0.25">
      <c r="A549" s="130" t="s">
        <v>1441</v>
      </c>
      <c r="B549" s="130" t="s">
        <v>1442</v>
      </c>
      <c r="C549" s="130" t="s">
        <v>134</v>
      </c>
      <c r="D549" s="127" t="s">
        <v>860</v>
      </c>
      <c r="E549" s="130" t="s">
        <v>1443</v>
      </c>
      <c r="F549" s="130" t="s">
        <v>1444</v>
      </c>
      <c r="G549" s="130" t="s">
        <v>137</v>
      </c>
      <c r="I549" s="130" t="s">
        <v>416</v>
      </c>
      <c r="J549" s="130" t="s">
        <v>159</v>
      </c>
      <c r="K549" s="130" t="s">
        <v>1445</v>
      </c>
      <c r="L549" s="130" t="s">
        <v>543</v>
      </c>
      <c r="M549" s="128">
        <v>8</v>
      </c>
      <c r="N549" s="128">
        <f t="shared" si="8"/>
        <v>0</v>
      </c>
      <c r="O549" s="130" t="s">
        <v>159</v>
      </c>
      <c r="P549" s="127" t="s">
        <v>860</v>
      </c>
      <c r="Q549" s="130" t="s">
        <v>160</v>
      </c>
      <c r="R549" s="128">
        <v>0</v>
      </c>
      <c r="S549" s="130" t="s">
        <v>851</v>
      </c>
    </row>
    <row r="550" spans="1:19" x14ac:dyDescent="0.25">
      <c r="A550" s="130" t="s">
        <v>1446</v>
      </c>
      <c r="B550" s="130" t="s">
        <v>1447</v>
      </c>
      <c r="C550" s="130" t="s">
        <v>134</v>
      </c>
      <c r="D550" s="130" t="s">
        <v>134</v>
      </c>
      <c r="E550" s="130" t="s">
        <v>1443</v>
      </c>
      <c r="F550" s="130" t="s">
        <v>1444</v>
      </c>
      <c r="G550" s="130" t="s">
        <v>137</v>
      </c>
      <c r="I550" s="130" t="s">
        <v>416</v>
      </c>
      <c r="J550" s="130" t="s">
        <v>159</v>
      </c>
      <c r="K550" s="130" t="s">
        <v>1445</v>
      </c>
      <c r="L550" s="130" t="s">
        <v>543</v>
      </c>
      <c r="M550" s="128">
        <v>8</v>
      </c>
      <c r="N550" s="128">
        <f t="shared" si="8"/>
        <v>0</v>
      </c>
      <c r="O550" s="130" t="s">
        <v>159</v>
      </c>
      <c r="P550" s="130" t="s">
        <v>159</v>
      </c>
      <c r="Q550" s="130" t="s">
        <v>160</v>
      </c>
      <c r="R550" s="128">
        <v>0</v>
      </c>
      <c r="S550" s="130" t="s">
        <v>851</v>
      </c>
    </row>
    <row r="551" spans="1:19" x14ac:dyDescent="0.25">
      <c r="A551" s="130" t="s">
        <v>1448</v>
      </c>
      <c r="B551" s="130" t="s">
        <v>1449</v>
      </c>
      <c r="C551" s="130" t="s">
        <v>134</v>
      </c>
      <c r="D551" s="130" t="s">
        <v>134</v>
      </c>
      <c r="E551" s="130" t="s">
        <v>1443</v>
      </c>
      <c r="F551" s="130" t="s">
        <v>1444</v>
      </c>
      <c r="G551" s="130" t="s">
        <v>137</v>
      </c>
      <c r="I551" s="130" t="s">
        <v>416</v>
      </c>
      <c r="J551" s="130" t="s">
        <v>159</v>
      </c>
      <c r="K551" s="130" t="s">
        <v>1445</v>
      </c>
      <c r="L551" s="130" t="s">
        <v>543</v>
      </c>
      <c r="M551" s="128">
        <v>8</v>
      </c>
      <c r="N551" s="128">
        <f t="shared" si="8"/>
        <v>0</v>
      </c>
      <c r="O551" s="130" t="s">
        <v>159</v>
      </c>
      <c r="P551" s="130" t="s">
        <v>159</v>
      </c>
      <c r="Q551" s="130" t="s">
        <v>160</v>
      </c>
      <c r="R551" s="128">
        <v>0</v>
      </c>
      <c r="S551" s="130" t="s">
        <v>851</v>
      </c>
    </row>
    <row r="552" spans="1:19" x14ac:dyDescent="0.25">
      <c r="A552" s="130" t="s">
        <v>1450</v>
      </c>
      <c r="B552" s="130" t="s">
        <v>1451</v>
      </c>
      <c r="C552" s="130" t="s">
        <v>134</v>
      </c>
      <c r="D552" s="130" t="s">
        <v>134</v>
      </c>
      <c r="E552" s="130" t="s">
        <v>1452</v>
      </c>
      <c r="F552" s="130" t="s">
        <v>1453</v>
      </c>
      <c r="G552" s="130" t="s">
        <v>159</v>
      </c>
      <c r="I552" s="130" t="s">
        <v>416</v>
      </c>
      <c r="J552" s="130" t="s">
        <v>159</v>
      </c>
      <c r="K552" s="130" t="s">
        <v>1445</v>
      </c>
      <c r="L552" s="130" t="s">
        <v>543</v>
      </c>
      <c r="M552" s="128">
        <v>8</v>
      </c>
      <c r="N552" s="128">
        <f t="shared" si="8"/>
        <v>0</v>
      </c>
      <c r="O552" s="130" t="s">
        <v>134</v>
      </c>
      <c r="P552" s="130" t="s">
        <v>134</v>
      </c>
      <c r="Q552" s="130" t="s">
        <v>543</v>
      </c>
      <c r="R552" s="128">
        <v>8</v>
      </c>
      <c r="S552" s="130" t="s">
        <v>851</v>
      </c>
    </row>
    <row r="553" spans="1:19" x14ac:dyDescent="0.25">
      <c r="A553" s="130" t="s">
        <v>1454</v>
      </c>
      <c r="B553" s="130" t="s">
        <v>1455</v>
      </c>
      <c r="C553" s="130" t="s">
        <v>134</v>
      </c>
      <c r="D553" s="130" t="s">
        <v>134</v>
      </c>
      <c r="E553" s="130" t="s">
        <v>1456</v>
      </c>
      <c r="F553" s="130" t="s">
        <v>1457</v>
      </c>
      <c r="G553" s="130" t="s">
        <v>137</v>
      </c>
      <c r="I553" s="130" t="s">
        <v>416</v>
      </c>
      <c r="J553" s="130" t="s">
        <v>159</v>
      </c>
      <c r="K553" s="130" t="s">
        <v>1445</v>
      </c>
      <c r="L553" s="130" t="s">
        <v>543</v>
      </c>
      <c r="M553" s="128">
        <v>8</v>
      </c>
      <c r="N553" s="128">
        <f t="shared" si="8"/>
        <v>0</v>
      </c>
      <c r="O553" s="130" t="s">
        <v>134</v>
      </c>
      <c r="P553" s="130" t="s">
        <v>134</v>
      </c>
      <c r="Q553" s="130" t="s">
        <v>543</v>
      </c>
      <c r="R553" s="128">
        <v>8</v>
      </c>
      <c r="S553" s="130" t="s">
        <v>851</v>
      </c>
    </row>
    <row r="554" spans="1:19" x14ac:dyDescent="0.25">
      <c r="A554" s="130" t="s">
        <v>1458</v>
      </c>
      <c r="B554" s="130" t="s">
        <v>1459</v>
      </c>
      <c r="C554" s="130" t="s">
        <v>860</v>
      </c>
      <c r="D554" s="130" t="s">
        <v>860</v>
      </c>
      <c r="E554" s="130" t="s">
        <v>1445</v>
      </c>
      <c r="F554" s="130" t="s">
        <v>1460</v>
      </c>
      <c r="G554" s="130" t="s">
        <v>137</v>
      </c>
      <c r="I554" s="130" t="s">
        <v>416</v>
      </c>
      <c r="J554" s="130" t="s">
        <v>159</v>
      </c>
      <c r="K554" s="130" t="s">
        <v>1445</v>
      </c>
      <c r="L554" s="130" t="s">
        <v>543</v>
      </c>
      <c r="M554" s="128">
        <v>8</v>
      </c>
      <c r="N554" s="128">
        <f t="shared" si="8"/>
        <v>0</v>
      </c>
      <c r="O554" s="130" t="s">
        <v>860</v>
      </c>
      <c r="P554" s="130" t="s">
        <v>860</v>
      </c>
      <c r="Q554" s="130" t="s">
        <v>160</v>
      </c>
      <c r="R554" s="128">
        <v>0</v>
      </c>
      <c r="S554" s="130" t="s">
        <v>851</v>
      </c>
    </row>
    <row r="555" spans="1:19" x14ac:dyDescent="0.25">
      <c r="A555" s="130" t="s">
        <v>1461</v>
      </c>
      <c r="B555" s="130" t="s">
        <v>1462</v>
      </c>
      <c r="C555" s="130" t="s">
        <v>134</v>
      </c>
      <c r="D555" s="130" t="s">
        <v>134</v>
      </c>
      <c r="E555" s="130" t="s">
        <v>1445</v>
      </c>
      <c r="F555" s="130" t="s">
        <v>1460</v>
      </c>
      <c r="G555" s="130" t="s">
        <v>159</v>
      </c>
      <c r="I555" s="130" t="s">
        <v>416</v>
      </c>
      <c r="J555" s="130" t="s">
        <v>159</v>
      </c>
      <c r="K555" s="130" t="s">
        <v>1445</v>
      </c>
      <c r="L555" s="130" t="s">
        <v>543</v>
      </c>
      <c r="M555" s="128">
        <v>8</v>
      </c>
      <c r="N555" s="128">
        <f t="shared" si="8"/>
        <v>0</v>
      </c>
      <c r="O555" s="130" t="s">
        <v>134</v>
      </c>
      <c r="P555" s="130" t="s">
        <v>134</v>
      </c>
      <c r="Q555" s="130" t="s">
        <v>543</v>
      </c>
      <c r="R555" s="128">
        <v>8</v>
      </c>
      <c r="S555" s="130" t="s">
        <v>851</v>
      </c>
    </row>
    <row r="556" spans="1:19" x14ac:dyDescent="0.25">
      <c r="A556" s="130" t="s">
        <v>1463</v>
      </c>
      <c r="B556" s="130" t="s">
        <v>1464</v>
      </c>
      <c r="C556" s="130" t="s">
        <v>134</v>
      </c>
      <c r="D556" s="130" t="s">
        <v>134</v>
      </c>
      <c r="E556" s="130" t="s">
        <v>1445</v>
      </c>
      <c r="F556" s="130" t="s">
        <v>1460</v>
      </c>
      <c r="G556" s="130" t="s">
        <v>137</v>
      </c>
      <c r="I556" s="130" t="s">
        <v>416</v>
      </c>
      <c r="J556" s="130" t="s">
        <v>159</v>
      </c>
      <c r="K556" s="130" t="s">
        <v>1445</v>
      </c>
      <c r="L556" s="130" t="s">
        <v>543</v>
      </c>
      <c r="M556" s="128">
        <v>8</v>
      </c>
      <c r="N556" s="128">
        <f t="shared" si="8"/>
        <v>0</v>
      </c>
      <c r="O556" s="130" t="s">
        <v>134</v>
      </c>
      <c r="P556" s="130" t="s">
        <v>134</v>
      </c>
      <c r="Q556" s="130" t="s">
        <v>543</v>
      </c>
      <c r="R556" s="128">
        <v>8</v>
      </c>
      <c r="S556" s="130" t="s">
        <v>851</v>
      </c>
    </row>
    <row r="557" spans="1:19" x14ac:dyDescent="0.25">
      <c r="A557" s="130" t="s">
        <v>1465</v>
      </c>
      <c r="B557" s="130" t="s">
        <v>1466</v>
      </c>
      <c r="C557" s="130" t="s">
        <v>134</v>
      </c>
      <c r="D557" s="130" t="s">
        <v>134</v>
      </c>
      <c r="E557" s="130" t="s">
        <v>1445</v>
      </c>
      <c r="F557" s="130" t="s">
        <v>1460</v>
      </c>
      <c r="G557" s="130" t="s">
        <v>137</v>
      </c>
      <c r="I557" s="130" t="s">
        <v>416</v>
      </c>
      <c r="J557" s="130" t="s">
        <v>159</v>
      </c>
      <c r="K557" s="130" t="s">
        <v>1445</v>
      </c>
      <c r="L557" s="130" t="s">
        <v>543</v>
      </c>
      <c r="M557" s="128">
        <v>8</v>
      </c>
      <c r="N557" s="128">
        <f t="shared" si="8"/>
        <v>0</v>
      </c>
      <c r="O557" s="130" t="s">
        <v>134</v>
      </c>
      <c r="P557" s="130" t="s">
        <v>134</v>
      </c>
      <c r="Q557" s="130" t="s">
        <v>543</v>
      </c>
      <c r="R557" s="128">
        <v>8</v>
      </c>
      <c r="S557" s="130" t="s">
        <v>851</v>
      </c>
    </row>
    <row r="558" spans="1:19" x14ac:dyDescent="0.25">
      <c r="A558" s="130" t="s">
        <v>1467</v>
      </c>
      <c r="B558" s="130" t="s">
        <v>1468</v>
      </c>
      <c r="C558" s="130" t="s">
        <v>134</v>
      </c>
      <c r="D558" s="130" t="s">
        <v>134</v>
      </c>
      <c r="E558" s="130" t="s">
        <v>1445</v>
      </c>
      <c r="F558" s="130" t="s">
        <v>1460</v>
      </c>
      <c r="G558" s="130" t="s">
        <v>137</v>
      </c>
      <c r="I558" s="130" t="s">
        <v>416</v>
      </c>
      <c r="J558" s="130" t="s">
        <v>159</v>
      </c>
      <c r="K558" s="130" t="s">
        <v>1445</v>
      </c>
      <c r="L558" s="130" t="s">
        <v>543</v>
      </c>
      <c r="M558" s="128">
        <v>8</v>
      </c>
      <c r="N558" s="128">
        <f t="shared" si="8"/>
        <v>0</v>
      </c>
      <c r="O558" s="130" t="s">
        <v>134</v>
      </c>
      <c r="P558" s="130" t="s">
        <v>134</v>
      </c>
      <c r="Q558" s="130" t="s">
        <v>543</v>
      </c>
      <c r="R558" s="128">
        <v>8</v>
      </c>
      <c r="S558" s="130" t="s">
        <v>851</v>
      </c>
    </row>
    <row r="559" spans="1:19" x14ac:dyDescent="0.25">
      <c r="A559" s="130" t="s">
        <v>1469</v>
      </c>
      <c r="B559" s="130" t="s">
        <v>1470</v>
      </c>
      <c r="C559" s="130" t="s">
        <v>134</v>
      </c>
      <c r="D559" s="130" t="s">
        <v>134</v>
      </c>
      <c r="E559" s="130" t="s">
        <v>1445</v>
      </c>
      <c r="F559" s="130" t="s">
        <v>1460</v>
      </c>
      <c r="G559" s="130" t="s">
        <v>137</v>
      </c>
      <c r="I559" s="130" t="s">
        <v>416</v>
      </c>
      <c r="J559" s="130" t="s">
        <v>159</v>
      </c>
      <c r="K559" s="130" t="s">
        <v>1445</v>
      </c>
      <c r="L559" s="130" t="s">
        <v>543</v>
      </c>
      <c r="M559" s="128">
        <v>8</v>
      </c>
      <c r="N559" s="128">
        <f t="shared" si="8"/>
        <v>0</v>
      </c>
      <c r="O559" s="130" t="s">
        <v>134</v>
      </c>
      <c r="P559" s="130" t="s">
        <v>134</v>
      </c>
      <c r="Q559" s="130" t="s">
        <v>543</v>
      </c>
      <c r="R559" s="128">
        <v>8</v>
      </c>
      <c r="S559" s="130" t="s">
        <v>851</v>
      </c>
    </row>
    <row r="560" spans="1:19" x14ac:dyDescent="0.25">
      <c r="A560" s="130" t="s">
        <v>1471</v>
      </c>
      <c r="B560" s="130" t="s">
        <v>1472</v>
      </c>
      <c r="C560" s="130" t="s">
        <v>134</v>
      </c>
      <c r="D560" s="130" t="s">
        <v>134</v>
      </c>
      <c r="E560" s="130" t="s">
        <v>1445</v>
      </c>
      <c r="F560" s="130" t="s">
        <v>1460</v>
      </c>
      <c r="G560" s="130" t="s">
        <v>137</v>
      </c>
      <c r="I560" s="130" t="s">
        <v>416</v>
      </c>
      <c r="J560" s="130" t="s">
        <v>159</v>
      </c>
      <c r="K560" s="130" t="s">
        <v>1445</v>
      </c>
      <c r="L560" s="130" t="s">
        <v>543</v>
      </c>
      <c r="M560" s="128">
        <v>8</v>
      </c>
      <c r="N560" s="128">
        <f t="shared" si="8"/>
        <v>0</v>
      </c>
      <c r="O560" s="130" t="s">
        <v>134</v>
      </c>
      <c r="P560" s="130" t="s">
        <v>134</v>
      </c>
      <c r="Q560" s="130" t="s">
        <v>543</v>
      </c>
      <c r="R560" s="128">
        <v>8</v>
      </c>
      <c r="S560" s="130" t="s">
        <v>851</v>
      </c>
    </row>
    <row r="561" spans="1:19" x14ac:dyDescent="0.25">
      <c r="A561" s="130" t="s">
        <v>1473</v>
      </c>
      <c r="B561" s="130" t="s">
        <v>1474</v>
      </c>
      <c r="C561" s="130" t="s">
        <v>134</v>
      </c>
      <c r="D561" s="130" t="s">
        <v>134</v>
      </c>
      <c r="E561" s="130" t="s">
        <v>1445</v>
      </c>
      <c r="F561" s="130" t="s">
        <v>1460</v>
      </c>
      <c r="G561" s="130" t="s">
        <v>137</v>
      </c>
      <c r="I561" s="130" t="s">
        <v>416</v>
      </c>
      <c r="J561" s="130" t="s">
        <v>159</v>
      </c>
      <c r="K561" s="130" t="s">
        <v>1445</v>
      </c>
      <c r="L561" s="130" t="s">
        <v>543</v>
      </c>
      <c r="M561" s="128">
        <v>8</v>
      </c>
      <c r="N561" s="128">
        <f t="shared" si="8"/>
        <v>0</v>
      </c>
      <c r="O561" s="130" t="s">
        <v>134</v>
      </c>
      <c r="P561" s="130" t="s">
        <v>134</v>
      </c>
      <c r="Q561" s="130" t="s">
        <v>543</v>
      </c>
      <c r="R561" s="128">
        <v>8</v>
      </c>
      <c r="S561" s="130" t="s">
        <v>851</v>
      </c>
    </row>
    <row r="562" spans="1:19" x14ac:dyDescent="0.25">
      <c r="A562" s="130" t="s">
        <v>1475</v>
      </c>
      <c r="B562" s="130" t="s">
        <v>1476</v>
      </c>
      <c r="C562" s="130" t="s">
        <v>134</v>
      </c>
      <c r="D562" s="130" t="s">
        <v>134</v>
      </c>
      <c r="E562" s="130" t="s">
        <v>1445</v>
      </c>
      <c r="F562" s="130" t="s">
        <v>1460</v>
      </c>
      <c r="G562" s="130" t="s">
        <v>137</v>
      </c>
      <c r="I562" s="130" t="s">
        <v>416</v>
      </c>
      <c r="J562" s="130" t="s">
        <v>159</v>
      </c>
      <c r="K562" s="130" t="s">
        <v>1445</v>
      </c>
      <c r="L562" s="130" t="s">
        <v>543</v>
      </c>
      <c r="M562" s="128">
        <v>8</v>
      </c>
      <c r="N562" s="128">
        <f t="shared" si="8"/>
        <v>0</v>
      </c>
      <c r="O562" s="130" t="s">
        <v>134</v>
      </c>
      <c r="P562" s="130" t="s">
        <v>134</v>
      </c>
      <c r="Q562" s="130" t="s">
        <v>543</v>
      </c>
      <c r="R562" s="128">
        <v>8</v>
      </c>
      <c r="S562" s="130" t="s">
        <v>851</v>
      </c>
    </row>
    <row r="563" spans="1:19" x14ac:dyDescent="0.25">
      <c r="A563" s="130" t="s">
        <v>1477</v>
      </c>
      <c r="B563" s="130" t="s">
        <v>1478</v>
      </c>
      <c r="C563" s="130" t="s">
        <v>134</v>
      </c>
      <c r="D563" s="130" t="s">
        <v>134</v>
      </c>
      <c r="E563" s="130" t="s">
        <v>1445</v>
      </c>
      <c r="F563" s="130" t="s">
        <v>1460</v>
      </c>
      <c r="G563" s="130" t="s">
        <v>137</v>
      </c>
      <c r="I563" s="130" t="s">
        <v>416</v>
      </c>
      <c r="J563" s="130" t="s">
        <v>159</v>
      </c>
      <c r="K563" s="130" t="s">
        <v>1445</v>
      </c>
      <c r="L563" s="130" t="s">
        <v>543</v>
      </c>
      <c r="M563" s="128">
        <v>8</v>
      </c>
      <c r="N563" s="128">
        <f t="shared" si="8"/>
        <v>0</v>
      </c>
      <c r="O563" s="130" t="s">
        <v>134</v>
      </c>
      <c r="P563" s="130" t="s">
        <v>134</v>
      </c>
      <c r="Q563" s="130" t="s">
        <v>543</v>
      </c>
      <c r="R563" s="128">
        <v>8</v>
      </c>
      <c r="S563" s="130" t="s">
        <v>851</v>
      </c>
    </row>
    <row r="564" spans="1:19" x14ac:dyDescent="0.25">
      <c r="A564" s="130" t="s">
        <v>1479</v>
      </c>
      <c r="B564" s="130" t="s">
        <v>1480</v>
      </c>
      <c r="C564" s="130" t="s">
        <v>134</v>
      </c>
      <c r="D564" s="130" t="s">
        <v>134</v>
      </c>
      <c r="E564" s="130" t="s">
        <v>1445</v>
      </c>
      <c r="F564" s="130" t="s">
        <v>1460</v>
      </c>
      <c r="G564" s="130" t="s">
        <v>137</v>
      </c>
      <c r="I564" s="130" t="s">
        <v>416</v>
      </c>
      <c r="J564" s="130" t="s">
        <v>159</v>
      </c>
      <c r="K564" s="130" t="s">
        <v>1445</v>
      </c>
      <c r="L564" s="130" t="s">
        <v>543</v>
      </c>
      <c r="M564" s="128">
        <v>8</v>
      </c>
      <c r="N564" s="128">
        <f t="shared" si="8"/>
        <v>0</v>
      </c>
      <c r="O564" s="130" t="s">
        <v>134</v>
      </c>
      <c r="P564" s="130" t="s">
        <v>134</v>
      </c>
      <c r="Q564" s="130" t="s">
        <v>543</v>
      </c>
      <c r="R564" s="128">
        <v>8</v>
      </c>
      <c r="S564" s="130" t="s">
        <v>851</v>
      </c>
    </row>
    <row r="565" spans="1:19" x14ac:dyDescent="0.25">
      <c r="A565" s="130" t="s">
        <v>1481</v>
      </c>
      <c r="B565" s="130" t="s">
        <v>1482</v>
      </c>
      <c r="C565" s="130" t="s">
        <v>134</v>
      </c>
      <c r="D565" s="130" t="s">
        <v>134</v>
      </c>
      <c r="E565" s="130" t="s">
        <v>1445</v>
      </c>
      <c r="F565" s="130" t="s">
        <v>1460</v>
      </c>
      <c r="G565" s="130" t="s">
        <v>137</v>
      </c>
      <c r="I565" s="130" t="s">
        <v>416</v>
      </c>
      <c r="J565" s="130" t="s">
        <v>159</v>
      </c>
      <c r="K565" s="130" t="s">
        <v>1445</v>
      </c>
      <c r="L565" s="130" t="s">
        <v>543</v>
      </c>
      <c r="M565" s="128">
        <v>8</v>
      </c>
      <c r="N565" s="128">
        <f t="shared" si="8"/>
        <v>0</v>
      </c>
      <c r="O565" s="130" t="s">
        <v>134</v>
      </c>
      <c r="P565" s="130" t="s">
        <v>134</v>
      </c>
      <c r="Q565" s="130" t="s">
        <v>543</v>
      </c>
      <c r="R565" s="128">
        <v>8</v>
      </c>
      <c r="S565" s="130" t="s">
        <v>851</v>
      </c>
    </row>
    <row r="566" spans="1:19" x14ac:dyDescent="0.25">
      <c r="A566" s="130" t="s">
        <v>1483</v>
      </c>
      <c r="B566" s="130" t="s">
        <v>1484</v>
      </c>
      <c r="C566" s="130" t="s">
        <v>134</v>
      </c>
      <c r="D566" s="130" t="s">
        <v>134</v>
      </c>
      <c r="E566" s="130" t="s">
        <v>1445</v>
      </c>
      <c r="F566" s="130" t="s">
        <v>1460</v>
      </c>
      <c r="G566" s="130" t="s">
        <v>137</v>
      </c>
      <c r="I566" s="130" t="s">
        <v>416</v>
      </c>
      <c r="J566" s="130" t="s">
        <v>159</v>
      </c>
      <c r="K566" s="130" t="s">
        <v>1445</v>
      </c>
      <c r="L566" s="130" t="s">
        <v>543</v>
      </c>
      <c r="M566" s="128">
        <v>8</v>
      </c>
      <c r="N566" s="128">
        <f t="shared" si="8"/>
        <v>0</v>
      </c>
      <c r="O566" s="130" t="s">
        <v>134</v>
      </c>
      <c r="P566" s="130" t="s">
        <v>134</v>
      </c>
      <c r="Q566" s="130" t="s">
        <v>543</v>
      </c>
      <c r="R566" s="128">
        <v>8</v>
      </c>
      <c r="S566" s="130" t="s">
        <v>851</v>
      </c>
    </row>
    <row r="567" spans="1:19" x14ac:dyDescent="0.25">
      <c r="A567" s="130" t="s">
        <v>1485</v>
      </c>
      <c r="B567" s="130" t="s">
        <v>1486</v>
      </c>
      <c r="C567" s="130" t="s">
        <v>134</v>
      </c>
      <c r="D567" s="130" t="s">
        <v>134</v>
      </c>
      <c r="E567" s="130" t="s">
        <v>1445</v>
      </c>
      <c r="F567" s="130" t="s">
        <v>1460</v>
      </c>
      <c r="G567" s="130" t="s">
        <v>137</v>
      </c>
      <c r="I567" s="130" t="s">
        <v>416</v>
      </c>
      <c r="J567" s="130" t="s">
        <v>159</v>
      </c>
      <c r="K567" s="130" t="s">
        <v>1445</v>
      </c>
      <c r="L567" s="130" t="s">
        <v>543</v>
      </c>
      <c r="M567" s="128">
        <v>8</v>
      </c>
      <c r="N567" s="128">
        <f t="shared" si="8"/>
        <v>0</v>
      </c>
      <c r="O567" s="130" t="s">
        <v>134</v>
      </c>
      <c r="P567" s="130" t="s">
        <v>134</v>
      </c>
      <c r="Q567" s="130" t="s">
        <v>543</v>
      </c>
      <c r="R567" s="128">
        <v>8</v>
      </c>
      <c r="S567" s="130" t="s">
        <v>851</v>
      </c>
    </row>
    <row r="568" spans="1:19" x14ac:dyDescent="0.25">
      <c r="A568" s="130" t="s">
        <v>1487</v>
      </c>
      <c r="B568" s="130" t="s">
        <v>1488</v>
      </c>
      <c r="C568" s="130" t="s">
        <v>134</v>
      </c>
      <c r="D568" s="130" t="s">
        <v>134</v>
      </c>
      <c r="E568" s="130" t="s">
        <v>1445</v>
      </c>
      <c r="F568" s="130" t="s">
        <v>1460</v>
      </c>
      <c r="G568" s="130" t="s">
        <v>137</v>
      </c>
      <c r="I568" s="130" t="s">
        <v>416</v>
      </c>
      <c r="J568" s="130" t="s">
        <v>159</v>
      </c>
      <c r="K568" s="130" t="s">
        <v>1445</v>
      </c>
      <c r="L568" s="130" t="s">
        <v>543</v>
      </c>
      <c r="M568" s="128">
        <v>8</v>
      </c>
      <c r="N568" s="128">
        <f t="shared" si="8"/>
        <v>0</v>
      </c>
      <c r="O568" s="130" t="s">
        <v>134</v>
      </c>
      <c r="P568" s="130" t="s">
        <v>134</v>
      </c>
      <c r="Q568" s="130" t="s">
        <v>543</v>
      </c>
      <c r="R568" s="128">
        <v>8</v>
      </c>
      <c r="S568" s="130" t="s">
        <v>851</v>
      </c>
    </row>
    <row r="569" spans="1:19" x14ac:dyDescent="0.25">
      <c r="A569" s="130" t="s">
        <v>1489</v>
      </c>
      <c r="B569" s="130" t="s">
        <v>1490</v>
      </c>
      <c r="C569" s="130" t="s">
        <v>134</v>
      </c>
      <c r="D569" s="130" t="s">
        <v>134</v>
      </c>
      <c r="E569" s="130" t="s">
        <v>1445</v>
      </c>
      <c r="F569" s="130" t="s">
        <v>1460</v>
      </c>
      <c r="G569" s="130" t="s">
        <v>137</v>
      </c>
      <c r="I569" s="130" t="s">
        <v>416</v>
      </c>
      <c r="J569" s="130" t="s">
        <v>159</v>
      </c>
      <c r="K569" s="130" t="s">
        <v>1445</v>
      </c>
      <c r="L569" s="130" t="s">
        <v>543</v>
      </c>
      <c r="M569" s="128">
        <v>8</v>
      </c>
      <c r="N569" s="128">
        <f t="shared" si="8"/>
        <v>0</v>
      </c>
      <c r="O569" s="130" t="s">
        <v>134</v>
      </c>
      <c r="P569" s="130" t="s">
        <v>134</v>
      </c>
      <c r="Q569" s="130" t="s">
        <v>543</v>
      </c>
      <c r="R569" s="128">
        <v>8</v>
      </c>
      <c r="S569" s="130" t="s">
        <v>851</v>
      </c>
    </row>
    <row r="570" spans="1:19" x14ac:dyDescent="0.25">
      <c r="A570" s="130" t="s">
        <v>1491</v>
      </c>
      <c r="B570" s="130" t="s">
        <v>1492</v>
      </c>
      <c r="C570" s="130" t="s">
        <v>134</v>
      </c>
      <c r="D570" s="130" t="s">
        <v>134</v>
      </c>
      <c r="E570" s="130" t="s">
        <v>1445</v>
      </c>
      <c r="F570" s="130" t="s">
        <v>1460</v>
      </c>
      <c r="G570" s="130" t="s">
        <v>137</v>
      </c>
      <c r="I570" s="130" t="s">
        <v>416</v>
      </c>
      <c r="J570" s="130" t="s">
        <v>159</v>
      </c>
      <c r="K570" s="130" t="s">
        <v>1445</v>
      </c>
      <c r="L570" s="130" t="s">
        <v>543</v>
      </c>
      <c r="M570" s="128">
        <v>8</v>
      </c>
      <c r="N570" s="128">
        <f t="shared" si="8"/>
        <v>0</v>
      </c>
      <c r="O570" s="130" t="s">
        <v>134</v>
      </c>
      <c r="P570" s="130" t="s">
        <v>134</v>
      </c>
      <c r="Q570" s="130" t="s">
        <v>543</v>
      </c>
      <c r="R570" s="128">
        <v>8</v>
      </c>
      <c r="S570" s="130" t="s">
        <v>851</v>
      </c>
    </row>
    <row r="571" spans="1:19" x14ac:dyDescent="0.25">
      <c r="A571" s="130" t="s">
        <v>1493</v>
      </c>
      <c r="B571" s="130" t="s">
        <v>1494</v>
      </c>
      <c r="C571" s="130" t="s">
        <v>860</v>
      </c>
      <c r="D571" s="130" t="s">
        <v>860</v>
      </c>
      <c r="E571" s="130" t="s">
        <v>1445</v>
      </c>
      <c r="F571" s="130" t="s">
        <v>1460</v>
      </c>
      <c r="G571" s="130" t="s">
        <v>137</v>
      </c>
      <c r="I571" s="130" t="s">
        <v>416</v>
      </c>
      <c r="J571" s="130" t="s">
        <v>159</v>
      </c>
      <c r="K571" s="130" t="s">
        <v>1445</v>
      </c>
      <c r="L571" s="130" t="s">
        <v>543</v>
      </c>
      <c r="M571" s="128">
        <v>8</v>
      </c>
      <c r="N571" s="128">
        <f t="shared" si="8"/>
        <v>0</v>
      </c>
      <c r="O571" s="130" t="s">
        <v>860</v>
      </c>
      <c r="P571" s="130" t="s">
        <v>860</v>
      </c>
      <c r="Q571" s="130" t="s">
        <v>160</v>
      </c>
      <c r="R571" s="128">
        <v>0</v>
      </c>
      <c r="S571" s="130" t="s">
        <v>851</v>
      </c>
    </row>
    <row r="572" spans="1:19" x14ac:dyDescent="0.25">
      <c r="A572" s="130" t="s">
        <v>1495</v>
      </c>
      <c r="B572" s="130" t="s">
        <v>1496</v>
      </c>
      <c r="C572" s="130" t="s">
        <v>134</v>
      </c>
      <c r="D572" s="130" t="s">
        <v>134</v>
      </c>
      <c r="E572" s="130" t="s">
        <v>1495</v>
      </c>
      <c r="F572" s="130" t="s">
        <v>1496</v>
      </c>
      <c r="G572" s="130" t="s">
        <v>137</v>
      </c>
      <c r="I572" s="130" t="s">
        <v>416</v>
      </c>
      <c r="J572" s="130" t="s">
        <v>159</v>
      </c>
      <c r="K572" s="130" t="s">
        <v>1495</v>
      </c>
      <c r="L572" s="130" t="s">
        <v>543</v>
      </c>
      <c r="M572" s="128">
        <v>8</v>
      </c>
      <c r="N572" s="128">
        <f t="shared" si="8"/>
        <v>0</v>
      </c>
      <c r="O572" s="130" t="s">
        <v>134</v>
      </c>
      <c r="P572" s="130" t="s">
        <v>134</v>
      </c>
      <c r="Q572" s="130" t="s">
        <v>543</v>
      </c>
      <c r="R572" s="128">
        <v>8</v>
      </c>
      <c r="S572" s="130" t="s">
        <v>1255</v>
      </c>
    </row>
    <row r="573" spans="1:19" x14ac:dyDescent="0.25">
      <c r="A573" s="130" t="s">
        <v>1497</v>
      </c>
      <c r="B573" s="130" t="s">
        <v>1498</v>
      </c>
      <c r="C573" s="130" t="s">
        <v>159</v>
      </c>
      <c r="D573" s="130" t="s">
        <v>159</v>
      </c>
      <c r="E573" s="130" t="s">
        <v>1499</v>
      </c>
      <c r="F573" s="130" t="s">
        <v>1500</v>
      </c>
      <c r="G573" s="130" t="s">
        <v>137</v>
      </c>
      <c r="I573" s="130" t="s">
        <v>1501</v>
      </c>
      <c r="J573" s="130" t="s">
        <v>159</v>
      </c>
      <c r="K573" s="130" t="s">
        <v>1499</v>
      </c>
      <c r="L573" s="130" t="s">
        <v>543</v>
      </c>
      <c r="M573" s="128">
        <v>0</v>
      </c>
      <c r="N573" s="128">
        <f t="shared" si="8"/>
        <v>-8</v>
      </c>
      <c r="O573" s="130" t="s">
        <v>159</v>
      </c>
      <c r="P573" s="130" t="s">
        <v>159</v>
      </c>
      <c r="Q573" s="130" t="s">
        <v>160</v>
      </c>
      <c r="R573" s="128">
        <v>0</v>
      </c>
      <c r="S573" s="130" t="s">
        <v>1502</v>
      </c>
    </row>
    <row r="574" spans="1:19" x14ac:dyDescent="0.25">
      <c r="A574" s="130" t="s">
        <v>1503</v>
      </c>
      <c r="B574" s="130" t="s">
        <v>1504</v>
      </c>
      <c r="C574" s="130" t="s">
        <v>159</v>
      </c>
      <c r="D574" s="130" t="s">
        <v>159</v>
      </c>
      <c r="E574" s="130" t="s">
        <v>1499</v>
      </c>
      <c r="F574" s="130" t="s">
        <v>1500</v>
      </c>
      <c r="G574" s="130" t="s">
        <v>137</v>
      </c>
      <c r="I574" s="130" t="s">
        <v>1501</v>
      </c>
      <c r="J574" s="130" t="s">
        <v>159</v>
      </c>
      <c r="K574" s="130" t="s">
        <v>1499</v>
      </c>
      <c r="L574" s="130" t="s">
        <v>543</v>
      </c>
      <c r="M574" s="128">
        <v>0</v>
      </c>
      <c r="N574" s="128">
        <f t="shared" si="8"/>
        <v>-8</v>
      </c>
      <c r="O574" s="130" t="s">
        <v>159</v>
      </c>
      <c r="P574" s="130" t="s">
        <v>159</v>
      </c>
      <c r="Q574" s="130" t="s">
        <v>160</v>
      </c>
      <c r="R574" s="128">
        <v>0</v>
      </c>
      <c r="S574" s="130" t="s">
        <v>1502</v>
      </c>
    </row>
    <row r="575" spans="1:19" x14ac:dyDescent="0.25">
      <c r="A575" s="130" t="s">
        <v>1505</v>
      </c>
      <c r="B575" s="130" t="s">
        <v>1506</v>
      </c>
      <c r="C575" s="130" t="s">
        <v>159</v>
      </c>
      <c r="D575" s="130" t="s">
        <v>159</v>
      </c>
      <c r="E575" s="130" t="s">
        <v>1499</v>
      </c>
      <c r="F575" s="130" t="s">
        <v>1500</v>
      </c>
      <c r="G575" s="130" t="s">
        <v>137</v>
      </c>
      <c r="I575" s="130" t="s">
        <v>1501</v>
      </c>
      <c r="J575" s="130" t="s">
        <v>159</v>
      </c>
      <c r="K575" s="130" t="s">
        <v>1499</v>
      </c>
      <c r="L575" s="130" t="s">
        <v>543</v>
      </c>
      <c r="M575" s="128">
        <v>0</v>
      </c>
      <c r="N575" s="128">
        <f t="shared" si="8"/>
        <v>-8</v>
      </c>
      <c r="O575" s="130" t="s">
        <v>159</v>
      </c>
      <c r="P575" s="130" t="s">
        <v>159</v>
      </c>
      <c r="Q575" s="130" t="s">
        <v>160</v>
      </c>
      <c r="R575" s="128">
        <v>0</v>
      </c>
      <c r="S575" s="130" t="s">
        <v>1502</v>
      </c>
    </row>
    <row r="576" spans="1:19" x14ac:dyDescent="0.25">
      <c r="A576" s="130" t="s">
        <v>1499</v>
      </c>
      <c r="B576" s="130" t="s">
        <v>1507</v>
      </c>
      <c r="C576" s="130" t="s">
        <v>159</v>
      </c>
      <c r="D576" s="130" t="s">
        <v>159</v>
      </c>
      <c r="E576" s="130" t="s">
        <v>1499</v>
      </c>
      <c r="F576" s="130" t="s">
        <v>1500</v>
      </c>
      <c r="G576" s="130" t="s">
        <v>137</v>
      </c>
      <c r="I576" s="130" t="s">
        <v>1501</v>
      </c>
      <c r="J576" s="130" t="s">
        <v>159</v>
      </c>
      <c r="K576" s="130" t="s">
        <v>1499</v>
      </c>
      <c r="L576" s="130" t="s">
        <v>543</v>
      </c>
      <c r="M576" s="128">
        <v>0</v>
      </c>
      <c r="N576" s="128">
        <f t="shared" si="8"/>
        <v>-8</v>
      </c>
      <c r="O576" s="130" t="s">
        <v>159</v>
      </c>
      <c r="P576" s="130" t="s">
        <v>159</v>
      </c>
      <c r="Q576" s="130" t="s">
        <v>160</v>
      </c>
      <c r="R576" s="128">
        <v>0</v>
      </c>
      <c r="S576" s="130" t="s">
        <v>1502</v>
      </c>
    </row>
    <row r="577" spans="1:19" x14ac:dyDescent="0.25">
      <c r="A577" s="130" t="s">
        <v>1508</v>
      </c>
      <c r="B577" s="130" t="s">
        <v>1509</v>
      </c>
      <c r="C577" s="130" t="s">
        <v>159</v>
      </c>
      <c r="D577" s="130" t="s">
        <v>159</v>
      </c>
      <c r="E577" s="130" t="s">
        <v>1510</v>
      </c>
      <c r="F577" s="130" t="s">
        <v>1511</v>
      </c>
      <c r="G577" s="130" t="s">
        <v>137</v>
      </c>
      <c r="I577" s="130" t="s">
        <v>1501</v>
      </c>
      <c r="J577" s="130" t="s">
        <v>159</v>
      </c>
      <c r="K577" s="130" t="s">
        <v>1510</v>
      </c>
      <c r="L577" s="130" t="s">
        <v>543</v>
      </c>
      <c r="M577" s="128">
        <v>0</v>
      </c>
      <c r="N577" s="128">
        <f t="shared" si="8"/>
        <v>-8</v>
      </c>
      <c r="O577" s="130" t="s">
        <v>159</v>
      </c>
      <c r="P577" s="130" t="s">
        <v>159</v>
      </c>
      <c r="Q577" s="130" t="s">
        <v>160</v>
      </c>
      <c r="R577" s="128">
        <v>0</v>
      </c>
      <c r="S577" s="130" t="s">
        <v>1502</v>
      </c>
    </row>
    <row r="578" spans="1:19" x14ac:dyDescent="0.25">
      <c r="A578" s="130" t="s">
        <v>1512</v>
      </c>
      <c r="B578" s="130" t="s">
        <v>1513</v>
      </c>
      <c r="C578" s="130" t="s">
        <v>159</v>
      </c>
      <c r="D578" s="130" t="s">
        <v>159</v>
      </c>
      <c r="E578" s="130" t="s">
        <v>1510</v>
      </c>
      <c r="F578" s="130" t="s">
        <v>1511</v>
      </c>
      <c r="G578" s="130" t="s">
        <v>137</v>
      </c>
      <c r="I578" s="130" t="s">
        <v>1501</v>
      </c>
      <c r="J578" s="130" t="s">
        <v>159</v>
      </c>
      <c r="K578" s="130" t="s">
        <v>1510</v>
      </c>
      <c r="L578" s="130" t="s">
        <v>543</v>
      </c>
      <c r="M578" s="128">
        <v>0</v>
      </c>
      <c r="N578" s="128">
        <f t="shared" si="8"/>
        <v>-8</v>
      </c>
      <c r="O578" s="130" t="s">
        <v>159</v>
      </c>
      <c r="P578" s="130" t="s">
        <v>159</v>
      </c>
      <c r="Q578" s="130" t="s">
        <v>160</v>
      </c>
      <c r="R578" s="128">
        <v>0</v>
      </c>
      <c r="S578" s="130" t="s">
        <v>1502</v>
      </c>
    </row>
    <row r="579" spans="1:19" x14ac:dyDescent="0.25">
      <c r="A579" s="130" t="s">
        <v>1514</v>
      </c>
      <c r="B579" s="130" t="s">
        <v>1515</v>
      </c>
      <c r="C579" s="130" t="s">
        <v>159</v>
      </c>
      <c r="D579" s="130" t="s">
        <v>159</v>
      </c>
      <c r="E579" s="130" t="s">
        <v>1510</v>
      </c>
      <c r="F579" s="130" t="s">
        <v>1511</v>
      </c>
      <c r="G579" s="130" t="s">
        <v>137</v>
      </c>
      <c r="I579" s="130" t="s">
        <v>1501</v>
      </c>
      <c r="J579" s="130" t="s">
        <v>159</v>
      </c>
      <c r="K579" s="130" t="s">
        <v>1510</v>
      </c>
      <c r="L579" s="130" t="s">
        <v>543</v>
      </c>
      <c r="M579" s="128">
        <v>0</v>
      </c>
      <c r="N579" s="128">
        <f t="shared" ref="N579:N642" si="9">M579-L579</f>
        <v>-8</v>
      </c>
      <c r="O579" s="130" t="s">
        <v>159</v>
      </c>
      <c r="P579" s="130" t="s">
        <v>159</v>
      </c>
      <c r="Q579" s="130" t="s">
        <v>160</v>
      </c>
      <c r="R579" s="128">
        <v>0</v>
      </c>
      <c r="S579" s="130" t="s">
        <v>1502</v>
      </c>
    </row>
    <row r="580" spans="1:19" x14ac:dyDescent="0.25">
      <c r="A580" s="130" t="s">
        <v>1516</v>
      </c>
      <c r="B580" s="130" t="s">
        <v>1517</v>
      </c>
      <c r="C580" s="130" t="s">
        <v>159</v>
      </c>
      <c r="D580" s="130" t="s">
        <v>159</v>
      </c>
      <c r="E580" s="130" t="s">
        <v>1510</v>
      </c>
      <c r="F580" s="130" t="s">
        <v>1511</v>
      </c>
      <c r="G580" s="130" t="s">
        <v>137</v>
      </c>
      <c r="I580" s="130" t="s">
        <v>1501</v>
      </c>
      <c r="J580" s="130" t="s">
        <v>159</v>
      </c>
      <c r="K580" s="130" t="s">
        <v>1510</v>
      </c>
      <c r="L580" s="130" t="s">
        <v>543</v>
      </c>
      <c r="M580" s="128">
        <v>0</v>
      </c>
      <c r="N580" s="128">
        <f t="shared" si="9"/>
        <v>-8</v>
      </c>
      <c r="O580" s="130" t="s">
        <v>159</v>
      </c>
      <c r="P580" s="130" t="s">
        <v>159</v>
      </c>
      <c r="Q580" s="130" t="s">
        <v>160</v>
      </c>
      <c r="R580" s="128">
        <v>0</v>
      </c>
      <c r="S580" s="130" t="s">
        <v>1502</v>
      </c>
    </row>
    <row r="581" spans="1:19" x14ac:dyDescent="0.25">
      <c r="A581" s="130" t="s">
        <v>1518</v>
      </c>
      <c r="B581" s="130" t="s">
        <v>1519</v>
      </c>
      <c r="C581" s="130" t="s">
        <v>159</v>
      </c>
      <c r="D581" s="130" t="s">
        <v>159</v>
      </c>
      <c r="E581" s="130" t="s">
        <v>1510</v>
      </c>
      <c r="F581" s="130" t="s">
        <v>1511</v>
      </c>
      <c r="G581" s="130" t="s">
        <v>137</v>
      </c>
      <c r="I581" s="130" t="s">
        <v>1501</v>
      </c>
      <c r="J581" s="130" t="s">
        <v>159</v>
      </c>
      <c r="K581" s="130" t="s">
        <v>1510</v>
      </c>
      <c r="L581" s="130" t="s">
        <v>543</v>
      </c>
      <c r="M581" s="128">
        <v>0</v>
      </c>
      <c r="N581" s="128">
        <f t="shared" si="9"/>
        <v>-8</v>
      </c>
      <c r="O581" s="130" t="s">
        <v>159</v>
      </c>
      <c r="P581" s="130" t="s">
        <v>159</v>
      </c>
      <c r="Q581" s="130" t="s">
        <v>160</v>
      </c>
      <c r="R581" s="128">
        <v>0</v>
      </c>
      <c r="S581" s="130" t="s">
        <v>1502</v>
      </c>
    </row>
    <row r="582" spans="1:19" x14ac:dyDescent="0.25">
      <c r="A582" s="130" t="s">
        <v>1520</v>
      </c>
      <c r="B582" s="130" t="s">
        <v>1521</v>
      </c>
      <c r="C582" s="130" t="s">
        <v>159</v>
      </c>
      <c r="D582" s="130" t="s">
        <v>159</v>
      </c>
      <c r="E582" s="130" t="s">
        <v>1520</v>
      </c>
      <c r="F582" s="130" t="s">
        <v>1521</v>
      </c>
      <c r="G582" s="130" t="s">
        <v>137</v>
      </c>
      <c r="I582" s="130" t="s">
        <v>1501</v>
      </c>
      <c r="J582" s="130" t="s">
        <v>159</v>
      </c>
      <c r="K582" s="130" t="s">
        <v>1520</v>
      </c>
      <c r="L582" s="130" t="s">
        <v>543</v>
      </c>
      <c r="M582" s="128">
        <v>0</v>
      </c>
      <c r="N582" s="128">
        <f t="shared" si="9"/>
        <v>-8</v>
      </c>
      <c r="O582" s="130" t="s">
        <v>159</v>
      </c>
      <c r="P582" s="130" t="s">
        <v>159</v>
      </c>
      <c r="Q582" s="130" t="s">
        <v>160</v>
      </c>
      <c r="R582" s="128">
        <v>0</v>
      </c>
      <c r="S582" s="130" t="s">
        <v>1502</v>
      </c>
    </row>
    <row r="583" spans="1:19" x14ac:dyDescent="0.25">
      <c r="A583" s="130" t="s">
        <v>1522</v>
      </c>
      <c r="B583" s="130" t="s">
        <v>1523</v>
      </c>
      <c r="C583" s="130" t="s">
        <v>159</v>
      </c>
      <c r="D583" s="130" t="s">
        <v>159</v>
      </c>
      <c r="E583" s="130" t="s">
        <v>1524</v>
      </c>
      <c r="F583" s="130" t="s">
        <v>1525</v>
      </c>
      <c r="G583" s="130" t="s">
        <v>137</v>
      </c>
      <c r="I583" s="130" t="s">
        <v>1501</v>
      </c>
      <c r="J583" s="130" t="s">
        <v>159</v>
      </c>
      <c r="K583" s="130" t="s">
        <v>1524</v>
      </c>
      <c r="L583" s="130" t="s">
        <v>543</v>
      </c>
      <c r="M583" s="128">
        <v>0</v>
      </c>
      <c r="N583" s="128">
        <f t="shared" si="9"/>
        <v>-8</v>
      </c>
      <c r="O583" s="130" t="s">
        <v>159</v>
      </c>
      <c r="P583" s="130" t="s">
        <v>159</v>
      </c>
      <c r="Q583" s="130" t="s">
        <v>160</v>
      </c>
      <c r="R583" s="128">
        <v>0</v>
      </c>
      <c r="S583" s="130" t="s">
        <v>1502</v>
      </c>
    </row>
    <row r="584" spans="1:19" x14ac:dyDescent="0.25">
      <c r="A584" s="130" t="s">
        <v>1526</v>
      </c>
      <c r="B584" s="130" t="s">
        <v>1527</v>
      </c>
      <c r="C584" s="130" t="s">
        <v>159</v>
      </c>
      <c r="D584" s="130" t="s">
        <v>159</v>
      </c>
      <c r="E584" s="130" t="s">
        <v>1524</v>
      </c>
      <c r="F584" s="130" t="s">
        <v>1525</v>
      </c>
      <c r="G584" s="130" t="s">
        <v>137</v>
      </c>
      <c r="I584" s="130" t="s">
        <v>1501</v>
      </c>
      <c r="J584" s="130" t="s">
        <v>159</v>
      </c>
      <c r="K584" s="130" t="s">
        <v>1524</v>
      </c>
      <c r="L584" s="130" t="s">
        <v>543</v>
      </c>
      <c r="M584" s="128">
        <v>0</v>
      </c>
      <c r="N584" s="128">
        <f t="shared" si="9"/>
        <v>-8</v>
      </c>
      <c r="O584" s="130" t="s">
        <v>159</v>
      </c>
      <c r="P584" s="130" t="s">
        <v>159</v>
      </c>
      <c r="Q584" s="130" t="s">
        <v>160</v>
      </c>
      <c r="R584" s="128">
        <v>0</v>
      </c>
      <c r="S584" s="130" t="s">
        <v>1502</v>
      </c>
    </row>
    <row r="585" spans="1:19" x14ac:dyDescent="0.25">
      <c r="A585" s="130" t="s">
        <v>1528</v>
      </c>
      <c r="B585" s="130" t="s">
        <v>1529</v>
      </c>
      <c r="C585" s="130" t="s">
        <v>1020</v>
      </c>
      <c r="D585" s="130" t="s">
        <v>1020</v>
      </c>
      <c r="E585" s="130" t="s">
        <v>1530</v>
      </c>
      <c r="F585" s="130" t="s">
        <v>1531</v>
      </c>
      <c r="G585" s="130" t="s">
        <v>137</v>
      </c>
      <c r="H585" s="130" t="s">
        <v>159</v>
      </c>
      <c r="I585" s="130" t="s">
        <v>1532</v>
      </c>
      <c r="J585" s="130" t="s">
        <v>159</v>
      </c>
      <c r="K585" s="130" t="s">
        <v>1530</v>
      </c>
      <c r="L585" s="130" t="s">
        <v>160</v>
      </c>
      <c r="M585" s="128">
        <v>0</v>
      </c>
      <c r="N585" s="128">
        <f t="shared" si="9"/>
        <v>0</v>
      </c>
      <c r="O585" s="130" t="s">
        <v>1020</v>
      </c>
      <c r="P585" s="130" t="s">
        <v>1020</v>
      </c>
      <c r="Q585" s="130" t="s">
        <v>160</v>
      </c>
      <c r="R585" s="128">
        <v>0</v>
      </c>
      <c r="S585" s="130" t="s">
        <v>1502</v>
      </c>
    </row>
    <row r="586" spans="1:19" x14ac:dyDescent="0.25">
      <c r="A586" s="130" t="s">
        <v>1533</v>
      </c>
      <c r="B586" s="130" t="s">
        <v>1534</v>
      </c>
      <c r="C586" s="130" t="s">
        <v>1020</v>
      </c>
      <c r="D586" s="130" t="s">
        <v>1020</v>
      </c>
      <c r="E586" s="130" t="s">
        <v>1533</v>
      </c>
      <c r="F586" s="130" t="s">
        <v>1534</v>
      </c>
      <c r="G586" s="130" t="s">
        <v>137</v>
      </c>
      <c r="H586" s="130" t="s">
        <v>159</v>
      </c>
      <c r="I586" s="130" t="s">
        <v>1532</v>
      </c>
      <c r="J586" s="130" t="s">
        <v>159</v>
      </c>
      <c r="K586" s="130" t="s">
        <v>1533</v>
      </c>
      <c r="L586" s="130" t="s">
        <v>160</v>
      </c>
      <c r="M586" s="128">
        <v>0</v>
      </c>
      <c r="N586" s="128">
        <f t="shared" si="9"/>
        <v>0</v>
      </c>
      <c r="O586" s="130" t="s">
        <v>1020</v>
      </c>
      <c r="P586" s="130" t="s">
        <v>1020</v>
      </c>
      <c r="Q586" s="130" t="s">
        <v>160</v>
      </c>
      <c r="R586" s="128">
        <v>0</v>
      </c>
      <c r="S586" s="130" t="s">
        <v>1502</v>
      </c>
    </row>
    <row r="587" spans="1:19" x14ac:dyDescent="0.25">
      <c r="A587" s="130" t="s">
        <v>1535</v>
      </c>
      <c r="B587" s="130" t="s">
        <v>1536</v>
      </c>
      <c r="C587" s="130" t="s">
        <v>1020</v>
      </c>
      <c r="D587" s="130" t="s">
        <v>1020</v>
      </c>
      <c r="E587" s="130" t="s">
        <v>1535</v>
      </c>
      <c r="F587" s="130" t="s">
        <v>1536</v>
      </c>
      <c r="G587" s="130" t="s">
        <v>137</v>
      </c>
      <c r="H587" s="130" t="s">
        <v>159</v>
      </c>
      <c r="I587" s="130" t="s">
        <v>1532</v>
      </c>
      <c r="J587" s="130" t="s">
        <v>159</v>
      </c>
      <c r="K587" s="130" t="s">
        <v>1535</v>
      </c>
      <c r="L587" s="130" t="s">
        <v>160</v>
      </c>
      <c r="M587" s="128">
        <v>0</v>
      </c>
      <c r="N587" s="128">
        <f t="shared" si="9"/>
        <v>0</v>
      </c>
      <c r="O587" s="130" t="s">
        <v>1020</v>
      </c>
      <c r="P587" s="130" t="s">
        <v>1020</v>
      </c>
      <c r="Q587" s="130" t="s">
        <v>160</v>
      </c>
      <c r="R587" s="128">
        <v>0</v>
      </c>
      <c r="S587" s="130" t="s">
        <v>1502</v>
      </c>
    </row>
    <row r="588" spans="1:19" x14ac:dyDescent="0.25">
      <c r="A588" s="130" t="s">
        <v>1537</v>
      </c>
      <c r="B588" s="130" t="s">
        <v>1538</v>
      </c>
      <c r="C588" s="130" t="s">
        <v>1020</v>
      </c>
      <c r="D588" s="130" t="s">
        <v>1020</v>
      </c>
      <c r="E588" s="130" t="s">
        <v>1537</v>
      </c>
      <c r="F588" s="130" t="s">
        <v>1538</v>
      </c>
      <c r="G588" s="130" t="s">
        <v>137</v>
      </c>
      <c r="H588" s="130" t="s">
        <v>159</v>
      </c>
      <c r="I588" s="130" t="s">
        <v>1532</v>
      </c>
      <c r="J588" s="130" t="s">
        <v>159</v>
      </c>
      <c r="K588" s="130" t="s">
        <v>1537</v>
      </c>
      <c r="L588" s="130" t="s">
        <v>160</v>
      </c>
      <c r="M588" s="128">
        <v>0</v>
      </c>
      <c r="N588" s="128">
        <f t="shared" si="9"/>
        <v>0</v>
      </c>
      <c r="O588" s="130" t="s">
        <v>1020</v>
      </c>
      <c r="P588" s="130" t="s">
        <v>1020</v>
      </c>
      <c r="Q588" s="130" t="s">
        <v>160</v>
      </c>
      <c r="R588" s="128">
        <v>0</v>
      </c>
      <c r="S588" s="130" t="s">
        <v>1502</v>
      </c>
    </row>
    <row r="589" spans="1:19" x14ac:dyDescent="0.25">
      <c r="A589" s="130" t="s">
        <v>1539</v>
      </c>
      <c r="B589" s="130" t="s">
        <v>1540</v>
      </c>
      <c r="C589" s="130" t="s">
        <v>1020</v>
      </c>
      <c r="D589" s="130" t="s">
        <v>1020</v>
      </c>
      <c r="E589" s="130" t="s">
        <v>1541</v>
      </c>
      <c r="F589" s="130" t="s">
        <v>1542</v>
      </c>
      <c r="G589" s="130" t="s">
        <v>137</v>
      </c>
      <c r="H589" s="130" t="s">
        <v>159</v>
      </c>
      <c r="I589" s="130" t="s">
        <v>1532</v>
      </c>
      <c r="J589" s="130" t="s">
        <v>159</v>
      </c>
      <c r="K589" s="130" t="s">
        <v>1543</v>
      </c>
      <c r="L589" s="130" t="s">
        <v>160</v>
      </c>
      <c r="M589" s="128">
        <v>0</v>
      </c>
      <c r="N589" s="128">
        <f t="shared" si="9"/>
        <v>0</v>
      </c>
      <c r="O589" s="130" t="s">
        <v>1020</v>
      </c>
      <c r="P589" s="130" t="s">
        <v>1020</v>
      </c>
      <c r="Q589" s="130" t="s">
        <v>160</v>
      </c>
      <c r="R589" s="128">
        <v>0</v>
      </c>
      <c r="S589" s="130" t="s">
        <v>1502</v>
      </c>
    </row>
    <row r="590" spans="1:19" x14ac:dyDescent="0.25">
      <c r="A590" s="130" t="s">
        <v>1544</v>
      </c>
      <c r="B590" s="130" t="s">
        <v>1545</v>
      </c>
      <c r="C590" s="130" t="s">
        <v>1020</v>
      </c>
      <c r="D590" s="130" t="s">
        <v>1020</v>
      </c>
      <c r="E590" s="130" t="s">
        <v>1541</v>
      </c>
      <c r="F590" s="130" t="s">
        <v>1542</v>
      </c>
      <c r="G590" s="130" t="s">
        <v>137</v>
      </c>
      <c r="H590" s="130" t="s">
        <v>159</v>
      </c>
      <c r="I590" s="130" t="s">
        <v>1532</v>
      </c>
      <c r="J590" s="130" t="s">
        <v>159</v>
      </c>
      <c r="K590" s="130" t="s">
        <v>1543</v>
      </c>
      <c r="L590" s="130" t="s">
        <v>160</v>
      </c>
      <c r="M590" s="128">
        <v>0</v>
      </c>
      <c r="N590" s="128">
        <f t="shared" si="9"/>
        <v>0</v>
      </c>
      <c r="O590" s="130" t="s">
        <v>1020</v>
      </c>
      <c r="P590" s="130" t="s">
        <v>1020</v>
      </c>
      <c r="Q590" s="130" t="s">
        <v>160</v>
      </c>
      <c r="R590" s="128">
        <v>0</v>
      </c>
      <c r="S590" s="130" t="s">
        <v>1502</v>
      </c>
    </row>
    <row r="591" spans="1:19" x14ac:dyDescent="0.25">
      <c r="A591" s="130" t="s">
        <v>1546</v>
      </c>
      <c r="B591" s="130" t="s">
        <v>1547</v>
      </c>
      <c r="C591" s="130" t="s">
        <v>1020</v>
      </c>
      <c r="D591" s="130" t="s">
        <v>1020</v>
      </c>
      <c r="E591" s="130" t="s">
        <v>1548</v>
      </c>
      <c r="F591" s="130" t="s">
        <v>1549</v>
      </c>
      <c r="G591" s="130" t="s">
        <v>137</v>
      </c>
      <c r="H591" s="130" t="s">
        <v>159</v>
      </c>
      <c r="I591" s="130" t="s">
        <v>1532</v>
      </c>
      <c r="J591" s="130" t="s">
        <v>159</v>
      </c>
      <c r="K591" s="130" t="s">
        <v>1543</v>
      </c>
      <c r="L591" s="130" t="s">
        <v>160</v>
      </c>
      <c r="M591" s="128">
        <v>0</v>
      </c>
      <c r="N591" s="128">
        <f t="shared" si="9"/>
        <v>0</v>
      </c>
      <c r="O591" s="130" t="s">
        <v>1020</v>
      </c>
      <c r="P591" s="130" t="s">
        <v>1020</v>
      </c>
      <c r="Q591" s="130" t="s">
        <v>160</v>
      </c>
      <c r="R591" s="128">
        <v>0</v>
      </c>
      <c r="S591" s="130" t="s">
        <v>1502</v>
      </c>
    </row>
    <row r="592" spans="1:19" x14ac:dyDescent="0.25">
      <c r="A592" s="130" t="s">
        <v>1550</v>
      </c>
      <c r="B592" s="130" t="s">
        <v>1551</v>
      </c>
      <c r="C592" s="130" t="s">
        <v>1020</v>
      </c>
      <c r="D592" s="130" t="s">
        <v>1020</v>
      </c>
      <c r="E592" s="130" t="s">
        <v>1548</v>
      </c>
      <c r="F592" s="130" t="s">
        <v>1549</v>
      </c>
      <c r="G592" s="130" t="s">
        <v>137</v>
      </c>
      <c r="H592" s="130" t="s">
        <v>159</v>
      </c>
      <c r="I592" s="130" t="s">
        <v>1532</v>
      </c>
      <c r="J592" s="130" t="s">
        <v>159</v>
      </c>
      <c r="K592" s="130" t="s">
        <v>1543</v>
      </c>
      <c r="L592" s="130" t="s">
        <v>160</v>
      </c>
      <c r="M592" s="128">
        <v>0</v>
      </c>
      <c r="N592" s="128">
        <f t="shared" si="9"/>
        <v>0</v>
      </c>
      <c r="O592" s="130" t="s">
        <v>1020</v>
      </c>
      <c r="P592" s="130" t="s">
        <v>1020</v>
      </c>
      <c r="Q592" s="130" t="s">
        <v>160</v>
      </c>
      <c r="R592" s="128">
        <v>0</v>
      </c>
      <c r="S592" s="130" t="s">
        <v>1502</v>
      </c>
    </row>
    <row r="593" spans="1:19" x14ac:dyDescent="0.25">
      <c r="A593" s="130" t="s">
        <v>1552</v>
      </c>
      <c r="B593" s="130" t="s">
        <v>1553</v>
      </c>
      <c r="C593" s="130" t="s">
        <v>1020</v>
      </c>
      <c r="D593" s="130" t="s">
        <v>1020</v>
      </c>
      <c r="E593" s="130" t="s">
        <v>1548</v>
      </c>
      <c r="F593" s="130" t="s">
        <v>1549</v>
      </c>
      <c r="G593" s="130" t="s">
        <v>137</v>
      </c>
      <c r="H593" s="130" t="s">
        <v>159</v>
      </c>
      <c r="I593" s="130" t="s">
        <v>1532</v>
      </c>
      <c r="J593" s="130" t="s">
        <v>159</v>
      </c>
      <c r="K593" s="130" t="s">
        <v>1543</v>
      </c>
      <c r="L593" s="130" t="s">
        <v>160</v>
      </c>
      <c r="M593" s="128">
        <v>0</v>
      </c>
      <c r="N593" s="128">
        <f t="shared" si="9"/>
        <v>0</v>
      </c>
      <c r="O593" s="130" t="s">
        <v>1020</v>
      </c>
      <c r="P593" s="130" t="s">
        <v>1020</v>
      </c>
      <c r="Q593" s="130" t="s">
        <v>160</v>
      </c>
      <c r="R593" s="128">
        <v>0</v>
      </c>
      <c r="S593" s="130" t="s">
        <v>1502</v>
      </c>
    </row>
    <row r="594" spans="1:19" x14ac:dyDescent="0.25">
      <c r="A594" s="130" t="s">
        <v>1554</v>
      </c>
      <c r="B594" s="130" t="s">
        <v>1555</v>
      </c>
      <c r="C594" s="130" t="s">
        <v>1020</v>
      </c>
      <c r="D594" s="130" t="s">
        <v>1020</v>
      </c>
      <c r="E594" s="130" t="s">
        <v>1554</v>
      </c>
      <c r="F594" s="130" t="s">
        <v>1555</v>
      </c>
      <c r="G594" s="130" t="s">
        <v>137</v>
      </c>
      <c r="H594" s="130" t="s">
        <v>159</v>
      </c>
      <c r="I594" s="130" t="s">
        <v>1532</v>
      </c>
      <c r="J594" s="130" t="s">
        <v>159</v>
      </c>
      <c r="K594" s="130" t="s">
        <v>1554</v>
      </c>
      <c r="L594" s="130" t="s">
        <v>160</v>
      </c>
      <c r="M594" s="128">
        <v>0</v>
      </c>
      <c r="N594" s="128">
        <f t="shared" si="9"/>
        <v>0</v>
      </c>
      <c r="O594" s="130" t="s">
        <v>1020</v>
      </c>
      <c r="P594" s="130" t="s">
        <v>1020</v>
      </c>
      <c r="Q594" s="130" t="s">
        <v>160</v>
      </c>
      <c r="R594" s="128">
        <v>0</v>
      </c>
      <c r="S594" s="130" t="s">
        <v>1502</v>
      </c>
    </row>
    <row r="595" spans="1:19" x14ac:dyDescent="0.25">
      <c r="A595" s="130" t="s">
        <v>1556</v>
      </c>
      <c r="B595" s="130" t="s">
        <v>1557</v>
      </c>
      <c r="C595" s="130" t="s">
        <v>860</v>
      </c>
      <c r="D595" s="130" t="s">
        <v>860</v>
      </c>
      <c r="E595" s="130" t="s">
        <v>1558</v>
      </c>
      <c r="F595" s="130" t="s">
        <v>1559</v>
      </c>
      <c r="G595" s="130" t="s">
        <v>137</v>
      </c>
      <c r="I595" s="130" t="s">
        <v>1560</v>
      </c>
      <c r="J595" s="130" t="s">
        <v>860</v>
      </c>
      <c r="K595" s="130" t="s">
        <v>1561</v>
      </c>
      <c r="L595" s="130" t="s">
        <v>139</v>
      </c>
      <c r="M595" s="128">
        <v>6</v>
      </c>
      <c r="N595" s="128">
        <f t="shared" si="9"/>
        <v>-4</v>
      </c>
      <c r="O595" s="130" t="s">
        <v>860</v>
      </c>
      <c r="P595" s="130" t="s">
        <v>860</v>
      </c>
      <c r="Q595" s="130" t="s">
        <v>160</v>
      </c>
      <c r="R595" s="128">
        <v>0</v>
      </c>
      <c r="S595" s="130" t="s">
        <v>1562</v>
      </c>
    </row>
    <row r="596" spans="1:19" x14ac:dyDescent="0.25">
      <c r="A596" s="130" t="s">
        <v>1563</v>
      </c>
      <c r="B596" s="130" t="s">
        <v>1564</v>
      </c>
      <c r="C596" s="130" t="s">
        <v>860</v>
      </c>
      <c r="D596" s="130" t="s">
        <v>860</v>
      </c>
      <c r="E596" s="130" t="s">
        <v>1558</v>
      </c>
      <c r="F596" s="130" t="s">
        <v>1559</v>
      </c>
      <c r="G596" s="130" t="s">
        <v>137</v>
      </c>
      <c r="I596" s="130" t="s">
        <v>1560</v>
      </c>
      <c r="J596" s="130" t="s">
        <v>159</v>
      </c>
      <c r="K596" s="130" t="s">
        <v>1561</v>
      </c>
      <c r="L596" s="130" t="s">
        <v>139</v>
      </c>
      <c r="M596" s="128">
        <v>6</v>
      </c>
      <c r="N596" s="128">
        <f t="shared" si="9"/>
        <v>-4</v>
      </c>
      <c r="O596" s="130" t="s">
        <v>860</v>
      </c>
      <c r="P596" s="130" t="s">
        <v>860</v>
      </c>
      <c r="Q596" s="130" t="s">
        <v>160</v>
      </c>
      <c r="R596" s="128">
        <v>0</v>
      </c>
      <c r="S596" s="130" t="s">
        <v>1562</v>
      </c>
    </row>
    <row r="597" spans="1:19" x14ac:dyDescent="0.25">
      <c r="A597" s="130" t="s">
        <v>1565</v>
      </c>
      <c r="B597" s="130" t="s">
        <v>1566</v>
      </c>
      <c r="C597" s="130" t="s">
        <v>860</v>
      </c>
      <c r="D597" s="130" t="s">
        <v>860</v>
      </c>
      <c r="E597" s="130" t="s">
        <v>1567</v>
      </c>
      <c r="F597" s="130" t="s">
        <v>1568</v>
      </c>
      <c r="G597" s="130" t="s">
        <v>137</v>
      </c>
      <c r="I597" s="130" t="s">
        <v>1560</v>
      </c>
      <c r="J597" s="130" t="s">
        <v>159</v>
      </c>
      <c r="K597" s="130" t="s">
        <v>1561</v>
      </c>
      <c r="L597" s="130" t="s">
        <v>139</v>
      </c>
      <c r="M597" s="128">
        <v>6</v>
      </c>
      <c r="N597" s="128">
        <f t="shared" si="9"/>
        <v>-4</v>
      </c>
      <c r="O597" s="130" t="s">
        <v>860</v>
      </c>
      <c r="P597" s="130" t="s">
        <v>860</v>
      </c>
      <c r="Q597" s="130" t="s">
        <v>160</v>
      </c>
      <c r="R597" s="128">
        <v>0</v>
      </c>
      <c r="S597" s="130" t="s">
        <v>1562</v>
      </c>
    </row>
    <row r="598" spans="1:19" x14ac:dyDescent="0.25">
      <c r="A598" s="130" t="s">
        <v>1569</v>
      </c>
      <c r="B598" s="130" t="s">
        <v>1570</v>
      </c>
      <c r="C598" s="130" t="s">
        <v>860</v>
      </c>
      <c r="D598" s="130" t="s">
        <v>860</v>
      </c>
      <c r="E598" s="130" t="s">
        <v>1567</v>
      </c>
      <c r="F598" s="130" t="s">
        <v>1568</v>
      </c>
      <c r="G598" s="130" t="s">
        <v>137</v>
      </c>
      <c r="I598" s="130" t="s">
        <v>1560</v>
      </c>
      <c r="J598" s="130" t="s">
        <v>159</v>
      </c>
      <c r="K598" s="130" t="s">
        <v>1561</v>
      </c>
      <c r="L598" s="130" t="s">
        <v>139</v>
      </c>
      <c r="M598" s="128">
        <v>6</v>
      </c>
      <c r="N598" s="128">
        <f t="shared" si="9"/>
        <v>-4</v>
      </c>
      <c r="O598" s="130" t="s">
        <v>860</v>
      </c>
      <c r="P598" s="130" t="s">
        <v>860</v>
      </c>
      <c r="Q598" s="130" t="s">
        <v>160</v>
      </c>
      <c r="R598" s="128">
        <v>0</v>
      </c>
      <c r="S598" s="130" t="s">
        <v>1562</v>
      </c>
    </row>
    <row r="599" spans="1:19" x14ac:dyDescent="0.25">
      <c r="A599" s="130" t="s">
        <v>1571</v>
      </c>
      <c r="B599" s="130" t="s">
        <v>1572</v>
      </c>
      <c r="C599" s="130" t="s">
        <v>860</v>
      </c>
      <c r="D599" s="130" t="s">
        <v>860</v>
      </c>
      <c r="E599" s="130" t="s">
        <v>1567</v>
      </c>
      <c r="F599" s="130" t="s">
        <v>1573</v>
      </c>
      <c r="G599" s="130" t="s">
        <v>137</v>
      </c>
      <c r="I599" s="130" t="s">
        <v>1560</v>
      </c>
      <c r="J599" s="130" t="s">
        <v>159</v>
      </c>
      <c r="K599" s="130" t="s">
        <v>1561</v>
      </c>
      <c r="L599" s="130" t="s">
        <v>139</v>
      </c>
      <c r="M599" s="128">
        <v>6</v>
      </c>
      <c r="N599" s="128">
        <f t="shared" si="9"/>
        <v>-4</v>
      </c>
      <c r="O599" s="130" t="s">
        <v>860</v>
      </c>
      <c r="P599" s="130" t="s">
        <v>860</v>
      </c>
      <c r="Q599" s="130" t="s">
        <v>160</v>
      </c>
      <c r="R599" s="128">
        <v>0</v>
      </c>
      <c r="S599" s="130" t="s">
        <v>1562</v>
      </c>
    </row>
    <row r="600" spans="1:19" x14ac:dyDescent="0.25">
      <c r="A600" s="130" t="s">
        <v>1574</v>
      </c>
      <c r="B600" s="130" t="s">
        <v>1575</v>
      </c>
      <c r="C600" s="130" t="s">
        <v>860</v>
      </c>
      <c r="D600" s="130" t="s">
        <v>860</v>
      </c>
      <c r="E600" s="130" t="s">
        <v>1567</v>
      </c>
      <c r="F600" s="130" t="s">
        <v>1559</v>
      </c>
      <c r="G600" s="130" t="s">
        <v>137</v>
      </c>
      <c r="I600" s="130" t="s">
        <v>1560</v>
      </c>
      <c r="J600" s="130" t="s">
        <v>159</v>
      </c>
      <c r="K600" s="130" t="s">
        <v>1561</v>
      </c>
      <c r="L600" s="130" t="s">
        <v>139</v>
      </c>
      <c r="M600" s="128">
        <v>6</v>
      </c>
      <c r="N600" s="128">
        <f t="shared" si="9"/>
        <v>-4</v>
      </c>
      <c r="O600" s="130" t="s">
        <v>860</v>
      </c>
      <c r="P600" s="130" t="s">
        <v>860</v>
      </c>
      <c r="Q600" s="130" t="s">
        <v>160</v>
      </c>
      <c r="R600" s="128">
        <v>0</v>
      </c>
      <c r="S600" s="130" t="s">
        <v>1562</v>
      </c>
    </row>
    <row r="601" spans="1:19" x14ac:dyDescent="0.25">
      <c r="A601" s="130" t="s">
        <v>1576</v>
      </c>
      <c r="B601" s="130" t="s">
        <v>1577</v>
      </c>
      <c r="C601" s="130" t="s">
        <v>860</v>
      </c>
      <c r="D601" s="130" t="s">
        <v>860</v>
      </c>
      <c r="E601" s="130" t="s">
        <v>1567</v>
      </c>
      <c r="F601" s="130" t="s">
        <v>1568</v>
      </c>
      <c r="G601" s="130" t="s">
        <v>137</v>
      </c>
      <c r="I601" s="130" t="s">
        <v>1560</v>
      </c>
      <c r="J601" s="130" t="s">
        <v>159</v>
      </c>
      <c r="K601" s="130" t="s">
        <v>1561</v>
      </c>
      <c r="L601" s="130" t="s">
        <v>139</v>
      </c>
      <c r="M601" s="128">
        <v>6</v>
      </c>
      <c r="N601" s="128">
        <f t="shared" si="9"/>
        <v>-4</v>
      </c>
      <c r="O601" s="130" t="s">
        <v>860</v>
      </c>
      <c r="P601" s="130" t="s">
        <v>860</v>
      </c>
      <c r="Q601" s="130" t="s">
        <v>160</v>
      </c>
      <c r="R601" s="128">
        <v>0</v>
      </c>
      <c r="S601" s="130" t="s">
        <v>1562</v>
      </c>
    </row>
    <row r="602" spans="1:19" x14ac:dyDescent="0.25">
      <c r="A602" s="130" t="s">
        <v>1578</v>
      </c>
      <c r="B602" s="130" t="s">
        <v>1579</v>
      </c>
      <c r="C602" s="130" t="s">
        <v>860</v>
      </c>
      <c r="D602" s="130" t="s">
        <v>860</v>
      </c>
      <c r="E602" s="130" t="s">
        <v>1567</v>
      </c>
      <c r="F602" s="130" t="s">
        <v>1568</v>
      </c>
      <c r="G602" s="130" t="s">
        <v>137</v>
      </c>
      <c r="I602" s="130" t="s">
        <v>1560</v>
      </c>
      <c r="J602" s="130" t="s">
        <v>159</v>
      </c>
      <c r="K602" s="130" t="s">
        <v>1561</v>
      </c>
      <c r="L602" s="130" t="s">
        <v>139</v>
      </c>
      <c r="M602" s="128">
        <v>6</v>
      </c>
      <c r="N602" s="128">
        <f t="shared" si="9"/>
        <v>-4</v>
      </c>
      <c r="O602" s="130" t="s">
        <v>860</v>
      </c>
      <c r="P602" s="130" t="s">
        <v>860</v>
      </c>
      <c r="Q602" s="130" t="s">
        <v>160</v>
      </c>
      <c r="R602" s="128">
        <v>0</v>
      </c>
      <c r="S602" s="130" t="s">
        <v>1562</v>
      </c>
    </row>
    <row r="603" spans="1:19" x14ac:dyDescent="0.25">
      <c r="A603" s="130" t="s">
        <v>1580</v>
      </c>
      <c r="B603" s="130" t="s">
        <v>1581</v>
      </c>
      <c r="C603" s="130" t="s">
        <v>860</v>
      </c>
      <c r="D603" s="130" t="s">
        <v>860</v>
      </c>
      <c r="E603" s="130" t="s">
        <v>1567</v>
      </c>
      <c r="F603" s="130" t="s">
        <v>1573</v>
      </c>
      <c r="G603" s="130" t="s">
        <v>137</v>
      </c>
      <c r="I603" s="130" t="s">
        <v>1560</v>
      </c>
      <c r="J603" s="130" t="s">
        <v>159</v>
      </c>
      <c r="K603" s="130" t="s">
        <v>1561</v>
      </c>
      <c r="L603" s="130" t="s">
        <v>139</v>
      </c>
      <c r="M603" s="128">
        <v>6</v>
      </c>
      <c r="N603" s="128">
        <f t="shared" si="9"/>
        <v>-4</v>
      </c>
      <c r="O603" s="130" t="s">
        <v>860</v>
      </c>
      <c r="P603" s="130" t="s">
        <v>860</v>
      </c>
      <c r="Q603" s="130" t="s">
        <v>160</v>
      </c>
      <c r="R603" s="128">
        <v>0</v>
      </c>
      <c r="S603" s="130" t="s">
        <v>1562</v>
      </c>
    </row>
    <row r="604" spans="1:19" x14ac:dyDescent="0.25">
      <c r="A604" s="130" t="s">
        <v>1582</v>
      </c>
      <c r="B604" s="130" t="s">
        <v>1583</v>
      </c>
      <c r="C604" s="130" t="s">
        <v>860</v>
      </c>
      <c r="D604" s="130" t="s">
        <v>860</v>
      </c>
      <c r="E604" s="130" t="s">
        <v>1584</v>
      </c>
      <c r="F604" s="130" t="s">
        <v>1585</v>
      </c>
      <c r="G604" s="130" t="s">
        <v>137</v>
      </c>
      <c r="I604" s="130" t="s">
        <v>1560</v>
      </c>
      <c r="J604" s="130" t="s">
        <v>159</v>
      </c>
      <c r="K604" s="130" t="s">
        <v>1586</v>
      </c>
      <c r="L604" s="130" t="s">
        <v>139</v>
      </c>
      <c r="M604" s="128">
        <v>6</v>
      </c>
      <c r="N604" s="128">
        <f t="shared" si="9"/>
        <v>-4</v>
      </c>
      <c r="O604" s="130" t="s">
        <v>860</v>
      </c>
      <c r="P604" s="130" t="s">
        <v>860</v>
      </c>
      <c r="Q604" s="130" t="s">
        <v>160</v>
      </c>
      <c r="R604" s="128">
        <v>0</v>
      </c>
      <c r="S604" s="130" t="s">
        <v>1562</v>
      </c>
    </row>
    <row r="605" spans="1:19" x14ac:dyDescent="0.25">
      <c r="A605" s="130" t="s">
        <v>1587</v>
      </c>
      <c r="B605" s="130" t="s">
        <v>1588</v>
      </c>
      <c r="C605" s="130" t="s">
        <v>860</v>
      </c>
      <c r="D605" s="130" t="s">
        <v>860</v>
      </c>
      <c r="E605" s="130" t="s">
        <v>1589</v>
      </c>
      <c r="F605" s="130" t="s">
        <v>1588</v>
      </c>
      <c r="G605" s="130" t="s">
        <v>137</v>
      </c>
      <c r="I605" s="130" t="s">
        <v>1560</v>
      </c>
      <c r="J605" s="130" t="s">
        <v>159</v>
      </c>
      <c r="K605" s="130" t="s">
        <v>1586</v>
      </c>
      <c r="L605" s="130" t="s">
        <v>139</v>
      </c>
      <c r="M605" s="128">
        <v>6</v>
      </c>
      <c r="N605" s="128">
        <f t="shared" si="9"/>
        <v>-4</v>
      </c>
      <c r="O605" s="130" t="s">
        <v>860</v>
      </c>
      <c r="P605" s="130" t="s">
        <v>860</v>
      </c>
      <c r="Q605" s="130" t="s">
        <v>160</v>
      </c>
      <c r="R605" s="128">
        <v>0</v>
      </c>
      <c r="S605" s="130" t="s">
        <v>1562</v>
      </c>
    </row>
    <row r="606" spans="1:19" x14ac:dyDescent="0.25">
      <c r="A606" s="130" t="s">
        <v>1590</v>
      </c>
      <c r="B606" s="130" t="s">
        <v>1591</v>
      </c>
      <c r="C606" s="130" t="s">
        <v>860</v>
      </c>
      <c r="D606" s="130" t="s">
        <v>860</v>
      </c>
      <c r="E606" s="130" t="s">
        <v>1592</v>
      </c>
      <c r="F606" s="130" t="s">
        <v>1591</v>
      </c>
      <c r="G606" s="130" t="s">
        <v>137</v>
      </c>
      <c r="I606" s="130" t="s">
        <v>1560</v>
      </c>
      <c r="J606" s="130" t="s">
        <v>159</v>
      </c>
      <c r="K606" s="130" t="s">
        <v>1586</v>
      </c>
      <c r="L606" s="130" t="s">
        <v>139</v>
      </c>
      <c r="M606" s="128">
        <v>6</v>
      </c>
      <c r="N606" s="128">
        <f t="shared" si="9"/>
        <v>-4</v>
      </c>
      <c r="O606" s="130" t="s">
        <v>860</v>
      </c>
      <c r="P606" s="130" t="s">
        <v>860</v>
      </c>
      <c r="Q606" s="130" t="s">
        <v>160</v>
      </c>
      <c r="R606" s="128">
        <v>0</v>
      </c>
      <c r="S606" s="130" t="s">
        <v>1562</v>
      </c>
    </row>
    <row r="607" spans="1:19" x14ac:dyDescent="0.25">
      <c r="A607" s="130" t="s">
        <v>1593</v>
      </c>
      <c r="B607" s="130" t="s">
        <v>1594</v>
      </c>
      <c r="C607" s="130" t="s">
        <v>860</v>
      </c>
      <c r="D607" s="130" t="s">
        <v>860</v>
      </c>
      <c r="E607" s="130" t="s">
        <v>1595</v>
      </c>
      <c r="F607" s="130" t="s">
        <v>1594</v>
      </c>
      <c r="G607" s="130" t="s">
        <v>137</v>
      </c>
      <c r="I607" s="130" t="s">
        <v>1560</v>
      </c>
      <c r="J607" s="130" t="s">
        <v>159</v>
      </c>
      <c r="K607" s="130" t="s">
        <v>1586</v>
      </c>
      <c r="L607" s="130" t="s">
        <v>139</v>
      </c>
      <c r="M607" s="128">
        <v>6</v>
      </c>
      <c r="N607" s="128">
        <f t="shared" si="9"/>
        <v>-4</v>
      </c>
      <c r="O607" s="130" t="s">
        <v>860</v>
      </c>
      <c r="P607" s="130" t="s">
        <v>860</v>
      </c>
      <c r="Q607" s="130" t="s">
        <v>160</v>
      </c>
      <c r="R607" s="128">
        <v>0</v>
      </c>
      <c r="S607" s="130" t="s">
        <v>1562</v>
      </c>
    </row>
    <row r="608" spans="1:19" x14ac:dyDescent="0.25">
      <c r="A608" s="130" t="s">
        <v>1596</v>
      </c>
      <c r="B608" s="130" t="s">
        <v>1597</v>
      </c>
      <c r="C608" s="130" t="s">
        <v>860</v>
      </c>
      <c r="D608" s="130" t="s">
        <v>860</v>
      </c>
      <c r="E608" s="130" t="s">
        <v>1598</v>
      </c>
      <c r="F608" s="130" t="s">
        <v>1597</v>
      </c>
      <c r="G608" s="130" t="s">
        <v>137</v>
      </c>
      <c r="I608" s="130" t="s">
        <v>1560</v>
      </c>
      <c r="J608" s="130" t="s">
        <v>159</v>
      </c>
      <c r="K608" s="130" t="s">
        <v>1586</v>
      </c>
      <c r="L608" s="130" t="s">
        <v>139</v>
      </c>
      <c r="M608" s="128">
        <v>6</v>
      </c>
      <c r="N608" s="128">
        <f t="shared" si="9"/>
        <v>-4</v>
      </c>
      <c r="O608" s="130" t="s">
        <v>860</v>
      </c>
      <c r="P608" s="130" t="s">
        <v>860</v>
      </c>
      <c r="Q608" s="130" t="s">
        <v>160</v>
      </c>
      <c r="R608" s="128">
        <v>0</v>
      </c>
      <c r="S608" s="130" t="s">
        <v>1562</v>
      </c>
    </row>
    <row r="609" spans="1:19" x14ac:dyDescent="0.25">
      <c r="A609" s="130" t="s">
        <v>1599</v>
      </c>
      <c r="B609" s="130" t="s">
        <v>1600</v>
      </c>
      <c r="C609" s="130" t="s">
        <v>860</v>
      </c>
      <c r="D609" s="130" t="s">
        <v>860</v>
      </c>
      <c r="E609" s="130" t="s">
        <v>1599</v>
      </c>
      <c r="F609" s="130" t="s">
        <v>1600</v>
      </c>
      <c r="G609" s="130" t="s">
        <v>137</v>
      </c>
      <c r="I609" s="130" t="s">
        <v>1560</v>
      </c>
      <c r="J609" s="130" t="s">
        <v>159</v>
      </c>
      <c r="K609" s="130" t="s">
        <v>1599</v>
      </c>
      <c r="L609" s="130" t="s">
        <v>139</v>
      </c>
      <c r="M609" s="128">
        <v>6</v>
      </c>
      <c r="N609" s="128">
        <f t="shared" si="9"/>
        <v>-4</v>
      </c>
      <c r="O609" s="130" t="s">
        <v>860</v>
      </c>
      <c r="P609" s="130" t="s">
        <v>860</v>
      </c>
      <c r="Q609" s="130" t="s">
        <v>160</v>
      </c>
      <c r="R609" s="128">
        <v>0</v>
      </c>
      <c r="S609" s="130" t="s">
        <v>1562</v>
      </c>
    </row>
    <row r="610" spans="1:19" x14ac:dyDescent="0.25">
      <c r="A610" s="130" t="s">
        <v>1601</v>
      </c>
      <c r="B610" s="130" t="s">
        <v>1602</v>
      </c>
      <c r="C610" s="130" t="s">
        <v>860</v>
      </c>
      <c r="D610" s="130" t="s">
        <v>860</v>
      </c>
      <c r="E610" s="130" t="s">
        <v>1601</v>
      </c>
      <c r="F610" s="130" t="s">
        <v>1602</v>
      </c>
      <c r="G610" s="130" t="s">
        <v>137</v>
      </c>
      <c r="I610" s="130" t="s">
        <v>1560</v>
      </c>
      <c r="J610" s="130" t="s">
        <v>159</v>
      </c>
      <c r="K610" s="130" t="s">
        <v>1601</v>
      </c>
      <c r="L610" s="130" t="s">
        <v>139</v>
      </c>
      <c r="M610" s="128">
        <v>6</v>
      </c>
      <c r="N610" s="128">
        <f t="shared" si="9"/>
        <v>-4</v>
      </c>
      <c r="O610" s="130" t="s">
        <v>860</v>
      </c>
      <c r="P610" s="130" t="s">
        <v>860</v>
      </c>
      <c r="Q610" s="130" t="s">
        <v>160</v>
      </c>
      <c r="R610" s="128">
        <v>0</v>
      </c>
      <c r="S610" s="130" t="s">
        <v>1562</v>
      </c>
    </row>
    <row r="611" spans="1:19" x14ac:dyDescent="0.25">
      <c r="A611" s="130" t="s">
        <v>1603</v>
      </c>
      <c r="B611" s="130" t="s">
        <v>1604</v>
      </c>
      <c r="C611" s="130" t="s">
        <v>860</v>
      </c>
      <c r="D611" s="130" t="s">
        <v>860</v>
      </c>
      <c r="E611" s="130" t="s">
        <v>1605</v>
      </c>
      <c r="F611" s="130" t="s">
        <v>1606</v>
      </c>
      <c r="G611" s="130" t="s">
        <v>137</v>
      </c>
      <c r="I611" s="130" t="s">
        <v>1560</v>
      </c>
      <c r="J611" s="130" t="s">
        <v>159</v>
      </c>
      <c r="K611" s="130" t="s">
        <v>1607</v>
      </c>
      <c r="L611" s="130" t="s">
        <v>139</v>
      </c>
      <c r="M611" s="128">
        <v>6</v>
      </c>
      <c r="N611" s="128">
        <f t="shared" si="9"/>
        <v>-4</v>
      </c>
      <c r="O611" s="130" t="s">
        <v>860</v>
      </c>
      <c r="P611" s="130" t="s">
        <v>860</v>
      </c>
      <c r="Q611" s="130" t="s">
        <v>160</v>
      </c>
      <c r="R611" s="128">
        <v>0</v>
      </c>
      <c r="S611" s="130" t="s">
        <v>1562</v>
      </c>
    </row>
    <row r="612" spans="1:19" x14ac:dyDescent="0.25">
      <c r="A612" s="130" t="s">
        <v>1607</v>
      </c>
      <c r="B612" s="130" t="s">
        <v>1608</v>
      </c>
      <c r="C612" s="130" t="s">
        <v>860</v>
      </c>
      <c r="D612" s="130" t="s">
        <v>860</v>
      </c>
      <c r="E612" s="130" t="s">
        <v>1609</v>
      </c>
      <c r="F612" s="130" t="s">
        <v>1610</v>
      </c>
      <c r="G612" s="130" t="s">
        <v>137</v>
      </c>
      <c r="I612" s="130" t="s">
        <v>1560</v>
      </c>
      <c r="J612" s="130" t="s">
        <v>159</v>
      </c>
      <c r="K612" s="130" t="s">
        <v>1607</v>
      </c>
      <c r="L612" s="130" t="s">
        <v>139</v>
      </c>
      <c r="M612" s="128">
        <v>6</v>
      </c>
      <c r="N612" s="128">
        <f t="shared" si="9"/>
        <v>-4</v>
      </c>
      <c r="O612" s="130" t="s">
        <v>860</v>
      </c>
      <c r="P612" s="130" t="s">
        <v>860</v>
      </c>
      <c r="Q612" s="130" t="s">
        <v>160</v>
      </c>
      <c r="R612" s="128">
        <v>0</v>
      </c>
      <c r="S612" s="130" t="s">
        <v>1562</v>
      </c>
    </row>
    <row r="613" spans="1:19" x14ac:dyDescent="0.25">
      <c r="A613" s="130" t="s">
        <v>1611</v>
      </c>
      <c r="B613" s="130" t="s">
        <v>1612</v>
      </c>
      <c r="C613" s="130" t="s">
        <v>860</v>
      </c>
      <c r="D613" s="130" t="s">
        <v>860</v>
      </c>
      <c r="E613" s="130" t="s">
        <v>1613</v>
      </c>
      <c r="F613" s="130" t="s">
        <v>1614</v>
      </c>
      <c r="G613" s="130" t="s">
        <v>137</v>
      </c>
      <c r="I613" s="130" t="s">
        <v>1560</v>
      </c>
      <c r="J613" s="130" t="s">
        <v>159</v>
      </c>
      <c r="K613" s="130" t="s">
        <v>1607</v>
      </c>
      <c r="L613" s="130" t="s">
        <v>139</v>
      </c>
      <c r="M613" s="128">
        <v>6</v>
      </c>
      <c r="N613" s="128">
        <f t="shared" si="9"/>
        <v>-4</v>
      </c>
      <c r="O613" s="130" t="s">
        <v>860</v>
      </c>
      <c r="P613" s="130" t="s">
        <v>860</v>
      </c>
      <c r="Q613" s="130" t="s">
        <v>160</v>
      </c>
      <c r="R613" s="128">
        <v>0</v>
      </c>
      <c r="S613" s="130" t="s">
        <v>1562</v>
      </c>
    </row>
    <row r="614" spans="1:19" x14ac:dyDescent="0.25">
      <c r="A614" s="130" t="s">
        <v>1615</v>
      </c>
      <c r="B614" s="130" t="s">
        <v>1616</v>
      </c>
      <c r="C614" s="130" t="s">
        <v>860</v>
      </c>
      <c r="D614" s="130" t="s">
        <v>860</v>
      </c>
      <c r="E614" s="130" t="s">
        <v>1617</v>
      </c>
      <c r="F614" s="130" t="s">
        <v>1616</v>
      </c>
      <c r="G614" s="130" t="s">
        <v>137</v>
      </c>
      <c r="I614" s="130" t="s">
        <v>1560</v>
      </c>
      <c r="K614" s="130" t="s">
        <v>1607</v>
      </c>
      <c r="L614" s="130" t="s">
        <v>139</v>
      </c>
      <c r="M614" s="128">
        <v>6</v>
      </c>
      <c r="N614" s="128">
        <f t="shared" si="9"/>
        <v>-4</v>
      </c>
      <c r="O614" s="130" t="s">
        <v>860</v>
      </c>
      <c r="P614" s="130" t="s">
        <v>860</v>
      </c>
      <c r="Q614" s="130" t="s">
        <v>160</v>
      </c>
      <c r="R614" s="128">
        <v>0</v>
      </c>
      <c r="S614" s="130" t="s">
        <v>1562</v>
      </c>
    </row>
    <row r="615" spans="1:19" x14ac:dyDescent="0.25">
      <c r="A615" s="130" t="s">
        <v>1618</v>
      </c>
      <c r="B615" s="130" t="s">
        <v>1619</v>
      </c>
      <c r="C615" s="130" t="s">
        <v>860</v>
      </c>
      <c r="D615" s="130" t="s">
        <v>860</v>
      </c>
      <c r="E615" s="130" t="s">
        <v>1620</v>
      </c>
      <c r="F615" s="130" t="s">
        <v>1619</v>
      </c>
      <c r="G615" s="130" t="s">
        <v>137</v>
      </c>
      <c r="I615" s="130" t="s">
        <v>1560</v>
      </c>
      <c r="K615" s="130" t="s">
        <v>1618</v>
      </c>
      <c r="L615" s="130" t="s">
        <v>139</v>
      </c>
      <c r="M615" s="128">
        <v>6</v>
      </c>
      <c r="N615" s="128">
        <f t="shared" si="9"/>
        <v>-4</v>
      </c>
      <c r="O615" s="130" t="s">
        <v>860</v>
      </c>
      <c r="P615" s="130" t="s">
        <v>860</v>
      </c>
      <c r="Q615" s="130" t="s">
        <v>160</v>
      </c>
      <c r="R615" s="128">
        <v>0</v>
      </c>
      <c r="S615" s="130" t="s">
        <v>1562</v>
      </c>
    </row>
    <row r="616" spans="1:19" x14ac:dyDescent="0.25">
      <c r="A616" s="130" t="s">
        <v>1621</v>
      </c>
      <c r="B616" s="130" t="s">
        <v>1622</v>
      </c>
      <c r="C616" s="130" t="s">
        <v>860</v>
      </c>
      <c r="D616" s="130" t="s">
        <v>860</v>
      </c>
      <c r="E616" s="130" t="s">
        <v>1618</v>
      </c>
      <c r="F616" s="130" t="s">
        <v>1623</v>
      </c>
      <c r="G616" s="130" t="s">
        <v>137</v>
      </c>
      <c r="I616" s="130" t="s">
        <v>1560</v>
      </c>
      <c r="J616" s="130" t="s">
        <v>159</v>
      </c>
      <c r="K616" s="130" t="s">
        <v>1618</v>
      </c>
      <c r="L616" s="130" t="s">
        <v>139</v>
      </c>
      <c r="M616" s="128">
        <v>6</v>
      </c>
      <c r="N616" s="128">
        <f t="shared" si="9"/>
        <v>-4</v>
      </c>
      <c r="O616" s="130" t="s">
        <v>860</v>
      </c>
      <c r="P616" s="130" t="s">
        <v>860</v>
      </c>
      <c r="Q616" s="130" t="s">
        <v>160</v>
      </c>
      <c r="R616" s="128">
        <v>0</v>
      </c>
      <c r="S616" s="130" t="s">
        <v>1562</v>
      </c>
    </row>
    <row r="617" spans="1:19" x14ac:dyDescent="0.25">
      <c r="A617" s="130" t="s">
        <v>1624</v>
      </c>
      <c r="B617" s="130" t="s">
        <v>1625</v>
      </c>
      <c r="C617" s="130" t="s">
        <v>860</v>
      </c>
      <c r="D617" s="130" t="s">
        <v>860</v>
      </c>
      <c r="E617" s="130" t="s">
        <v>1618</v>
      </c>
      <c r="F617" s="130" t="s">
        <v>1623</v>
      </c>
      <c r="G617" s="130" t="s">
        <v>137</v>
      </c>
      <c r="I617" s="130" t="s">
        <v>1560</v>
      </c>
      <c r="J617" s="130" t="s">
        <v>159</v>
      </c>
      <c r="K617" s="130" t="s">
        <v>1618</v>
      </c>
      <c r="L617" s="130" t="s">
        <v>139</v>
      </c>
      <c r="M617" s="128">
        <v>6</v>
      </c>
      <c r="N617" s="128">
        <f t="shared" si="9"/>
        <v>-4</v>
      </c>
      <c r="O617" s="130" t="s">
        <v>860</v>
      </c>
      <c r="P617" s="130" t="s">
        <v>860</v>
      </c>
      <c r="Q617" s="130" t="s">
        <v>160</v>
      </c>
      <c r="R617" s="128">
        <v>0</v>
      </c>
      <c r="S617" s="130" t="s">
        <v>1562</v>
      </c>
    </row>
    <row r="618" spans="1:19" x14ac:dyDescent="0.25">
      <c r="A618" s="130" t="s">
        <v>1626</v>
      </c>
      <c r="B618" s="130" t="s">
        <v>1627</v>
      </c>
      <c r="C618" s="130" t="s">
        <v>860</v>
      </c>
      <c r="D618" s="130" t="s">
        <v>860</v>
      </c>
      <c r="E618" s="130" t="s">
        <v>1618</v>
      </c>
      <c r="F618" s="130" t="s">
        <v>1623</v>
      </c>
      <c r="G618" s="130" t="s">
        <v>137</v>
      </c>
      <c r="I618" s="130" t="s">
        <v>1560</v>
      </c>
      <c r="J618" s="130" t="s">
        <v>159</v>
      </c>
      <c r="K618" s="130" t="s">
        <v>1618</v>
      </c>
      <c r="L618" s="130" t="s">
        <v>139</v>
      </c>
      <c r="M618" s="128">
        <v>6</v>
      </c>
      <c r="N618" s="128">
        <f t="shared" si="9"/>
        <v>-4</v>
      </c>
      <c r="O618" s="130" t="s">
        <v>860</v>
      </c>
      <c r="P618" s="130" t="s">
        <v>860</v>
      </c>
      <c r="Q618" s="130" t="s">
        <v>160</v>
      </c>
      <c r="R618" s="128">
        <v>0</v>
      </c>
      <c r="S618" s="130" t="s">
        <v>1562</v>
      </c>
    </row>
    <row r="619" spans="1:19" x14ac:dyDescent="0.25">
      <c r="A619" s="130" t="s">
        <v>1628</v>
      </c>
      <c r="B619" s="130" t="s">
        <v>1629</v>
      </c>
      <c r="C619" s="130" t="s">
        <v>860</v>
      </c>
      <c r="D619" s="130" t="s">
        <v>860</v>
      </c>
      <c r="E619" s="130" t="s">
        <v>1630</v>
      </c>
      <c r="F619" s="130" t="s">
        <v>1631</v>
      </c>
      <c r="G619" s="130" t="s">
        <v>137</v>
      </c>
      <c r="I619" s="130" t="s">
        <v>1560</v>
      </c>
      <c r="J619" s="130" t="s">
        <v>159</v>
      </c>
      <c r="K619" s="130" t="s">
        <v>1630</v>
      </c>
      <c r="L619" s="130" t="s">
        <v>139</v>
      </c>
      <c r="M619" s="128">
        <v>6</v>
      </c>
      <c r="N619" s="128">
        <f t="shared" si="9"/>
        <v>-4</v>
      </c>
      <c r="O619" s="130" t="s">
        <v>860</v>
      </c>
      <c r="P619" s="130" t="s">
        <v>860</v>
      </c>
      <c r="Q619" s="130" t="s">
        <v>160</v>
      </c>
      <c r="R619" s="128">
        <v>0</v>
      </c>
      <c r="S619" s="130" t="s">
        <v>1562</v>
      </c>
    </row>
    <row r="620" spans="1:19" x14ac:dyDescent="0.25">
      <c r="A620" s="130" t="s">
        <v>1632</v>
      </c>
      <c r="B620" s="130" t="s">
        <v>1633</v>
      </c>
      <c r="C620" s="130" t="s">
        <v>860</v>
      </c>
      <c r="D620" s="130" t="s">
        <v>860</v>
      </c>
      <c r="E620" s="130" t="s">
        <v>1634</v>
      </c>
      <c r="F620" s="130" t="s">
        <v>1633</v>
      </c>
      <c r="G620" s="130" t="s">
        <v>137</v>
      </c>
      <c r="I620" s="130" t="s">
        <v>1560</v>
      </c>
      <c r="J620" s="130" t="s">
        <v>159</v>
      </c>
      <c r="K620" s="130" t="s">
        <v>1630</v>
      </c>
      <c r="L620" s="130" t="s">
        <v>139</v>
      </c>
      <c r="M620" s="128">
        <v>6</v>
      </c>
      <c r="N620" s="128">
        <f t="shared" si="9"/>
        <v>-4</v>
      </c>
      <c r="O620" s="130" t="s">
        <v>860</v>
      </c>
      <c r="P620" s="130" t="s">
        <v>860</v>
      </c>
      <c r="Q620" s="130" t="s">
        <v>160</v>
      </c>
      <c r="R620" s="128">
        <v>0</v>
      </c>
      <c r="S620" s="130" t="s">
        <v>1562</v>
      </c>
    </row>
    <row r="621" spans="1:19" x14ac:dyDescent="0.25">
      <c r="A621" s="130" t="s">
        <v>1635</v>
      </c>
      <c r="B621" s="130" t="s">
        <v>1636</v>
      </c>
      <c r="C621" s="130" t="s">
        <v>860</v>
      </c>
      <c r="D621" s="130" t="s">
        <v>860</v>
      </c>
      <c r="E621" s="130" t="s">
        <v>1637</v>
      </c>
      <c r="F621" s="130" t="s">
        <v>1636</v>
      </c>
      <c r="G621" s="130" t="s">
        <v>137</v>
      </c>
      <c r="I621" s="130" t="s">
        <v>1560</v>
      </c>
      <c r="J621" s="130" t="s">
        <v>159</v>
      </c>
      <c r="K621" s="130" t="s">
        <v>1630</v>
      </c>
      <c r="L621" s="130" t="s">
        <v>139</v>
      </c>
      <c r="M621" s="128">
        <v>6</v>
      </c>
      <c r="N621" s="128">
        <f t="shared" si="9"/>
        <v>-4</v>
      </c>
      <c r="O621" s="130" t="s">
        <v>860</v>
      </c>
      <c r="P621" s="130" t="s">
        <v>860</v>
      </c>
      <c r="Q621" s="130" t="s">
        <v>160</v>
      </c>
      <c r="R621" s="128">
        <v>0</v>
      </c>
      <c r="S621" s="130" t="s">
        <v>1562</v>
      </c>
    </row>
    <row r="622" spans="1:19" x14ac:dyDescent="0.25">
      <c r="A622" s="130" t="s">
        <v>1638</v>
      </c>
      <c r="B622" s="130" t="s">
        <v>1639</v>
      </c>
      <c r="C622" s="130" t="s">
        <v>860</v>
      </c>
      <c r="D622" s="130" t="s">
        <v>860</v>
      </c>
      <c r="E622" s="130" t="s">
        <v>1630</v>
      </c>
      <c r="F622" s="130" t="s">
        <v>1631</v>
      </c>
      <c r="G622" s="130" t="s">
        <v>137</v>
      </c>
      <c r="I622" s="130" t="s">
        <v>1560</v>
      </c>
      <c r="J622" s="130" t="s">
        <v>159</v>
      </c>
      <c r="K622" s="130" t="s">
        <v>1630</v>
      </c>
      <c r="L622" s="130" t="s">
        <v>139</v>
      </c>
      <c r="M622" s="128">
        <v>6</v>
      </c>
      <c r="N622" s="128">
        <f t="shared" si="9"/>
        <v>-4</v>
      </c>
      <c r="O622" s="130" t="s">
        <v>860</v>
      </c>
      <c r="P622" s="130" t="s">
        <v>860</v>
      </c>
      <c r="Q622" s="130" t="s">
        <v>160</v>
      </c>
      <c r="R622" s="128">
        <v>0</v>
      </c>
      <c r="S622" s="130" t="s">
        <v>1562</v>
      </c>
    </row>
    <row r="623" spans="1:19" x14ac:dyDescent="0.25">
      <c r="A623" s="130" t="s">
        <v>1640</v>
      </c>
      <c r="B623" s="130" t="s">
        <v>1641</v>
      </c>
      <c r="C623" s="130" t="s">
        <v>860</v>
      </c>
      <c r="D623" s="130" t="s">
        <v>860</v>
      </c>
      <c r="E623" s="130" t="s">
        <v>1642</v>
      </c>
      <c r="F623" s="130" t="s">
        <v>1643</v>
      </c>
      <c r="G623" s="130" t="s">
        <v>137</v>
      </c>
      <c r="I623" s="130" t="s">
        <v>1560</v>
      </c>
      <c r="J623" s="130" t="s">
        <v>159</v>
      </c>
      <c r="K623" s="130" t="s">
        <v>1630</v>
      </c>
      <c r="L623" s="130" t="s">
        <v>139</v>
      </c>
      <c r="M623" s="128">
        <v>6</v>
      </c>
      <c r="N623" s="128">
        <f t="shared" si="9"/>
        <v>-4</v>
      </c>
      <c r="O623" s="130" t="s">
        <v>860</v>
      </c>
      <c r="P623" s="130" t="s">
        <v>860</v>
      </c>
      <c r="Q623" s="130" t="s">
        <v>160</v>
      </c>
      <c r="R623" s="128">
        <v>0</v>
      </c>
      <c r="S623" s="130" t="s">
        <v>1562</v>
      </c>
    </row>
    <row r="624" spans="1:19" x14ac:dyDescent="0.25">
      <c r="A624" s="130" t="s">
        <v>1644</v>
      </c>
      <c r="B624" s="130" t="s">
        <v>1645</v>
      </c>
      <c r="C624" s="130" t="s">
        <v>860</v>
      </c>
      <c r="D624" s="130" t="s">
        <v>860</v>
      </c>
      <c r="E624" s="130" t="s">
        <v>1630</v>
      </c>
      <c r="F624" s="130" t="s">
        <v>1631</v>
      </c>
      <c r="G624" s="130" t="s">
        <v>137</v>
      </c>
      <c r="I624" s="130" t="s">
        <v>1560</v>
      </c>
      <c r="J624" s="130" t="s">
        <v>159</v>
      </c>
      <c r="K624" s="130" t="s">
        <v>1630</v>
      </c>
      <c r="L624" s="130" t="s">
        <v>139</v>
      </c>
      <c r="M624" s="128">
        <v>6</v>
      </c>
      <c r="N624" s="128">
        <f t="shared" si="9"/>
        <v>-4</v>
      </c>
      <c r="O624" s="130" t="s">
        <v>860</v>
      </c>
      <c r="P624" s="130" t="s">
        <v>860</v>
      </c>
      <c r="Q624" s="130" t="s">
        <v>160</v>
      </c>
      <c r="R624" s="128">
        <v>0</v>
      </c>
      <c r="S624" s="130" t="s">
        <v>1562</v>
      </c>
    </row>
    <row r="625" spans="1:19" x14ac:dyDescent="0.25">
      <c r="A625" s="130" t="s">
        <v>1646</v>
      </c>
      <c r="B625" s="130" t="s">
        <v>1647</v>
      </c>
      <c r="C625" s="130" t="s">
        <v>860</v>
      </c>
      <c r="D625" s="130" t="s">
        <v>860</v>
      </c>
      <c r="E625" s="130" t="s">
        <v>1630</v>
      </c>
      <c r="F625" s="130" t="s">
        <v>1631</v>
      </c>
      <c r="G625" s="130" t="s">
        <v>137</v>
      </c>
      <c r="I625" s="130" t="s">
        <v>1560</v>
      </c>
      <c r="J625" s="130" t="s">
        <v>159</v>
      </c>
      <c r="K625" s="130" t="s">
        <v>1630</v>
      </c>
      <c r="L625" s="130" t="s">
        <v>139</v>
      </c>
      <c r="M625" s="128">
        <v>6</v>
      </c>
      <c r="N625" s="128">
        <f t="shared" si="9"/>
        <v>-4</v>
      </c>
      <c r="O625" s="130" t="s">
        <v>860</v>
      </c>
      <c r="P625" s="130" t="s">
        <v>860</v>
      </c>
      <c r="Q625" s="130" t="s">
        <v>160</v>
      </c>
      <c r="R625" s="128">
        <v>0</v>
      </c>
      <c r="S625" s="130" t="s">
        <v>1562</v>
      </c>
    </row>
    <row r="626" spans="1:19" x14ac:dyDescent="0.25">
      <c r="A626" s="130" t="s">
        <v>1648</v>
      </c>
      <c r="B626" s="130" t="s">
        <v>1649</v>
      </c>
      <c r="C626" s="130" t="s">
        <v>860</v>
      </c>
      <c r="D626" s="130" t="s">
        <v>860</v>
      </c>
      <c r="E626" s="130" t="s">
        <v>1630</v>
      </c>
      <c r="F626" s="130" t="s">
        <v>1631</v>
      </c>
      <c r="G626" s="130" t="s">
        <v>137</v>
      </c>
      <c r="I626" s="130" t="s">
        <v>1560</v>
      </c>
      <c r="J626" s="130" t="s">
        <v>159</v>
      </c>
      <c r="K626" s="130" t="s">
        <v>1630</v>
      </c>
      <c r="L626" s="130" t="s">
        <v>139</v>
      </c>
      <c r="M626" s="128">
        <v>6</v>
      </c>
      <c r="N626" s="128">
        <f t="shared" si="9"/>
        <v>-4</v>
      </c>
      <c r="O626" s="130" t="s">
        <v>860</v>
      </c>
      <c r="P626" s="130" t="s">
        <v>860</v>
      </c>
      <c r="Q626" s="130" t="s">
        <v>160</v>
      </c>
      <c r="R626" s="128">
        <v>0</v>
      </c>
      <c r="S626" s="130" t="s">
        <v>1562</v>
      </c>
    </row>
    <row r="627" spans="1:19" x14ac:dyDescent="0.25">
      <c r="A627" s="130" t="s">
        <v>1650</v>
      </c>
      <c r="B627" s="130" t="s">
        <v>1651</v>
      </c>
      <c r="C627" s="130" t="s">
        <v>860</v>
      </c>
      <c r="D627" s="130" t="s">
        <v>860</v>
      </c>
      <c r="E627" s="130" t="s">
        <v>1630</v>
      </c>
      <c r="F627" s="130" t="s">
        <v>1631</v>
      </c>
      <c r="G627" s="130" t="s">
        <v>137</v>
      </c>
      <c r="I627" s="130" t="s">
        <v>1560</v>
      </c>
      <c r="J627" s="130" t="s">
        <v>159</v>
      </c>
      <c r="K627" s="130" t="s">
        <v>1630</v>
      </c>
      <c r="L627" s="130" t="s">
        <v>139</v>
      </c>
      <c r="M627" s="128">
        <v>6</v>
      </c>
      <c r="N627" s="128">
        <f t="shared" si="9"/>
        <v>-4</v>
      </c>
      <c r="O627" s="130" t="s">
        <v>860</v>
      </c>
      <c r="P627" s="130" t="s">
        <v>860</v>
      </c>
      <c r="Q627" s="130" t="s">
        <v>160</v>
      </c>
      <c r="R627" s="128">
        <v>0</v>
      </c>
      <c r="S627" s="130" t="s">
        <v>1562</v>
      </c>
    </row>
    <row r="628" spans="1:19" x14ac:dyDescent="0.25">
      <c r="A628" s="130" t="s">
        <v>1652</v>
      </c>
      <c r="B628" s="130" t="s">
        <v>1653</v>
      </c>
      <c r="C628" s="130" t="s">
        <v>860</v>
      </c>
      <c r="D628" s="130" t="s">
        <v>860</v>
      </c>
      <c r="E628" s="130" t="s">
        <v>1630</v>
      </c>
      <c r="F628" s="130" t="s">
        <v>1631</v>
      </c>
      <c r="G628" s="130" t="s">
        <v>137</v>
      </c>
      <c r="I628" s="130" t="s">
        <v>1560</v>
      </c>
      <c r="J628" s="130" t="s">
        <v>159</v>
      </c>
      <c r="K628" s="130" t="s">
        <v>1630</v>
      </c>
      <c r="L628" s="130" t="s">
        <v>139</v>
      </c>
      <c r="M628" s="128">
        <v>6</v>
      </c>
      <c r="N628" s="128">
        <f t="shared" si="9"/>
        <v>-4</v>
      </c>
      <c r="O628" s="130" t="s">
        <v>860</v>
      </c>
      <c r="P628" s="130" t="s">
        <v>860</v>
      </c>
      <c r="Q628" s="130" t="s">
        <v>160</v>
      </c>
      <c r="R628" s="128">
        <v>0</v>
      </c>
      <c r="S628" s="130" t="s">
        <v>1562</v>
      </c>
    </row>
    <row r="629" spans="1:19" x14ac:dyDescent="0.25">
      <c r="A629" s="130" t="s">
        <v>1654</v>
      </c>
      <c r="B629" s="130" t="s">
        <v>1655</v>
      </c>
      <c r="C629" s="130" t="s">
        <v>860</v>
      </c>
      <c r="D629" s="130" t="s">
        <v>860</v>
      </c>
      <c r="E629" s="130" t="s">
        <v>1656</v>
      </c>
      <c r="F629" s="130" t="s">
        <v>1657</v>
      </c>
      <c r="G629" s="130" t="s">
        <v>137</v>
      </c>
      <c r="I629" s="130" t="s">
        <v>1560</v>
      </c>
      <c r="J629" s="130" t="s">
        <v>159</v>
      </c>
      <c r="K629" s="130" t="s">
        <v>1656</v>
      </c>
      <c r="L629" s="130" t="s">
        <v>139</v>
      </c>
      <c r="M629" s="128">
        <v>6</v>
      </c>
      <c r="N629" s="128">
        <f t="shared" si="9"/>
        <v>-4</v>
      </c>
      <c r="O629" s="130" t="s">
        <v>860</v>
      </c>
      <c r="P629" s="130" t="s">
        <v>860</v>
      </c>
      <c r="Q629" s="130" t="s">
        <v>160</v>
      </c>
      <c r="R629" s="128">
        <v>0</v>
      </c>
      <c r="S629" s="130" t="s">
        <v>1562</v>
      </c>
    </row>
    <row r="630" spans="1:19" x14ac:dyDescent="0.25">
      <c r="A630" s="130" t="s">
        <v>1658</v>
      </c>
      <c r="B630" s="130" t="s">
        <v>1659</v>
      </c>
      <c r="C630" s="130" t="s">
        <v>860</v>
      </c>
      <c r="D630" s="130" t="s">
        <v>860</v>
      </c>
      <c r="E630" s="130" t="s">
        <v>1656</v>
      </c>
      <c r="F630" s="130" t="s">
        <v>1657</v>
      </c>
      <c r="G630" s="130" t="s">
        <v>137</v>
      </c>
      <c r="I630" s="130" t="s">
        <v>1560</v>
      </c>
      <c r="J630" s="130" t="s">
        <v>159</v>
      </c>
      <c r="K630" s="130" t="s">
        <v>1656</v>
      </c>
      <c r="L630" s="130" t="s">
        <v>139</v>
      </c>
      <c r="M630" s="128">
        <v>6</v>
      </c>
      <c r="N630" s="128">
        <f t="shared" si="9"/>
        <v>-4</v>
      </c>
      <c r="O630" s="130" t="s">
        <v>860</v>
      </c>
      <c r="P630" s="130" t="s">
        <v>860</v>
      </c>
      <c r="Q630" s="130" t="s">
        <v>160</v>
      </c>
      <c r="R630" s="128">
        <v>0</v>
      </c>
      <c r="S630" s="130" t="s">
        <v>1562</v>
      </c>
    </row>
    <row r="631" spans="1:19" x14ac:dyDescent="0.25">
      <c r="A631" s="130" t="s">
        <v>1660</v>
      </c>
      <c r="B631" s="130" t="s">
        <v>1661</v>
      </c>
      <c r="C631" s="130" t="s">
        <v>860</v>
      </c>
      <c r="D631" s="130" t="s">
        <v>860</v>
      </c>
      <c r="E631" s="130" t="s">
        <v>1656</v>
      </c>
      <c r="F631" s="130" t="s">
        <v>1657</v>
      </c>
      <c r="G631" s="130" t="s">
        <v>137</v>
      </c>
      <c r="I631" s="130" t="s">
        <v>1560</v>
      </c>
      <c r="J631" s="130" t="s">
        <v>159</v>
      </c>
      <c r="K631" s="130" t="s">
        <v>1656</v>
      </c>
      <c r="L631" s="130" t="s">
        <v>139</v>
      </c>
      <c r="M631" s="128">
        <v>6</v>
      </c>
      <c r="N631" s="128">
        <f t="shared" si="9"/>
        <v>-4</v>
      </c>
      <c r="O631" s="130" t="s">
        <v>860</v>
      </c>
      <c r="P631" s="130" t="s">
        <v>860</v>
      </c>
      <c r="Q631" s="130" t="s">
        <v>160</v>
      </c>
      <c r="R631" s="128">
        <v>0</v>
      </c>
      <c r="S631" s="130" t="s">
        <v>1562</v>
      </c>
    </row>
    <row r="632" spans="1:19" x14ac:dyDescent="0.25">
      <c r="A632" s="130" t="s">
        <v>1662</v>
      </c>
      <c r="B632" s="130" t="s">
        <v>1663</v>
      </c>
      <c r="C632" s="130" t="s">
        <v>860</v>
      </c>
      <c r="D632" s="130" t="s">
        <v>860</v>
      </c>
      <c r="E632" s="130" t="s">
        <v>1656</v>
      </c>
      <c r="F632" s="130" t="s">
        <v>1657</v>
      </c>
      <c r="G632" s="130" t="s">
        <v>137</v>
      </c>
      <c r="I632" s="130" t="s">
        <v>1560</v>
      </c>
      <c r="J632" s="130" t="s">
        <v>159</v>
      </c>
      <c r="K632" s="130" t="s">
        <v>1656</v>
      </c>
      <c r="L632" s="130" t="s">
        <v>139</v>
      </c>
      <c r="M632" s="128">
        <v>6</v>
      </c>
      <c r="N632" s="128">
        <f t="shared" si="9"/>
        <v>-4</v>
      </c>
      <c r="O632" s="130" t="s">
        <v>860</v>
      </c>
      <c r="P632" s="130" t="s">
        <v>860</v>
      </c>
      <c r="Q632" s="130" t="s">
        <v>160</v>
      </c>
      <c r="R632" s="128">
        <v>0</v>
      </c>
      <c r="S632" s="130" t="s">
        <v>1562</v>
      </c>
    </row>
    <row r="633" spans="1:19" x14ac:dyDescent="0.25">
      <c r="A633" s="130" t="s">
        <v>1664</v>
      </c>
      <c r="B633" s="130" t="s">
        <v>1665</v>
      </c>
      <c r="C633" s="130" t="s">
        <v>860</v>
      </c>
      <c r="D633" s="130" t="s">
        <v>860</v>
      </c>
      <c r="E633" s="130" t="s">
        <v>1656</v>
      </c>
      <c r="F633" s="130" t="s">
        <v>1657</v>
      </c>
      <c r="G633" s="130" t="s">
        <v>137</v>
      </c>
      <c r="I633" s="130" t="s">
        <v>1560</v>
      </c>
      <c r="J633" s="130" t="s">
        <v>159</v>
      </c>
      <c r="K633" s="130" t="s">
        <v>1656</v>
      </c>
      <c r="L633" s="130" t="s">
        <v>139</v>
      </c>
      <c r="M633" s="128">
        <v>6</v>
      </c>
      <c r="N633" s="128">
        <f t="shared" si="9"/>
        <v>-4</v>
      </c>
      <c r="O633" s="130" t="s">
        <v>860</v>
      </c>
      <c r="P633" s="130" t="s">
        <v>860</v>
      </c>
      <c r="Q633" s="130" t="s">
        <v>160</v>
      </c>
      <c r="R633" s="128">
        <v>0</v>
      </c>
      <c r="S633" s="130" t="s">
        <v>1562</v>
      </c>
    </row>
    <row r="634" spans="1:19" x14ac:dyDescent="0.25">
      <c r="A634" s="130" t="s">
        <v>1666</v>
      </c>
      <c r="B634" s="130" t="s">
        <v>1667</v>
      </c>
      <c r="C634" s="130" t="s">
        <v>860</v>
      </c>
      <c r="D634" s="130" t="s">
        <v>860</v>
      </c>
      <c r="E634" s="130" t="s">
        <v>1656</v>
      </c>
      <c r="F634" s="130" t="s">
        <v>1657</v>
      </c>
      <c r="G634" s="130" t="s">
        <v>137</v>
      </c>
      <c r="I634" s="130" t="s">
        <v>1560</v>
      </c>
      <c r="J634" s="130" t="s">
        <v>159</v>
      </c>
      <c r="K634" s="130" t="s">
        <v>1656</v>
      </c>
      <c r="L634" s="130" t="s">
        <v>139</v>
      </c>
      <c r="M634" s="128">
        <v>6</v>
      </c>
      <c r="N634" s="128">
        <f t="shared" si="9"/>
        <v>-4</v>
      </c>
      <c r="O634" s="130" t="s">
        <v>860</v>
      </c>
      <c r="P634" s="130" t="s">
        <v>860</v>
      </c>
      <c r="Q634" s="130" t="s">
        <v>160</v>
      </c>
      <c r="R634" s="128">
        <v>0</v>
      </c>
      <c r="S634" s="130" t="s">
        <v>1562</v>
      </c>
    </row>
    <row r="635" spans="1:19" x14ac:dyDescent="0.25">
      <c r="A635" s="130" t="s">
        <v>1668</v>
      </c>
      <c r="B635" s="130" t="s">
        <v>1669</v>
      </c>
      <c r="C635" s="130" t="s">
        <v>860</v>
      </c>
      <c r="D635" s="130" t="s">
        <v>860</v>
      </c>
      <c r="E635" s="130" t="s">
        <v>1656</v>
      </c>
      <c r="F635" s="130" t="s">
        <v>1657</v>
      </c>
      <c r="G635" s="130" t="s">
        <v>137</v>
      </c>
      <c r="I635" s="130" t="s">
        <v>1560</v>
      </c>
      <c r="J635" s="130" t="s">
        <v>159</v>
      </c>
      <c r="K635" s="130" t="s">
        <v>1656</v>
      </c>
      <c r="L635" s="130" t="s">
        <v>139</v>
      </c>
      <c r="M635" s="128">
        <v>6</v>
      </c>
      <c r="N635" s="128">
        <f t="shared" si="9"/>
        <v>-4</v>
      </c>
      <c r="O635" s="130" t="s">
        <v>860</v>
      </c>
      <c r="P635" s="130" t="s">
        <v>860</v>
      </c>
      <c r="Q635" s="130" t="s">
        <v>160</v>
      </c>
      <c r="R635" s="128">
        <v>0</v>
      </c>
      <c r="S635" s="130" t="s">
        <v>1562</v>
      </c>
    </row>
    <row r="636" spans="1:19" x14ac:dyDescent="0.25">
      <c r="A636" s="130" t="s">
        <v>1670</v>
      </c>
      <c r="B636" s="130" t="s">
        <v>1671</v>
      </c>
      <c r="C636" s="130" t="s">
        <v>860</v>
      </c>
      <c r="D636" s="130" t="s">
        <v>860</v>
      </c>
      <c r="E636" s="130" t="s">
        <v>1672</v>
      </c>
      <c r="F636" s="130" t="s">
        <v>1673</v>
      </c>
      <c r="G636" s="130" t="s">
        <v>137</v>
      </c>
      <c r="H636" s="130" t="s">
        <v>159</v>
      </c>
      <c r="I636" s="130" t="s">
        <v>1560</v>
      </c>
      <c r="J636" s="130" t="s">
        <v>159</v>
      </c>
      <c r="K636" s="130" t="s">
        <v>1672</v>
      </c>
      <c r="L636" s="130" t="s">
        <v>139</v>
      </c>
      <c r="M636" s="128">
        <v>6</v>
      </c>
      <c r="N636" s="128">
        <f t="shared" si="9"/>
        <v>-4</v>
      </c>
      <c r="O636" s="130" t="s">
        <v>860</v>
      </c>
      <c r="P636" s="130" t="s">
        <v>860</v>
      </c>
      <c r="Q636" s="130" t="s">
        <v>160</v>
      </c>
      <c r="R636" s="128">
        <v>0</v>
      </c>
      <c r="S636" s="130" t="s">
        <v>1562</v>
      </c>
    </row>
    <row r="637" spans="1:19" x14ac:dyDescent="0.25">
      <c r="A637" s="130" t="s">
        <v>1674</v>
      </c>
      <c r="B637" s="130" t="s">
        <v>1675</v>
      </c>
      <c r="C637" s="130" t="s">
        <v>860</v>
      </c>
      <c r="D637" s="130" t="s">
        <v>860</v>
      </c>
      <c r="E637" s="130" t="s">
        <v>1676</v>
      </c>
      <c r="F637" s="130" t="s">
        <v>1677</v>
      </c>
      <c r="G637" s="130" t="s">
        <v>137</v>
      </c>
      <c r="I637" s="130" t="s">
        <v>1560</v>
      </c>
      <c r="J637" s="130" t="s">
        <v>159</v>
      </c>
      <c r="K637" s="130" t="s">
        <v>1676</v>
      </c>
      <c r="L637" s="130" t="s">
        <v>139</v>
      </c>
      <c r="M637" s="128">
        <v>6</v>
      </c>
      <c r="N637" s="128">
        <f t="shared" si="9"/>
        <v>-4</v>
      </c>
      <c r="O637" s="130" t="s">
        <v>860</v>
      </c>
      <c r="P637" s="130" t="s">
        <v>860</v>
      </c>
      <c r="Q637" s="130" t="s">
        <v>160</v>
      </c>
      <c r="R637" s="128">
        <v>0</v>
      </c>
      <c r="S637" s="130" t="s">
        <v>1562</v>
      </c>
    </row>
    <row r="638" spans="1:19" x14ac:dyDescent="0.25">
      <c r="A638" s="130" t="s">
        <v>1678</v>
      </c>
      <c r="B638" s="130" t="s">
        <v>1679</v>
      </c>
      <c r="C638" s="130" t="s">
        <v>860</v>
      </c>
      <c r="D638" s="130" t="s">
        <v>860</v>
      </c>
      <c r="E638" s="130" t="s">
        <v>1678</v>
      </c>
      <c r="F638" s="130" t="s">
        <v>1680</v>
      </c>
      <c r="G638" s="130" t="s">
        <v>137</v>
      </c>
      <c r="I638" s="130" t="s">
        <v>1560</v>
      </c>
      <c r="J638" s="130" t="s">
        <v>159</v>
      </c>
      <c r="K638" s="130" t="s">
        <v>1678</v>
      </c>
      <c r="L638" s="130" t="s">
        <v>139</v>
      </c>
      <c r="M638" s="128">
        <v>6</v>
      </c>
      <c r="N638" s="128">
        <f t="shared" si="9"/>
        <v>-4</v>
      </c>
      <c r="O638" s="130" t="s">
        <v>860</v>
      </c>
      <c r="P638" s="130" t="s">
        <v>860</v>
      </c>
      <c r="Q638" s="130" t="s">
        <v>160</v>
      </c>
      <c r="R638" s="128">
        <v>0</v>
      </c>
      <c r="S638" s="130" t="s">
        <v>1562</v>
      </c>
    </row>
    <row r="639" spans="1:19" x14ac:dyDescent="0.25">
      <c r="A639" s="130" t="s">
        <v>1681</v>
      </c>
      <c r="B639" s="130" t="s">
        <v>1682</v>
      </c>
      <c r="C639" s="130" t="s">
        <v>860</v>
      </c>
      <c r="D639" s="130" t="s">
        <v>860</v>
      </c>
      <c r="E639" s="130" t="s">
        <v>1678</v>
      </c>
      <c r="F639" s="130" t="s">
        <v>1680</v>
      </c>
      <c r="G639" s="130" t="s">
        <v>137</v>
      </c>
      <c r="I639" s="130" t="s">
        <v>1560</v>
      </c>
      <c r="J639" s="130" t="s">
        <v>159</v>
      </c>
      <c r="K639" s="130" t="s">
        <v>1678</v>
      </c>
      <c r="L639" s="130" t="s">
        <v>139</v>
      </c>
      <c r="M639" s="128">
        <v>6</v>
      </c>
      <c r="N639" s="128">
        <f t="shared" si="9"/>
        <v>-4</v>
      </c>
      <c r="O639" s="130" t="s">
        <v>860</v>
      </c>
      <c r="P639" s="130" t="s">
        <v>860</v>
      </c>
      <c r="Q639" s="130" t="s">
        <v>160</v>
      </c>
      <c r="R639" s="128">
        <v>0</v>
      </c>
      <c r="S639" s="130" t="s">
        <v>1562</v>
      </c>
    </row>
    <row r="640" spans="1:19" x14ac:dyDescent="0.25">
      <c r="A640" s="130" t="s">
        <v>1683</v>
      </c>
      <c r="B640" s="130" t="s">
        <v>1684</v>
      </c>
      <c r="C640" s="130" t="s">
        <v>860</v>
      </c>
      <c r="D640" s="130" t="s">
        <v>860</v>
      </c>
      <c r="E640" s="130" t="s">
        <v>1678</v>
      </c>
      <c r="F640" s="130" t="s">
        <v>1680</v>
      </c>
      <c r="G640" s="130" t="s">
        <v>137</v>
      </c>
      <c r="I640" s="130" t="s">
        <v>1560</v>
      </c>
      <c r="J640" s="130" t="s">
        <v>159</v>
      </c>
      <c r="K640" s="130" t="s">
        <v>1678</v>
      </c>
      <c r="L640" s="130" t="s">
        <v>139</v>
      </c>
      <c r="M640" s="128">
        <v>6</v>
      </c>
      <c r="N640" s="128">
        <f t="shared" si="9"/>
        <v>-4</v>
      </c>
      <c r="O640" s="130" t="s">
        <v>860</v>
      </c>
      <c r="P640" s="130" t="s">
        <v>860</v>
      </c>
      <c r="Q640" s="130" t="s">
        <v>160</v>
      </c>
      <c r="R640" s="128">
        <v>0</v>
      </c>
      <c r="S640" s="130" t="s">
        <v>1562</v>
      </c>
    </row>
    <row r="641" spans="1:19" x14ac:dyDescent="0.25">
      <c r="A641" s="130" t="s">
        <v>1685</v>
      </c>
      <c r="B641" s="130" t="s">
        <v>1686</v>
      </c>
      <c r="C641" s="130" t="s">
        <v>860</v>
      </c>
      <c r="D641" s="130" t="s">
        <v>860</v>
      </c>
      <c r="E641" s="130" t="s">
        <v>1678</v>
      </c>
      <c r="F641" s="130" t="s">
        <v>1680</v>
      </c>
      <c r="G641" s="130" t="s">
        <v>137</v>
      </c>
      <c r="I641" s="130" t="s">
        <v>1560</v>
      </c>
      <c r="J641" s="130" t="s">
        <v>159</v>
      </c>
      <c r="K641" s="130" t="s">
        <v>1678</v>
      </c>
      <c r="L641" s="130" t="s">
        <v>139</v>
      </c>
      <c r="M641" s="128">
        <v>6</v>
      </c>
      <c r="N641" s="128">
        <f t="shared" si="9"/>
        <v>-4</v>
      </c>
      <c r="O641" s="130" t="s">
        <v>860</v>
      </c>
      <c r="P641" s="130" t="s">
        <v>860</v>
      </c>
      <c r="Q641" s="130" t="s">
        <v>160</v>
      </c>
      <c r="R641" s="128">
        <v>0</v>
      </c>
      <c r="S641" s="130" t="s">
        <v>1562</v>
      </c>
    </row>
    <row r="642" spans="1:19" x14ac:dyDescent="0.25">
      <c r="A642" s="130" t="s">
        <v>1687</v>
      </c>
      <c r="B642" s="130" t="s">
        <v>1688</v>
      </c>
      <c r="C642" s="130" t="s">
        <v>860</v>
      </c>
      <c r="D642" s="130" t="s">
        <v>860</v>
      </c>
      <c r="E642" s="130" t="s">
        <v>1678</v>
      </c>
      <c r="F642" s="130" t="s">
        <v>1680</v>
      </c>
      <c r="G642" s="130" t="s">
        <v>137</v>
      </c>
      <c r="I642" s="130" t="s">
        <v>1560</v>
      </c>
      <c r="J642" s="130" t="s">
        <v>159</v>
      </c>
      <c r="K642" s="130" t="s">
        <v>1678</v>
      </c>
      <c r="L642" s="130" t="s">
        <v>139</v>
      </c>
      <c r="M642" s="128">
        <v>6</v>
      </c>
      <c r="N642" s="128">
        <f t="shared" si="9"/>
        <v>-4</v>
      </c>
      <c r="O642" s="130" t="s">
        <v>860</v>
      </c>
      <c r="P642" s="130" t="s">
        <v>860</v>
      </c>
      <c r="Q642" s="130" t="s">
        <v>160</v>
      </c>
      <c r="R642" s="128">
        <v>0</v>
      </c>
      <c r="S642" s="130" t="s">
        <v>1562</v>
      </c>
    </row>
    <row r="643" spans="1:19" x14ac:dyDescent="0.25">
      <c r="A643" s="130" t="s">
        <v>1689</v>
      </c>
      <c r="B643" s="130" t="s">
        <v>1690</v>
      </c>
      <c r="C643" s="130" t="s">
        <v>860</v>
      </c>
      <c r="D643" s="130" t="s">
        <v>860</v>
      </c>
      <c r="E643" s="130" t="s">
        <v>1678</v>
      </c>
      <c r="F643" s="130" t="s">
        <v>1680</v>
      </c>
      <c r="G643" s="130" t="s">
        <v>137</v>
      </c>
      <c r="I643" s="130" t="s">
        <v>1560</v>
      </c>
      <c r="J643" s="130" t="s">
        <v>159</v>
      </c>
      <c r="K643" s="130" t="s">
        <v>1678</v>
      </c>
      <c r="L643" s="130" t="s">
        <v>139</v>
      </c>
      <c r="M643" s="128">
        <v>6</v>
      </c>
      <c r="N643" s="128">
        <f t="shared" ref="N643:N706" si="10">M643-L643</f>
        <v>-4</v>
      </c>
      <c r="O643" s="130" t="s">
        <v>860</v>
      </c>
      <c r="P643" s="130" t="s">
        <v>860</v>
      </c>
      <c r="Q643" s="130" t="s">
        <v>160</v>
      </c>
      <c r="R643" s="128">
        <v>0</v>
      </c>
      <c r="S643" s="130" t="s">
        <v>1562</v>
      </c>
    </row>
    <row r="644" spans="1:19" x14ac:dyDescent="0.25">
      <c r="A644" s="130" t="s">
        <v>1691</v>
      </c>
      <c r="B644" s="130" t="s">
        <v>1692</v>
      </c>
      <c r="C644" s="130" t="s">
        <v>860</v>
      </c>
      <c r="D644" s="130" t="s">
        <v>860</v>
      </c>
      <c r="E644" s="130" t="s">
        <v>1678</v>
      </c>
      <c r="F644" s="130" t="s">
        <v>1680</v>
      </c>
      <c r="G644" s="130" t="s">
        <v>137</v>
      </c>
      <c r="I644" s="130" t="s">
        <v>1560</v>
      </c>
      <c r="J644" s="130" t="s">
        <v>159</v>
      </c>
      <c r="K644" s="130" t="s">
        <v>1678</v>
      </c>
      <c r="L644" s="130" t="s">
        <v>139</v>
      </c>
      <c r="M644" s="128">
        <v>6</v>
      </c>
      <c r="N644" s="128">
        <f t="shared" si="10"/>
        <v>-4</v>
      </c>
      <c r="O644" s="130" t="s">
        <v>860</v>
      </c>
      <c r="P644" s="130" t="s">
        <v>860</v>
      </c>
      <c r="Q644" s="130" t="s">
        <v>160</v>
      </c>
      <c r="R644" s="128">
        <v>0</v>
      </c>
      <c r="S644" s="130" t="s">
        <v>1562</v>
      </c>
    </row>
    <row r="645" spans="1:19" x14ac:dyDescent="0.25">
      <c r="A645" s="130" t="s">
        <v>1693</v>
      </c>
      <c r="B645" s="130" t="s">
        <v>1694</v>
      </c>
      <c r="C645" s="130" t="s">
        <v>860</v>
      </c>
      <c r="D645" s="130" t="s">
        <v>860</v>
      </c>
      <c r="E645" s="130" t="s">
        <v>1678</v>
      </c>
      <c r="F645" s="130" t="s">
        <v>1680</v>
      </c>
      <c r="G645" s="130" t="s">
        <v>137</v>
      </c>
      <c r="I645" s="130" t="s">
        <v>1560</v>
      </c>
      <c r="J645" s="130" t="s">
        <v>159</v>
      </c>
      <c r="K645" s="130" t="s">
        <v>1678</v>
      </c>
      <c r="L645" s="130" t="s">
        <v>139</v>
      </c>
      <c r="M645" s="128">
        <v>6</v>
      </c>
      <c r="N645" s="128">
        <f t="shared" si="10"/>
        <v>-4</v>
      </c>
      <c r="O645" s="130" t="s">
        <v>860</v>
      </c>
      <c r="P645" s="130" t="s">
        <v>860</v>
      </c>
      <c r="Q645" s="130" t="s">
        <v>160</v>
      </c>
      <c r="R645" s="128">
        <v>0</v>
      </c>
      <c r="S645" s="130" t="s">
        <v>1562</v>
      </c>
    </row>
    <row r="646" spans="1:19" x14ac:dyDescent="0.25">
      <c r="A646" s="130" t="s">
        <v>1695</v>
      </c>
      <c r="B646" s="130" t="s">
        <v>1696</v>
      </c>
      <c r="C646" s="130" t="s">
        <v>860</v>
      </c>
      <c r="D646" s="130" t="s">
        <v>860</v>
      </c>
      <c r="E646" s="130" t="s">
        <v>1678</v>
      </c>
      <c r="F646" s="130" t="s">
        <v>1680</v>
      </c>
      <c r="G646" s="130" t="s">
        <v>137</v>
      </c>
      <c r="I646" s="130" t="s">
        <v>1560</v>
      </c>
      <c r="J646" s="130" t="s">
        <v>159</v>
      </c>
      <c r="K646" s="130" t="s">
        <v>1678</v>
      </c>
      <c r="L646" s="130" t="s">
        <v>139</v>
      </c>
      <c r="M646" s="128">
        <v>6</v>
      </c>
      <c r="N646" s="128">
        <f t="shared" si="10"/>
        <v>-4</v>
      </c>
      <c r="O646" s="130" t="s">
        <v>860</v>
      </c>
      <c r="P646" s="130" t="s">
        <v>860</v>
      </c>
      <c r="Q646" s="130" t="s">
        <v>160</v>
      </c>
      <c r="R646" s="128">
        <v>0</v>
      </c>
      <c r="S646" s="130" t="s">
        <v>1562</v>
      </c>
    </row>
    <row r="647" spans="1:19" x14ac:dyDescent="0.25">
      <c r="A647" s="130" t="s">
        <v>1697</v>
      </c>
      <c r="B647" s="130" t="s">
        <v>1698</v>
      </c>
      <c r="C647" s="130" t="s">
        <v>860</v>
      </c>
      <c r="D647" s="130" t="s">
        <v>860</v>
      </c>
      <c r="E647" s="130" t="s">
        <v>1678</v>
      </c>
      <c r="F647" s="130" t="s">
        <v>1680</v>
      </c>
      <c r="G647" s="130" t="s">
        <v>137</v>
      </c>
      <c r="I647" s="130" t="s">
        <v>1560</v>
      </c>
      <c r="J647" s="130" t="s">
        <v>159</v>
      </c>
      <c r="K647" s="130" t="s">
        <v>1678</v>
      </c>
      <c r="L647" s="130" t="s">
        <v>139</v>
      </c>
      <c r="M647" s="128">
        <v>6</v>
      </c>
      <c r="N647" s="128">
        <f t="shared" si="10"/>
        <v>-4</v>
      </c>
      <c r="O647" s="130" t="s">
        <v>860</v>
      </c>
      <c r="P647" s="130" t="s">
        <v>860</v>
      </c>
      <c r="Q647" s="130" t="s">
        <v>160</v>
      </c>
      <c r="R647" s="128">
        <v>0</v>
      </c>
      <c r="S647" s="130" t="s">
        <v>1562</v>
      </c>
    </row>
    <row r="648" spans="1:19" x14ac:dyDescent="0.25">
      <c r="A648" s="130" t="s">
        <v>1699</v>
      </c>
      <c r="B648" s="130" t="s">
        <v>1700</v>
      </c>
      <c r="C648" s="130" t="s">
        <v>1020</v>
      </c>
      <c r="D648" s="130" t="s">
        <v>1020</v>
      </c>
      <c r="E648" s="130" t="s">
        <v>1701</v>
      </c>
      <c r="F648" s="130" t="s">
        <v>1702</v>
      </c>
      <c r="G648" s="130" t="s">
        <v>137</v>
      </c>
      <c r="I648" s="130" t="s">
        <v>1703</v>
      </c>
      <c r="J648" s="130" t="s">
        <v>159</v>
      </c>
      <c r="K648" s="130" t="s">
        <v>1701</v>
      </c>
      <c r="L648" s="130" t="s">
        <v>160</v>
      </c>
      <c r="M648" s="128">
        <v>0</v>
      </c>
      <c r="N648" s="128">
        <f t="shared" si="10"/>
        <v>0</v>
      </c>
      <c r="O648" s="130" t="s">
        <v>1020</v>
      </c>
      <c r="P648" s="130" t="s">
        <v>1020</v>
      </c>
      <c r="Q648" s="130" t="s">
        <v>160</v>
      </c>
      <c r="R648" s="128">
        <v>0</v>
      </c>
      <c r="S648" s="130" t="s">
        <v>1704</v>
      </c>
    </row>
    <row r="649" spans="1:19" x14ac:dyDescent="0.25">
      <c r="A649" s="130" t="s">
        <v>1705</v>
      </c>
      <c r="B649" s="130" t="s">
        <v>1706</v>
      </c>
      <c r="C649" s="130" t="s">
        <v>134</v>
      </c>
      <c r="D649" s="130" t="s">
        <v>134</v>
      </c>
      <c r="E649" s="130" t="s">
        <v>1701</v>
      </c>
      <c r="F649" s="130" t="s">
        <v>1702</v>
      </c>
      <c r="G649" s="130" t="s">
        <v>137</v>
      </c>
      <c r="I649" s="130" t="s">
        <v>1703</v>
      </c>
      <c r="J649" s="130" t="s">
        <v>159</v>
      </c>
      <c r="K649" s="130" t="s">
        <v>1701</v>
      </c>
      <c r="L649" s="130" t="s">
        <v>1707</v>
      </c>
      <c r="M649" s="128">
        <v>7</v>
      </c>
      <c r="N649" s="128">
        <f t="shared" si="10"/>
        <v>2</v>
      </c>
      <c r="O649" s="130" t="s">
        <v>134</v>
      </c>
      <c r="P649" s="130" t="s">
        <v>134</v>
      </c>
      <c r="Q649" s="130" t="s">
        <v>1707</v>
      </c>
      <c r="R649" s="128">
        <v>7</v>
      </c>
      <c r="S649" s="130" t="s">
        <v>1708</v>
      </c>
    </row>
    <row r="650" spans="1:19" x14ac:dyDescent="0.25">
      <c r="A650" s="130" t="s">
        <v>1709</v>
      </c>
      <c r="B650" s="130" t="s">
        <v>1710</v>
      </c>
      <c r="C650" s="130" t="s">
        <v>134</v>
      </c>
      <c r="D650" s="130" t="s">
        <v>134</v>
      </c>
      <c r="E650" s="130" t="s">
        <v>1711</v>
      </c>
      <c r="F650" s="130" t="s">
        <v>1712</v>
      </c>
      <c r="G650" s="130" t="s">
        <v>137</v>
      </c>
      <c r="I650" s="130" t="s">
        <v>1713</v>
      </c>
      <c r="J650" s="130" t="s">
        <v>159</v>
      </c>
      <c r="K650" s="130" t="s">
        <v>1711</v>
      </c>
      <c r="L650" s="130" t="s">
        <v>417</v>
      </c>
      <c r="M650" s="128">
        <v>7</v>
      </c>
      <c r="N650" s="128">
        <f t="shared" si="10"/>
        <v>-5</v>
      </c>
      <c r="O650" s="130" t="s">
        <v>134</v>
      </c>
      <c r="P650" s="130" t="s">
        <v>134</v>
      </c>
      <c r="Q650" s="130" t="s">
        <v>417</v>
      </c>
      <c r="R650" s="128">
        <v>7</v>
      </c>
      <c r="S650" s="130" t="s">
        <v>1708</v>
      </c>
    </row>
    <row r="651" spans="1:19" x14ac:dyDescent="0.25">
      <c r="A651" s="130" t="s">
        <v>1714</v>
      </c>
      <c r="B651" s="130" t="s">
        <v>1715</v>
      </c>
      <c r="C651" s="130" t="s">
        <v>134</v>
      </c>
      <c r="D651" s="130" t="s">
        <v>134</v>
      </c>
      <c r="E651" s="130" t="s">
        <v>1711</v>
      </c>
      <c r="F651" s="130" t="s">
        <v>1712</v>
      </c>
      <c r="G651" s="130" t="s">
        <v>137</v>
      </c>
      <c r="I651" s="130" t="s">
        <v>1713</v>
      </c>
      <c r="J651" s="130" t="s">
        <v>159</v>
      </c>
      <c r="K651" s="130" t="s">
        <v>1711</v>
      </c>
      <c r="L651" s="130" t="s">
        <v>417</v>
      </c>
      <c r="M651" s="128">
        <v>7</v>
      </c>
      <c r="N651" s="128">
        <f t="shared" si="10"/>
        <v>-5</v>
      </c>
      <c r="O651" s="130" t="s">
        <v>134</v>
      </c>
      <c r="P651" s="130" t="s">
        <v>134</v>
      </c>
      <c r="Q651" s="130" t="s">
        <v>417</v>
      </c>
      <c r="R651" s="128">
        <v>7</v>
      </c>
      <c r="S651" s="130" t="s">
        <v>1708</v>
      </c>
    </row>
    <row r="652" spans="1:19" x14ac:dyDescent="0.25">
      <c r="A652" s="130" t="s">
        <v>1716</v>
      </c>
      <c r="B652" s="130" t="s">
        <v>1717</v>
      </c>
      <c r="C652" s="130" t="s">
        <v>134</v>
      </c>
      <c r="D652" s="130" t="s">
        <v>134</v>
      </c>
      <c r="E652" s="130" t="s">
        <v>1711</v>
      </c>
      <c r="F652" s="130" t="s">
        <v>1712</v>
      </c>
      <c r="G652" s="130" t="s">
        <v>137</v>
      </c>
      <c r="I652" s="130" t="s">
        <v>1713</v>
      </c>
      <c r="J652" s="130" t="s">
        <v>159</v>
      </c>
      <c r="K652" s="130" t="s">
        <v>1711</v>
      </c>
      <c r="L652" s="130" t="s">
        <v>417</v>
      </c>
      <c r="M652" s="128">
        <v>7</v>
      </c>
      <c r="N652" s="128">
        <f t="shared" si="10"/>
        <v>-5</v>
      </c>
      <c r="O652" s="130" t="s">
        <v>134</v>
      </c>
      <c r="P652" s="130" t="s">
        <v>134</v>
      </c>
      <c r="Q652" s="130" t="s">
        <v>417</v>
      </c>
      <c r="R652" s="128">
        <v>7</v>
      </c>
      <c r="S652" s="130" t="s">
        <v>1708</v>
      </c>
    </row>
    <row r="653" spans="1:19" x14ac:dyDescent="0.25">
      <c r="A653" s="130" t="s">
        <v>1718</v>
      </c>
      <c r="B653" s="130" t="s">
        <v>1719</v>
      </c>
      <c r="C653" s="130" t="s">
        <v>134</v>
      </c>
      <c r="D653" s="130" t="s">
        <v>134</v>
      </c>
      <c r="E653" s="130" t="s">
        <v>1711</v>
      </c>
      <c r="F653" s="130" t="s">
        <v>1712</v>
      </c>
      <c r="G653" s="130" t="s">
        <v>137</v>
      </c>
      <c r="I653" s="130" t="s">
        <v>1713</v>
      </c>
      <c r="J653" s="130" t="s">
        <v>159</v>
      </c>
      <c r="K653" s="130" t="s">
        <v>1711</v>
      </c>
      <c r="L653" s="130" t="s">
        <v>417</v>
      </c>
      <c r="M653" s="128">
        <v>7</v>
      </c>
      <c r="N653" s="128">
        <f t="shared" si="10"/>
        <v>-5</v>
      </c>
      <c r="O653" s="130" t="s">
        <v>134</v>
      </c>
      <c r="P653" s="130" t="s">
        <v>134</v>
      </c>
      <c r="Q653" s="130" t="s">
        <v>417</v>
      </c>
      <c r="R653" s="128">
        <v>7</v>
      </c>
      <c r="S653" s="130" t="s">
        <v>1708</v>
      </c>
    </row>
    <row r="654" spans="1:19" x14ac:dyDescent="0.25">
      <c r="A654" s="130" t="s">
        <v>1720</v>
      </c>
      <c r="B654" s="130" t="s">
        <v>1721</v>
      </c>
      <c r="C654" s="130" t="s">
        <v>134</v>
      </c>
      <c r="D654" s="130" t="s">
        <v>134</v>
      </c>
      <c r="E654" s="130" t="s">
        <v>1711</v>
      </c>
      <c r="F654" s="130" t="s">
        <v>1712</v>
      </c>
      <c r="G654" s="130" t="s">
        <v>137</v>
      </c>
      <c r="I654" s="130" t="s">
        <v>1713</v>
      </c>
      <c r="J654" s="130" t="s">
        <v>159</v>
      </c>
      <c r="K654" s="130" t="s">
        <v>1711</v>
      </c>
      <c r="L654" s="130" t="s">
        <v>417</v>
      </c>
      <c r="M654" s="128">
        <v>7</v>
      </c>
      <c r="N654" s="128">
        <f t="shared" si="10"/>
        <v>-5</v>
      </c>
      <c r="O654" s="130" t="s">
        <v>134</v>
      </c>
      <c r="P654" s="130" t="s">
        <v>134</v>
      </c>
      <c r="Q654" s="130" t="s">
        <v>417</v>
      </c>
      <c r="R654" s="128">
        <v>7</v>
      </c>
      <c r="S654" s="130" t="s">
        <v>1708</v>
      </c>
    </row>
    <row r="655" spans="1:19" x14ac:dyDescent="0.25">
      <c r="A655" s="130" t="s">
        <v>1722</v>
      </c>
      <c r="B655" s="130" t="s">
        <v>1723</v>
      </c>
      <c r="C655" s="130" t="s">
        <v>134</v>
      </c>
      <c r="D655" s="130" t="s">
        <v>134</v>
      </c>
      <c r="E655" s="130" t="s">
        <v>1711</v>
      </c>
      <c r="F655" s="130" t="s">
        <v>1712</v>
      </c>
      <c r="G655" s="130" t="s">
        <v>137</v>
      </c>
      <c r="I655" s="130" t="s">
        <v>1713</v>
      </c>
      <c r="J655" s="130" t="s">
        <v>159</v>
      </c>
      <c r="K655" s="130" t="s">
        <v>1711</v>
      </c>
      <c r="L655" s="130" t="s">
        <v>417</v>
      </c>
      <c r="M655" s="128">
        <v>7</v>
      </c>
      <c r="N655" s="128">
        <f t="shared" si="10"/>
        <v>-5</v>
      </c>
      <c r="O655" s="130" t="s">
        <v>134</v>
      </c>
      <c r="P655" s="130" t="s">
        <v>134</v>
      </c>
      <c r="Q655" s="130" t="s">
        <v>417</v>
      </c>
      <c r="R655" s="128">
        <v>7</v>
      </c>
      <c r="S655" s="130" t="s">
        <v>1708</v>
      </c>
    </row>
    <row r="656" spans="1:19" x14ac:dyDescent="0.25">
      <c r="A656" s="130" t="s">
        <v>1724</v>
      </c>
      <c r="B656" s="130" t="s">
        <v>1725</v>
      </c>
      <c r="C656" s="130" t="s">
        <v>134</v>
      </c>
      <c r="D656" s="130" t="s">
        <v>134</v>
      </c>
      <c r="E656" s="130" t="s">
        <v>1711</v>
      </c>
      <c r="F656" s="130" t="s">
        <v>1712</v>
      </c>
      <c r="G656" s="130" t="s">
        <v>137</v>
      </c>
      <c r="I656" s="130" t="s">
        <v>1713</v>
      </c>
      <c r="J656" s="130" t="s">
        <v>159</v>
      </c>
      <c r="K656" s="130" t="s">
        <v>1711</v>
      </c>
      <c r="L656" s="130" t="s">
        <v>417</v>
      </c>
      <c r="M656" s="128">
        <v>7</v>
      </c>
      <c r="N656" s="128">
        <f t="shared" si="10"/>
        <v>-5</v>
      </c>
      <c r="O656" s="130" t="s">
        <v>134</v>
      </c>
      <c r="P656" s="130" t="s">
        <v>134</v>
      </c>
      <c r="Q656" s="130" t="s">
        <v>417</v>
      </c>
      <c r="R656" s="128">
        <v>7</v>
      </c>
      <c r="S656" s="130" t="s">
        <v>1708</v>
      </c>
    </row>
    <row r="657" spans="1:19" x14ac:dyDescent="0.25">
      <c r="A657" s="130" t="s">
        <v>1726</v>
      </c>
      <c r="B657" s="130" t="s">
        <v>1727</v>
      </c>
      <c r="C657" s="130" t="s">
        <v>134</v>
      </c>
      <c r="D657" s="130" t="s">
        <v>134</v>
      </c>
      <c r="E657" s="130" t="s">
        <v>1728</v>
      </c>
      <c r="F657" s="130" t="s">
        <v>1727</v>
      </c>
      <c r="G657" s="130" t="s">
        <v>137</v>
      </c>
      <c r="I657" s="130" t="s">
        <v>1703</v>
      </c>
      <c r="J657" s="130" t="s">
        <v>159</v>
      </c>
      <c r="K657" s="130" t="s">
        <v>1729</v>
      </c>
      <c r="L657" s="130" t="s">
        <v>1707</v>
      </c>
      <c r="M657" s="128">
        <v>7</v>
      </c>
      <c r="N657" s="128">
        <f t="shared" si="10"/>
        <v>2</v>
      </c>
      <c r="O657" s="130" t="s">
        <v>134</v>
      </c>
      <c r="P657" s="130" t="s">
        <v>134</v>
      </c>
      <c r="Q657" s="130" t="s">
        <v>1707</v>
      </c>
      <c r="R657" s="128">
        <v>7</v>
      </c>
      <c r="S657" s="130" t="s">
        <v>1708</v>
      </c>
    </row>
    <row r="658" spans="1:19" x14ac:dyDescent="0.25">
      <c r="A658" s="130" t="s">
        <v>1730</v>
      </c>
      <c r="B658" s="130" t="s">
        <v>1731</v>
      </c>
      <c r="C658" s="130" t="s">
        <v>134</v>
      </c>
      <c r="D658" s="130" t="s">
        <v>134</v>
      </c>
      <c r="E658" s="130" t="s">
        <v>1732</v>
      </c>
      <c r="F658" s="130" t="s">
        <v>1733</v>
      </c>
      <c r="G658" s="130" t="s">
        <v>137</v>
      </c>
      <c r="I658" s="130" t="s">
        <v>1703</v>
      </c>
      <c r="J658" s="130" t="s">
        <v>159</v>
      </c>
      <c r="K658" s="130" t="s">
        <v>1729</v>
      </c>
      <c r="L658" s="130" t="s">
        <v>1707</v>
      </c>
      <c r="M658" s="128">
        <v>7</v>
      </c>
      <c r="N658" s="128">
        <f t="shared" si="10"/>
        <v>2</v>
      </c>
      <c r="O658" s="130" t="s">
        <v>134</v>
      </c>
      <c r="P658" s="130" t="s">
        <v>134</v>
      </c>
      <c r="Q658" s="130" t="s">
        <v>1707</v>
      </c>
      <c r="R658" s="128">
        <v>7</v>
      </c>
      <c r="S658" s="130" t="s">
        <v>1708</v>
      </c>
    </row>
    <row r="659" spans="1:19" x14ac:dyDescent="0.25">
      <c r="A659" s="130" t="s">
        <v>1734</v>
      </c>
      <c r="B659" s="130" t="s">
        <v>1735</v>
      </c>
      <c r="C659" s="130" t="s">
        <v>134</v>
      </c>
      <c r="D659" s="130" t="s">
        <v>134</v>
      </c>
      <c r="E659" s="130" t="s">
        <v>1732</v>
      </c>
      <c r="F659" s="130" t="s">
        <v>1733</v>
      </c>
      <c r="G659" s="130" t="s">
        <v>137</v>
      </c>
      <c r="I659" s="130" t="s">
        <v>1703</v>
      </c>
      <c r="J659" s="130" t="s">
        <v>159</v>
      </c>
      <c r="K659" s="130" t="s">
        <v>1729</v>
      </c>
      <c r="L659" s="130" t="s">
        <v>1707</v>
      </c>
      <c r="M659" s="128">
        <v>7</v>
      </c>
      <c r="N659" s="128">
        <f t="shared" si="10"/>
        <v>2</v>
      </c>
      <c r="O659" s="130" t="s">
        <v>134</v>
      </c>
      <c r="P659" s="130" t="s">
        <v>134</v>
      </c>
      <c r="Q659" s="130" t="s">
        <v>1707</v>
      </c>
      <c r="R659" s="128">
        <v>7</v>
      </c>
      <c r="S659" s="130" t="s">
        <v>1708</v>
      </c>
    </row>
    <row r="660" spans="1:19" x14ac:dyDescent="0.25">
      <c r="A660" s="130" t="s">
        <v>1736</v>
      </c>
      <c r="B660" s="130" t="s">
        <v>1737</v>
      </c>
      <c r="C660" s="130" t="s">
        <v>134</v>
      </c>
      <c r="D660" s="130" t="s">
        <v>134</v>
      </c>
      <c r="E660" s="130" t="s">
        <v>1732</v>
      </c>
      <c r="F660" s="130" t="s">
        <v>1733</v>
      </c>
      <c r="G660" s="130" t="s">
        <v>137</v>
      </c>
      <c r="I660" s="130" t="s">
        <v>1703</v>
      </c>
      <c r="J660" s="130" t="s">
        <v>159</v>
      </c>
      <c r="K660" s="130" t="s">
        <v>1729</v>
      </c>
      <c r="L660" s="130" t="s">
        <v>1707</v>
      </c>
      <c r="M660" s="128">
        <v>7</v>
      </c>
      <c r="N660" s="128">
        <f t="shared" si="10"/>
        <v>2</v>
      </c>
      <c r="O660" s="130" t="s">
        <v>134</v>
      </c>
      <c r="P660" s="130" t="s">
        <v>134</v>
      </c>
      <c r="Q660" s="130" t="s">
        <v>1707</v>
      </c>
      <c r="R660" s="128">
        <v>7</v>
      </c>
      <c r="S660" s="130" t="s">
        <v>1708</v>
      </c>
    </row>
    <row r="661" spans="1:19" x14ac:dyDescent="0.25">
      <c r="A661" s="130" t="s">
        <v>1738</v>
      </c>
      <c r="B661" s="130" t="s">
        <v>1739</v>
      </c>
      <c r="C661" s="130" t="s">
        <v>134</v>
      </c>
      <c r="D661" s="130" t="s">
        <v>134</v>
      </c>
      <c r="E661" s="130" t="s">
        <v>1740</v>
      </c>
      <c r="F661" s="130" t="s">
        <v>1739</v>
      </c>
      <c r="G661" s="130" t="s">
        <v>137</v>
      </c>
      <c r="I661" s="130" t="s">
        <v>1703</v>
      </c>
      <c r="J661" s="130" t="s">
        <v>159</v>
      </c>
      <c r="K661" s="130" t="s">
        <v>1729</v>
      </c>
      <c r="L661" s="130" t="s">
        <v>1707</v>
      </c>
      <c r="M661" s="128">
        <v>6</v>
      </c>
      <c r="N661" s="128">
        <f t="shared" si="10"/>
        <v>1</v>
      </c>
      <c r="O661" s="130" t="s">
        <v>134</v>
      </c>
      <c r="P661" s="130" t="s">
        <v>134</v>
      </c>
      <c r="Q661" s="130" t="s">
        <v>1707</v>
      </c>
      <c r="R661" s="128">
        <v>6</v>
      </c>
      <c r="S661" s="130" t="s">
        <v>1741</v>
      </c>
    </row>
    <row r="662" spans="1:19" x14ac:dyDescent="0.25">
      <c r="A662" s="130" t="s">
        <v>1742</v>
      </c>
      <c r="B662" s="130" t="s">
        <v>1743</v>
      </c>
      <c r="C662" s="130" t="s">
        <v>134</v>
      </c>
      <c r="D662" s="130" t="s">
        <v>134</v>
      </c>
      <c r="E662" s="130" t="s">
        <v>1744</v>
      </c>
      <c r="F662" s="130" t="s">
        <v>1745</v>
      </c>
      <c r="G662" s="130" t="s">
        <v>137</v>
      </c>
      <c r="I662" s="130" t="s">
        <v>1703</v>
      </c>
      <c r="J662" s="130" t="s">
        <v>159</v>
      </c>
      <c r="K662" s="130" t="s">
        <v>1744</v>
      </c>
      <c r="L662" s="130" t="s">
        <v>1707</v>
      </c>
      <c r="M662" s="128">
        <v>7</v>
      </c>
      <c r="N662" s="128">
        <f t="shared" si="10"/>
        <v>2</v>
      </c>
      <c r="O662" s="130" t="s">
        <v>134</v>
      </c>
      <c r="P662" s="130" t="s">
        <v>134</v>
      </c>
      <c r="Q662" s="130" t="s">
        <v>1707</v>
      </c>
      <c r="R662" s="128">
        <v>7</v>
      </c>
      <c r="S662" s="130" t="s">
        <v>1708</v>
      </c>
    </row>
    <row r="663" spans="1:19" x14ac:dyDescent="0.25">
      <c r="A663" s="130" t="s">
        <v>1746</v>
      </c>
      <c r="B663" s="130" t="s">
        <v>1747</v>
      </c>
      <c r="C663" s="130" t="s">
        <v>1020</v>
      </c>
      <c r="D663" s="130" t="s">
        <v>1020</v>
      </c>
      <c r="E663" s="130" t="s">
        <v>1744</v>
      </c>
      <c r="F663" s="130" t="s">
        <v>1745</v>
      </c>
      <c r="G663" s="130" t="s">
        <v>137</v>
      </c>
      <c r="I663" s="130" t="s">
        <v>1703</v>
      </c>
      <c r="J663" s="130" t="s">
        <v>159</v>
      </c>
      <c r="K663" s="130" t="s">
        <v>1744</v>
      </c>
      <c r="L663" s="130" t="s">
        <v>160</v>
      </c>
      <c r="M663" s="128">
        <v>0</v>
      </c>
      <c r="N663" s="128">
        <f t="shared" si="10"/>
        <v>0</v>
      </c>
      <c r="O663" s="130" t="s">
        <v>1020</v>
      </c>
      <c r="P663" s="130" t="s">
        <v>1020</v>
      </c>
      <c r="Q663" s="130" t="s">
        <v>160</v>
      </c>
      <c r="R663" s="128">
        <v>0</v>
      </c>
      <c r="S663" s="130" t="s">
        <v>1708</v>
      </c>
    </row>
    <row r="664" spans="1:19" x14ac:dyDescent="0.25">
      <c r="A664" s="130" t="s">
        <v>1748</v>
      </c>
      <c r="B664" s="130" t="s">
        <v>1749</v>
      </c>
      <c r="C664" s="130" t="s">
        <v>134</v>
      </c>
      <c r="D664" s="130" t="s">
        <v>134</v>
      </c>
      <c r="E664" s="130" t="s">
        <v>1744</v>
      </c>
      <c r="F664" s="130" t="s">
        <v>1745</v>
      </c>
      <c r="G664" s="130" t="s">
        <v>137</v>
      </c>
      <c r="I664" s="130" t="s">
        <v>1703</v>
      </c>
      <c r="J664" s="130" t="s">
        <v>159</v>
      </c>
      <c r="K664" s="130" t="s">
        <v>1744</v>
      </c>
      <c r="L664" s="130" t="s">
        <v>1707</v>
      </c>
      <c r="M664" s="128">
        <v>7</v>
      </c>
      <c r="N664" s="128">
        <f t="shared" si="10"/>
        <v>2</v>
      </c>
      <c r="O664" s="130" t="s">
        <v>134</v>
      </c>
      <c r="P664" s="130" t="s">
        <v>134</v>
      </c>
      <c r="Q664" s="130" t="s">
        <v>1707</v>
      </c>
      <c r="R664" s="128">
        <v>7</v>
      </c>
      <c r="S664" s="130" t="s">
        <v>1708</v>
      </c>
    </row>
    <row r="665" spans="1:19" x14ac:dyDescent="0.25">
      <c r="A665" s="130" t="s">
        <v>1750</v>
      </c>
      <c r="B665" s="130" t="s">
        <v>1751</v>
      </c>
      <c r="C665" s="130" t="s">
        <v>134</v>
      </c>
      <c r="D665" s="130" t="s">
        <v>134</v>
      </c>
      <c r="E665" s="130" t="s">
        <v>1744</v>
      </c>
      <c r="F665" s="130" t="s">
        <v>1745</v>
      </c>
      <c r="G665" s="130" t="s">
        <v>137</v>
      </c>
      <c r="I665" s="130" t="s">
        <v>1703</v>
      </c>
      <c r="J665" s="130" t="s">
        <v>159</v>
      </c>
      <c r="K665" s="130" t="s">
        <v>1744</v>
      </c>
      <c r="L665" s="130" t="s">
        <v>1707</v>
      </c>
      <c r="M665" s="128">
        <v>7</v>
      </c>
      <c r="N665" s="128">
        <f t="shared" si="10"/>
        <v>2</v>
      </c>
      <c r="O665" s="130" t="s">
        <v>134</v>
      </c>
      <c r="P665" s="130" t="s">
        <v>134</v>
      </c>
      <c r="Q665" s="130" t="s">
        <v>1707</v>
      </c>
      <c r="R665" s="128">
        <v>7</v>
      </c>
      <c r="S665" s="130" t="s">
        <v>1708</v>
      </c>
    </row>
    <row r="666" spans="1:19" x14ac:dyDescent="0.25">
      <c r="A666" s="130" t="s">
        <v>1752</v>
      </c>
      <c r="B666" s="130" t="s">
        <v>1753</v>
      </c>
      <c r="C666" s="130" t="s">
        <v>134</v>
      </c>
      <c r="D666" s="130" t="s">
        <v>134</v>
      </c>
      <c r="E666" s="130" t="s">
        <v>1744</v>
      </c>
      <c r="F666" s="130" t="s">
        <v>1745</v>
      </c>
      <c r="G666" s="130" t="s">
        <v>137</v>
      </c>
      <c r="I666" s="130" t="s">
        <v>1703</v>
      </c>
      <c r="J666" s="130" t="s">
        <v>159</v>
      </c>
      <c r="K666" s="130" t="s">
        <v>1744</v>
      </c>
      <c r="L666" s="130" t="s">
        <v>1707</v>
      </c>
      <c r="M666" s="128">
        <v>7</v>
      </c>
      <c r="N666" s="128">
        <f t="shared" si="10"/>
        <v>2</v>
      </c>
      <c r="O666" s="130" t="s">
        <v>134</v>
      </c>
      <c r="P666" s="130" t="s">
        <v>134</v>
      </c>
      <c r="Q666" s="130" t="s">
        <v>1707</v>
      </c>
      <c r="R666" s="128">
        <v>7</v>
      </c>
      <c r="S666" s="130" t="s">
        <v>1708</v>
      </c>
    </row>
    <row r="667" spans="1:19" x14ac:dyDescent="0.25">
      <c r="A667" s="130" t="s">
        <v>1754</v>
      </c>
      <c r="B667" s="130" t="s">
        <v>1755</v>
      </c>
      <c r="C667" s="130" t="s">
        <v>159</v>
      </c>
      <c r="D667" s="130" t="s">
        <v>159</v>
      </c>
      <c r="E667" s="130" t="s">
        <v>1756</v>
      </c>
      <c r="F667" s="130" t="s">
        <v>1757</v>
      </c>
      <c r="G667" s="130" t="s">
        <v>137</v>
      </c>
      <c r="H667" s="130" t="s">
        <v>159</v>
      </c>
      <c r="I667" s="130" t="s">
        <v>1703</v>
      </c>
      <c r="J667" s="130" t="s">
        <v>159</v>
      </c>
      <c r="K667" s="130" t="s">
        <v>1758</v>
      </c>
      <c r="L667" s="130" t="s">
        <v>554</v>
      </c>
      <c r="M667" s="128">
        <v>6</v>
      </c>
      <c r="N667" s="128">
        <f t="shared" si="10"/>
        <v>-3</v>
      </c>
      <c r="O667" s="130" t="s">
        <v>159</v>
      </c>
      <c r="P667" s="130" t="s">
        <v>159</v>
      </c>
      <c r="Q667" s="130" t="s">
        <v>160</v>
      </c>
      <c r="R667" s="128">
        <v>0</v>
      </c>
      <c r="S667" s="130" t="s">
        <v>1759</v>
      </c>
    </row>
    <row r="668" spans="1:19" x14ac:dyDescent="0.25">
      <c r="A668" s="130" t="s">
        <v>1760</v>
      </c>
      <c r="B668" s="130" t="s">
        <v>1761</v>
      </c>
      <c r="C668" s="130" t="s">
        <v>159</v>
      </c>
      <c r="D668" s="130" t="s">
        <v>159</v>
      </c>
      <c r="E668" s="130" t="s">
        <v>1762</v>
      </c>
      <c r="F668" s="130" t="s">
        <v>1763</v>
      </c>
      <c r="G668" s="130" t="s">
        <v>137</v>
      </c>
      <c r="H668" s="130" t="s">
        <v>159</v>
      </c>
      <c r="I668" s="130" t="s">
        <v>1703</v>
      </c>
      <c r="J668" s="130" t="s">
        <v>159</v>
      </c>
      <c r="K668" s="130" t="s">
        <v>1758</v>
      </c>
      <c r="L668" s="130" t="s">
        <v>554</v>
      </c>
      <c r="M668" s="128">
        <v>6</v>
      </c>
      <c r="N668" s="128">
        <f t="shared" si="10"/>
        <v>-3</v>
      </c>
      <c r="O668" s="130" t="s">
        <v>159</v>
      </c>
      <c r="P668" s="130" t="s">
        <v>159</v>
      </c>
      <c r="Q668" s="130" t="s">
        <v>160</v>
      </c>
      <c r="R668" s="128">
        <v>0</v>
      </c>
      <c r="S668" s="130" t="s">
        <v>1759</v>
      </c>
    </row>
    <row r="669" spans="1:19" x14ac:dyDescent="0.25">
      <c r="A669" s="130" t="s">
        <v>1764</v>
      </c>
      <c r="B669" s="130" t="s">
        <v>1765</v>
      </c>
      <c r="C669" s="130" t="s">
        <v>159</v>
      </c>
      <c r="D669" s="130" t="s">
        <v>159</v>
      </c>
      <c r="E669" s="130" t="s">
        <v>1766</v>
      </c>
      <c r="F669" s="130" t="s">
        <v>1767</v>
      </c>
      <c r="G669" s="130" t="s">
        <v>137</v>
      </c>
      <c r="H669" s="130" t="s">
        <v>159</v>
      </c>
      <c r="I669" s="130" t="s">
        <v>1703</v>
      </c>
      <c r="J669" s="130" t="s">
        <v>159</v>
      </c>
      <c r="K669" s="130" t="s">
        <v>1758</v>
      </c>
      <c r="L669" s="130" t="s">
        <v>543</v>
      </c>
      <c r="M669" s="128">
        <v>6</v>
      </c>
      <c r="N669" s="128">
        <f t="shared" si="10"/>
        <v>-2</v>
      </c>
      <c r="O669" s="130" t="s">
        <v>159</v>
      </c>
      <c r="P669" s="130" t="s">
        <v>159</v>
      </c>
      <c r="Q669" s="130" t="s">
        <v>160</v>
      </c>
      <c r="R669" s="128">
        <v>0</v>
      </c>
      <c r="S669" s="130" t="s">
        <v>1759</v>
      </c>
    </row>
    <row r="670" spans="1:19" x14ac:dyDescent="0.25">
      <c r="A670" s="130" t="s">
        <v>1768</v>
      </c>
      <c r="B670" s="130" t="s">
        <v>1769</v>
      </c>
      <c r="C670" s="130" t="s">
        <v>159</v>
      </c>
      <c r="D670" s="130" t="s">
        <v>159</v>
      </c>
      <c r="E670" s="130" t="s">
        <v>1770</v>
      </c>
      <c r="F670" s="130" t="s">
        <v>1771</v>
      </c>
      <c r="G670" s="130" t="s">
        <v>137</v>
      </c>
      <c r="H670" s="130" t="s">
        <v>159</v>
      </c>
      <c r="I670" s="130" t="s">
        <v>1703</v>
      </c>
      <c r="J670" s="130" t="s">
        <v>159</v>
      </c>
      <c r="K670" s="130" t="s">
        <v>1758</v>
      </c>
      <c r="L670" s="130" t="s">
        <v>543</v>
      </c>
      <c r="M670" s="128">
        <v>6</v>
      </c>
      <c r="N670" s="128">
        <f t="shared" si="10"/>
        <v>-2</v>
      </c>
      <c r="O670" s="130" t="s">
        <v>159</v>
      </c>
      <c r="P670" s="130" t="s">
        <v>159</v>
      </c>
      <c r="Q670" s="130" t="s">
        <v>160</v>
      </c>
      <c r="R670" s="128">
        <v>0</v>
      </c>
      <c r="S670" s="130" t="s">
        <v>1759</v>
      </c>
    </row>
    <row r="671" spans="1:19" x14ac:dyDescent="0.25">
      <c r="A671" s="130" t="s">
        <v>1772</v>
      </c>
      <c r="B671" s="130" t="s">
        <v>1773</v>
      </c>
      <c r="C671" s="130" t="s">
        <v>134</v>
      </c>
      <c r="D671" s="130" t="s">
        <v>134</v>
      </c>
      <c r="E671" s="130" t="s">
        <v>1758</v>
      </c>
      <c r="F671" s="130" t="s">
        <v>1774</v>
      </c>
      <c r="G671" s="130" t="s">
        <v>137</v>
      </c>
      <c r="I671" s="130" t="s">
        <v>1703</v>
      </c>
      <c r="J671" s="130" t="s">
        <v>159</v>
      </c>
      <c r="K671" s="130" t="s">
        <v>1758</v>
      </c>
      <c r="L671" s="130" t="s">
        <v>543</v>
      </c>
      <c r="M671" s="128">
        <v>6</v>
      </c>
      <c r="N671" s="128">
        <f t="shared" si="10"/>
        <v>-2</v>
      </c>
      <c r="O671" s="130" t="s">
        <v>134</v>
      </c>
      <c r="P671" s="130" t="s">
        <v>134</v>
      </c>
      <c r="Q671" s="130" t="s">
        <v>543</v>
      </c>
      <c r="R671" s="128">
        <v>6</v>
      </c>
      <c r="S671" s="130" t="s">
        <v>1759</v>
      </c>
    </row>
    <row r="672" spans="1:19" x14ac:dyDescent="0.25">
      <c r="A672" s="130" t="s">
        <v>1775</v>
      </c>
      <c r="B672" s="130" t="s">
        <v>1776</v>
      </c>
      <c r="C672" s="130" t="s">
        <v>134</v>
      </c>
      <c r="D672" s="130" t="s">
        <v>134</v>
      </c>
      <c r="E672" s="130" t="s">
        <v>1777</v>
      </c>
      <c r="F672" s="130" t="s">
        <v>1778</v>
      </c>
      <c r="G672" s="130" t="s">
        <v>137</v>
      </c>
      <c r="I672" s="130" t="s">
        <v>1703</v>
      </c>
      <c r="J672" s="130" t="s">
        <v>159</v>
      </c>
      <c r="K672" s="130" t="s">
        <v>1779</v>
      </c>
      <c r="L672" s="130" t="s">
        <v>543</v>
      </c>
      <c r="M672" s="128">
        <v>5</v>
      </c>
      <c r="N672" s="128">
        <f t="shared" si="10"/>
        <v>-3</v>
      </c>
      <c r="O672" s="130" t="s">
        <v>134</v>
      </c>
      <c r="P672" s="130" t="s">
        <v>134</v>
      </c>
      <c r="Q672" s="130" t="s">
        <v>543</v>
      </c>
      <c r="R672" s="128">
        <v>5</v>
      </c>
      <c r="S672" s="130" t="s">
        <v>1780</v>
      </c>
    </row>
    <row r="673" spans="1:19" x14ac:dyDescent="0.25">
      <c r="A673" s="130" t="s">
        <v>1781</v>
      </c>
      <c r="B673" s="130" t="s">
        <v>1782</v>
      </c>
      <c r="C673" s="130" t="s">
        <v>134</v>
      </c>
      <c r="D673" s="130" t="s">
        <v>134</v>
      </c>
      <c r="E673" s="130" t="s">
        <v>1777</v>
      </c>
      <c r="F673" s="130" t="s">
        <v>1778</v>
      </c>
      <c r="G673" s="130" t="s">
        <v>137</v>
      </c>
      <c r="I673" s="130" t="s">
        <v>1703</v>
      </c>
      <c r="J673" s="130" t="s">
        <v>159</v>
      </c>
      <c r="K673" s="130" t="s">
        <v>1779</v>
      </c>
      <c r="L673" s="130" t="s">
        <v>543</v>
      </c>
      <c r="M673" s="128">
        <v>5</v>
      </c>
      <c r="N673" s="128">
        <f t="shared" si="10"/>
        <v>-3</v>
      </c>
      <c r="O673" s="130" t="s">
        <v>134</v>
      </c>
      <c r="P673" s="130" t="s">
        <v>134</v>
      </c>
      <c r="Q673" s="130" t="s">
        <v>543</v>
      </c>
      <c r="R673" s="128">
        <v>5</v>
      </c>
      <c r="S673" s="130" t="s">
        <v>1780</v>
      </c>
    </row>
    <row r="674" spans="1:19" x14ac:dyDescent="0.25">
      <c r="A674" s="130" t="s">
        <v>1783</v>
      </c>
      <c r="B674" s="130" t="s">
        <v>1784</v>
      </c>
      <c r="C674" s="130" t="s">
        <v>134</v>
      </c>
      <c r="D674" s="130" t="s">
        <v>134</v>
      </c>
      <c r="E674" s="130" t="s">
        <v>1777</v>
      </c>
      <c r="F674" s="130" t="s">
        <v>1778</v>
      </c>
      <c r="G674" s="130" t="s">
        <v>137</v>
      </c>
      <c r="I674" s="130" t="s">
        <v>1703</v>
      </c>
      <c r="J674" s="130" t="s">
        <v>159</v>
      </c>
      <c r="K674" s="130" t="s">
        <v>1779</v>
      </c>
      <c r="L674" s="130" t="s">
        <v>543</v>
      </c>
      <c r="M674" s="128">
        <v>5</v>
      </c>
      <c r="N674" s="128">
        <f t="shared" si="10"/>
        <v>-3</v>
      </c>
      <c r="O674" s="130" t="s">
        <v>134</v>
      </c>
      <c r="P674" s="130" t="s">
        <v>134</v>
      </c>
      <c r="Q674" s="130" t="s">
        <v>543</v>
      </c>
      <c r="R674" s="128">
        <v>5</v>
      </c>
      <c r="S674" s="130" t="s">
        <v>1780</v>
      </c>
    </row>
    <row r="675" spans="1:19" x14ac:dyDescent="0.25">
      <c r="A675" s="130" t="s">
        <v>1785</v>
      </c>
      <c r="B675" s="130" t="s">
        <v>1786</v>
      </c>
      <c r="C675" s="130" t="s">
        <v>134</v>
      </c>
      <c r="D675" s="130" t="s">
        <v>134</v>
      </c>
      <c r="E675" s="130" t="s">
        <v>1777</v>
      </c>
      <c r="F675" s="130" t="s">
        <v>1778</v>
      </c>
      <c r="G675" s="130" t="s">
        <v>137</v>
      </c>
      <c r="I675" s="130" t="s">
        <v>1703</v>
      </c>
      <c r="J675" s="130" t="s">
        <v>159</v>
      </c>
      <c r="K675" s="130" t="s">
        <v>1779</v>
      </c>
      <c r="L675" s="130" t="s">
        <v>543</v>
      </c>
      <c r="M675" s="128">
        <v>5</v>
      </c>
      <c r="N675" s="128">
        <f t="shared" si="10"/>
        <v>-3</v>
      </c>
      <c r="O675" s="130" t="s">
        <v>134</v>
      </c>
      <c r="P675" s="130" t="s">
        <v>134</v>
      </c>
      <c r="Q675" s="130" t="s">
        <v>543</v>
      </c>
      <c r="R675" s="128">
        <v>5</v>
      </c>
      <c r="S675" s="130" t="s">
        <v>1780</v>
      </c>
    </row>
    <row r="676" spans="1:19" x14ac:dyDescent="0.25">
      <c r="A676" s="130" t="s">
        <v>1787</v>
      </c>
      <c r="B676" s="130" t="s">
        <v>1788</v>
      </c>
      <c r="C676" s="130" t="s">
        <v>134</v>
      </c>
      <c r="D676" s="130" t="s">
        <v>134</v>
      </c>
      <c r="E676" s="130" t="s">
        <v>1777</v>
      </c>
      <c r="F676" s="130" t="s">
        <v>1778</v>
      </c>
      <c r="G676" s="130" t="s">
        <v>137</v>
      </c>
      <c r="I676" s="130" t="s">
        <v>1703</v>
      </c>
      <c r="J676" s="130" t="s">
        <v>159</v>
      </c>
      <c r="K676" s="130" t="s">
        <v>1779</v>
      </c>
      <c r="L676" s="130" t="s">
        <v>543</v>
      </c>
      <c r="M676" s="128">
        <v>5</v>
      </c>
      <c r="N676" s="128">
        <f t="shared" si="10"/>
        <v>-3</v>
      </c>
      <c r="O676" s="130" t="s">
        <v>134</v>
      </c>
      <c r="P676" s="130" t="s">
        <v>134</v>
      </c>
      <c r="Q676" s="130" t="s">
        <v>543</v>
      </c>
      <c r="R676" s="128">
        <v>5</v>
      </c>
      <c r="S676" s="130" t="s">
        <v>1780</v>
      </c>
    </row>
    <row r="677" spans="1:19" x14ac:dyDescent="0.25">
      <c r="A677" s="130" t="s">
        <v>1789</v>
      </c>
      <c r="B677" s="130" t="s">
        <v>1790</v>
      </c>
      <c r="C677" s="130" t="s">
        <v>134</v>
      </c>
      <c r="D677" s="130" t="s">
        <v>134</v>
      </c>
      <c r="E677" s="130" t="s">
        <v>1777</v>
      </c>
      <c r="F677" s="130" t="s">
        <v>1778</v>
      </c>
      <c r="G677" s="130" t="s">
        <v>137</v>
      </c>
      <c r="I677" s="130" t="s">
        <v>1703</v>
      </c>
      <c r="J677" s="130" t="s">
        <v>159</v>
      </c>
      <c r="K677" s="130" t="s">
        <v>1779</v>
      </c>
      <c r="L677" s="130" t="s">
        <v>543</v>
      </c>
      <c r="M677" s="128">
        <v>5</v>
      </c>
      <c r="N677" s="128">
        <f t="shared" si="10"/>
        <v>-3</v>
      </c>
      <c r="O677" s="130" t="s">
        <v>134</v>
      </c>
      <c r="P677" s="130" t="s">
        <v>134</v>
      </c>
      <c r="Q677" s="130" t="s">
        <v>543</v>
      </c>
      <c r="R677" s="128">
        <v>5</v>
      </c>
      <c r="S677" s="130" t="s">
        <v>1780</v>
      </c>
    </row>
    <row r="678" spans="1:19" x14ac:dyDescent="0.25">
      <c r="A678" s="130" t="s">
        <v>1791</v>
      </c>
      <c r="B678" s="130" t="s">
        <v>1792</v>
      </c>
      <c r="C678" s="130" t="s">
        <v>134</v>
      </c>
      <c r="D678" s="130" t="s">
        <v>134</v>
      </c>
      <c r="E678" s="130" t="s">
        <v>1777</v>
      </c>
      <c r="F678" s="130" t="s">
        <v>1778</v>
      </c>
      <c r="G678" s="130" t="s">
        <v>137</v>
      </c>
      <c r="I678" s="130" t="s">
        <v>1703</v>
      </c>
      <c r="J678" s="130" t="s">
        <v>159</v>
      </c>
      <c r="K678" s="130" t="s">
        <v>1779</v>
      </c>
      <c r="L678" s="130" t="s">
        <v>543</v>
      </c>
      <c r="M678" s="128">
        <v>5</v>
      </c>
      <c r="N678" s="128">
        <f t="shared" si="10"/>
        <v>-3</v>
      </c>
      <c r="O678" s="130" t="s">
        <v>134</v>
      </c>
      <c r="P678" s="130" t="s">
        <v>134</v>
      </c>
      <c r="Q678" s="130" t="s">
        <v>543</v>
      </c>
      <c r="R678" s="128">
        <v>5</v>
      </c>
      <c r="S678" s="130" t="s">
        <v>1780</v>
      </c>
    </row>
    <row r="679" spans="1:19" x14ac:dyDescent="0.25">
      <c r="A679" s="130" t="s">
        <v>1793</v>
      </c>
      <c r="B679" s="130" t="s">
        <v>1794</v>
      </c>
      <c r="C679" s="130" t="s">
        <v>134</v>
      </c>
      <c r="D679" s="130" t="s">
        <v>134</v>
      </c>
      <c r="E679" s="130" t="s">
        <v>1795</v>
      </c>
      <c r="F679" s="130" t="s">
        <v>1796</v>
      </c>
      <c r="G679" s="130" t="s">
        <v>159</v>
      </c>
      <c r="I679" s="130" t="s">
        <v>1703</v>
      </c>
      <c r="J679" s="130" t="s">
        <v>159</v>
      </c>
      <c r="K679" s="130" t="s">
        <v>1779</v>
      </c>
      <c r="L679" s="130" t="s">
        <v>543</v>
      </c>
      <c r="M679" s="128">
        <v>5</v>
      </c>
      <c r="N679" s="128">
        <f t="shared" si="10"/>
        <v>-3</v>
      </c>
      <c r="O679" s="130" t="s">
        <v>134</v>
      </c>
      <c r="P679" s="130" t="s">
        <v>134</v>
      </c>
      <c r="Q679" s="130" t="s">
        <v>543</v>
      </c>
      <c r="R679" s="128">
        <v>5</v>
      </c>
      <c r="S679" s="130" t="s">
        <v>1780</v>
      </c>
    </row>
    <row r="680" spans="1:19" x14ac:dyDescent="0.25">
      <c r="A680" s="130" t="s">
        <v>1797</v>
      </c>
      <c r="B680" s="130" t="s">
        <v>1798</v>
      </c>
      <c r="C680" s="130" t="s">
        <v>134</v>
      </c>
      <c r="D680" s="130" t="s">
        <v>134</v>
      </c>
      <c r="E680" s="130" t="s">
        <v>1799</v>
      </c>
      <c r="F680" s="130" t="s">
        <v>1800</v>
      </c>
      <c r="G680" s="130" t="s">
        <v>159</v>
      </c>
      <c r="I680" s="130" t="s">
        <v>1703</v>
      </c>
      <c r="J680" s="130" t="s">
        <v>159</v>
      </c>
      <c r="K680" s="130" t="s">
        <v>1779</v>
      </c>
      <c r="L680" s="130" t="s">
        <v>543</v>
      </c>
      <c r="M680" s="128">
        <v>5</v>
      </c>
      <c r="N680" s="128">
        <f t="shared" si="10"/>
        <v>-3</v>
      </c>
      <c r="O680" s="130" t="s">
        <v>134</v>
      </c>
      <c r="P680" s="130" t="s">
        <v>134</v>
      </c>
      <c r="Q680" s="130" t="s">
        <v>543</v>
      </c>
      <c r="R680" s="128">
        <v>5</v>
      </c>
      <c r="S680" s="130" t="s">
        <v>1780</v>
      </c>
    </row>
    <row r="681" spans="1:19" x14ac:dyDescent="0.25">
      <c r="A681" s="130" t="s">
        <v>1801</v>
      </c>
      <c r="B681" s="130" t="s">
        <v>1802</v>
      </c>
      <c r="C681" s="130" t="s">
        <v>134</v>
      </c>
      <c r="D681" s="130" t="s">
        <v>134</v>
      </c>
      <c r="E681" s="130" t="s">
        <v>1799</v>
      </c>
      <c r="F681" s="130" t="s">
        <v>1800</v>
      </c>
      <c r="G681" s="130" t="s">
        <v>159</v>
      </c>
      <c r="I681" s="130" t="s">
        <v>1703</v>
      </c>
      <c r="J681" s="130" t="s">
        <v>159</v>
      </c>
      <c r="K681" s="130" t="s">
        <v>1779</v>
      </c>
      <c r="L681" s="130" t="s">
        <v>543</v>
      </c>
      <c r="M681" s="128">
        <v>5</v>
      </c>
      <c r="N681" s="128">
        <f t="shared" si="10"/>
        <v>-3</v>
      </c>
      <c r="O681" s="130" t="s">
        <v>134</v>
      </c>
      <c r="P681" s="130" t="s">
        <v>134</v>
      </c>
      <c r="Q681" s="130" t="s">
        <v>543</v>
      </c>
      <c r="R681" s="128">
        <v>5</v>
      </c>
      <c r="S681" s="130" t="s">
        <v>1780</v>
      </c>
    </row>
    <row r="682" spans="1:19" x14ac:dyDescent="0.25">
      <c r="A682" s="130" t="s">
        <v>1803</v>
      </c>
      <c r="B682" s="130" t="s">
        <v>1804</v>
      </c>
      <c r="C682" s="130" t="s">
        <v>134</v>
      </c>
      <c r="D682" s="130" t="s">
        <v>134</v>
      </c>
      <c r="E682" s="130" t="s">
        <v>1777</v>
      </c>
      <c r="F682" s="130" t="s">
        <v>1778</v>
      </c>
      <c r="G682" s="130" t="s">
        <v>137</v>
      </c>
      <c r="I682" s="130" t="s">
        <v>1703</v>
      </c>
      <c r="J682" s="130" t="s">
        <v>159</v>
      </c>
      <c r="K682" s="130" t="s">
        <v>1779</v>
      </c>
      <c r="L682" s="130" t="s">
        <v>543</v>
      </c>
      <c r="M682" s="128">
        <v>5</v>
      </c>
      <c r="N682" s="128">
        <f t="shared" si="10"/>
        <v>-3</v>
      </c>
      <c r="O682" s="130" t="s">
        <v>134</v>
      </c>
      <c r="P682" s="130" t="s">
        <v>134</v>
      </c>
      <c r="Q682" s="130" t="s">
        <v>543</v>
      </c>
      <c r="R682" s="128">
        <v>5</v>
      </c>
      <c r="S682" s="130" t="s">
        <v>1780</v>
      </c>
    </row>
    <row r="683" spans="1:19" x14ac:dyDescent="0.25">
      <c r="A683" s="130" t="s">
        <v>1805</v>
      </c>
      <c r="B683" s="130" t="s">
        <v>1806</v>
      </c>
      <c r="C683" s="130" t="s">
        <v>134</v>
      </c>
      <c r="D683" s="130" t="s">
        <v>134</v>
      </c>
      <c r="E683" s="130" t="s">
        <v>1777</v>
      </c>
      <c r="F683" s="130" t="s">
        <v>1778</v>
      </c>
      <c r="G683" s="130" t="s">
        <v>137</v>
      </c>
      <c r="I683" s="130" t="s">
        <v>1703</v>
      </c>
      <c r="J683" s="130" t="s">
        <v>159</v>
      </c>
      <c r="K683" s="130" t="s">
        <v>1779</v>
      </c>
      <c r="L683" s="130" t="s">
        <v>543</v>
      </c>
      <c r="M683" s="128">
        <v>5</v>
      </c>
      <c r="N683" s="128">
        <f t="shared" si="10"/>
        <v>-3</v>
      </c>
      <c r="O683" s="130" t="s">
        <v>134</v>
      </c>
      <c r="P683" s="130" t="s">
        <v>134</v>
      </c>
      <c r="Q683" s="130" t="s">
        <v>543</v>
      </c>
      <c r="R683" s="128">
        <v>5</v>
      </c>
      <c r="S683" s="130" t="s">
        <v>1780</v>
      </c>
    </row>
    <row r="684" spans="1:19" x14ac:dyDescent="0.25">
      <c r="A684" s="130" t="s">
        <v>1807</v>
      </c>
      <c r="B684" s="130" t="s">
        <v>1808</v>
      </c>
      <c r="C684" s="130" t="s">
        <v>134</v>
      </c>
      <c r="D684" s="130" t="s">
        <v>134</v>
      </c>
      <c r="E684" s="130" t="s">
        <v>1777</v>
      </c>
      <c r="F684" s="130" t="s">
        <v>1778</v>
      </c>
      <c r="G684" s="130" t="s">
        <v>137</v>
      </c>
      <c r="I684" s="130" t="s">
        <v>1703</v>
      </c>
      <c r="J684" s="130" t="s">
        <v>159</v>
      </c>
      <c r="K684" s="130" t="s">
        <v>1779</v>
      </c>
      <c r="L684" s="130" t="s">
        <v>543</v>
      </c>
      <c r="M684" s="128">
        <v>5</v>
      </c>
      <c r="N684" s="128">
        <f t="shared" si="10"/>
        <v>-3</v>
      </c>
      <c r="O684" s="130" t="s">
        <v>134</v>
      </c>
      <c r="P684" s="130" t="s">
        <v>134</v>
      </c>
      <c r="Q684" s="130" t="s">
        <v>543</v>
      </c>
      <c r="R684" s="128">
        <v>5</v>
      </c>
      <c r="S684" s="130" t="s">
        <v>1780</v>
      </c>
    </row>
    <row r="685" spans="1:19" x14ac:dyDescent="0.25">
      <c r="A685" s="130" t="s">
        <v>1809</v>
      </c>
      <c r="B685" s="130" t="s">
        <v>1810</v>
      </c>
      <c r="C685" s="130" t="s">
        <v>134</v>
      </c>
      <c r="D685" s="130" t="s">
        <v>134</v>
      </c>
      <c r="E685" s="130" t="s">
        <v>1777</v>
      </c>
      <c r="F685" s="130" t="s">
        <v>1778</v>
      </c>
      <c r="G685" s="130" t="s">
        <v>137</v>
      </c>
      <c r="I685" s="130" t="s">
        <v>1703</v>
      </c>
      <c r="J685" s="130" t="s">
        <v>159</v>
      </c>
      <c r="K685" s="130" t="s">
        <v>1779</v>
      </c>
      <c r="L685" s="130" t="s">
        <v>543</v>
      </c>
      <c r="M685" s="128">
        <v>5</v>
      </c>
      <c r="N685" s="128">
        <f t="shared" si="10"/>
        <v>-3</v>
      </c>
      <c r="O685" s="130" t="s">
        <v>134</v>
      </c>
      <c r="P685" s="130" t="s">
        <v>134</v>
      </c>
      <c r="Q685" s="130" t="s">
        <v>543</v>
      </c>
      <c r="R685" s="128">
        <v>5</v>
      </c>
      <c r="S685" s="130" t="s">
        <v>1780</v>
      </c>
    </row>
    <row r="686" spans="1:19" x14ac:dyDescent="0.25">
      <c r="A686" s="130" t="s">
        <v>1811</v>
      </c>
      <c r="B686" s="130" t="s">
        <v>1812</v>
      </c>
      <c r="C686" s="130" t="s">
        <v>134</v>
      </c>
      <c r="D686" s="130" t="s">
        <v>134</v>
      </c>
      <c r="E686" s="130" t="s">
        <v>1777</v>
      </c>
      <c r="F686" s="130" t="s">
        <v>1778</v>
      </c>
      <c r="G686" s="130" t="s">
        <v>137</v>
      </c>
      <c r="I686" s="130" t="s">
        <v>1703</v>
      </c>
      <c r="J686" s="130" t="s">
        <v>159</v>
      </c>
      <c r="K686" s="130" t="s">
        <v>1779</v>
      </c>
      <c r="L686" s="130" t="s">
        <v>543</v>
      </c>
      <c r="M686" s="128">
        <v>5</v>
      </c>
      <c r="N686" s="128">
        <f t="shared" si="10"/>
        <v>-3</v>
      </c>
      <c r="O686" s="130" t="s">
        <v>134</v>
      </c>
      <c r="P686" s="130" t="s">
        <v>134</v>
      </c>
      <c r="Q686" s="130" t="s">
        <v>543</v>
      </c>
      <c r="R686" s="128">
        <v>5</v>
      </c>
      <c r="S686" s="130" t="s">
        <v>1780</v>
      </c>
    </row>
    <row r="687" spans="1:19" x14ac:dyDescent="0.25">
      <c r="A687" s="130" t="s">
        <v>1813</v>
      </c>
      <c r="B687" s="130" t="s">
        <v>1814</v>
      </c>
      <c r="C687" s="130" t="s">
        <v>134</v>
      </c>
      <c r="D687" s="130" t="s">
        <v>134</v>
      </c>
      <c r="E687" s="130" t="s">
        <v>1777</v>
      </c>
      <c r="F687" s="130" t="s">
        <v>1778</v>
      </c>
      <c r="G687" s="130" t="s">
        <v>137</v>
      </c>
      <c r="I687" s="130" t="s">
        <v>1703</v>
      </c>
      <c r="J687" s="130" t="s">
        <v>159</v>
      </c>
      <c r="K687" s="130" t="s">
        <v>1779</v>
      </c>
      <c r="L687" s="130" t="s">
        <v>543</v>
      </c>
      <c r="M687" s="128">
        <v>5</v>
      </c>
      <c r="N687" s="128">
        <f t="shared" si="10"/>
        <v>-3</v>
      </c>
      <c r="O687" s="130" t="s">
        <v>134</v>
      </c>
      <c r="P687" s="130" t="s">
        <v>134</v>
      </c>
      <c r="Q687" s="130" t="s">
        <v>543</v>
      </c>
      <c r="R687" s="128">
        <v>5</v>
      </c>
      <c r="S687" s="130" t="s">
        <v>1780</v>
      </c>
    </row>
    <row r="688" spans="1:19" x14ac:dyDescent="0.25">
      <c r="A688" s="130" t="s">
        <v>1815</v>
      </c>
      <c r="B688" s="130" t="s">
        <v>1816</v>
      </c>
      <c r="C688" s="130" t="s">
        <v>860</v>
      </c>
      <c r="D688" s="130" t="s">
        <v>860</v>
      </c>
      <c r="E688" s="130" t="s">
        <v>1817</v>
      </c>
      <c r="F688" s="130" t="s">
        <v>1818</v>
      </c>
      <c r="G688" s="130" t="s">
        <v>137</v>
      </c>
      <c r="I688" s="130" t="s">
        <v>1703</v>
      </c>
      <c r="J688" s="130" t="s">
        <v>159</v>
      </c>
      <c r="K688" s="130" t="s">
        <v>1817</v>
      </c>
      <c r="L688" s="130" t="s">
        <v>554</v>
      </c>
      <c r="M688" s="128">
        <v>6</v>
      </c>
      <c r="N688" s="128">
        <f t="shared" si="10"/>
        <v>-3</v>
      </c>
      <c r="O688" s="130" t="s">
        <v>860</v>
      </c>
      <c r="P688" s="130" t="s">
        <v>860</v>
      </c>
      <c r="Q688" s="130" t="s">
        <v>160</v>
      </c>
      <c r="R688" s="128">
        <v>0</v>
      </c>
      <c r="S688" s="130" t="s">
        <v>1819</v>
      </c>
    </row>
    <row r="689" spans="1:19" x14ac:dyDescent="0.25">
      <c r="A689" s="130" t="s">
        <v>1820</v>
      </c>
      <c r="B689" s="130" t="s">
        <v>1821</v>
      </c>
      <c r="C689" s="130" t="s">
        <v>860</v>
      </c>
      <c r="D689" s="130" t="s">
        <v>860</v>
      </c>
      <c r="E689" s="130" t="s">
        <v>1817</v>
      </c>
      <c r="F689" s="130" t="s">
        <v>1818</v>
      </c>
      <c r="G689" s="130" t="s">
        <v>137</v>
      </c>
      <c r="I689" s="130" t="s">
        <v>1703</v>
      </c>
      <c r="J689" s="130" t="s">
        <v>159</v>
      </c>
      <c r="K689" s="130" t="s">
        <v>1817</v>
      </c>
      <c r="L689" s="130" t="s">
        <v>554</v>
      </c>
      <c r="M689" s="128">
        <v>6</v>
      </c>
      <c r="N689" s="128">
        <f t="shared" si="10"/>
        <v>-3</v>
      </c>
      <c r="O689" s="130" t="s">
        <v>860</v>
      </c>
      <c r="P689" s="130" t="s">
        <v>860</v>
      </c>
      <c r="Q689" s="130" t="s">
        <v>160</v>
      </c>
      <c r="R689" s="128">
        <v>0</v>
      </c>
      <c r="S689" s="130" t="s">
        <v>1819</v>
      </c>
    </row>
    <row r="690" spans="1:19" x14ac:dyDescent="0.25">
      <c r="A690" s="130" t="s">
        <v>1822</v>
      </c>
      <c r="B690" s="130" t="s">
        <v>1823</v>
      </c>
      <c r="C690" s="130" t="s">
        <v>134</v>
      </c>
      <c r="D690" s="130" t="s">
        <v>134</v>
      </c>
      <c r="E690" s="130" t="s">
        <v>1817</v>
      </c>
      <c r="F690" s="130" t="s">
        <v>1818</v>
      </c>
      <c r="G690" s="130" t="s">
        <v>137</v>
      </c>
      <c r="I690" s="130" t="s">
        <v>1703</v>
      </c>
      <c r="J690" s="130" t="s">
        <v>159</v>
      </c>
      <c r="K690" s="130" t="s">
        <v>1817</v>
      </c>
      <c r="L690" s="130" t="s">
        <v>554</v>
      </c>
      <c r="M690" s="128">
        <v>6</v>
      </c>
      <c r="N690" s="128">
        <f t="shared" si="10"/>
        <v>-3</v>
      </c>
      <c r="O690" s="130" t="s">
        <v>134</v>
      </c>
      <c r="P690" s="130" t="s">
        <v>134</v>
      </c>
      <c r="Q690" s="130" t="s">
        <v>554</v>
      </c>
      <c r="R690" s="128">
        <v>6</v>
      </c>
      <c r="S690" s="130" t="s">
        <v>1819</v>
      </c>
    </row>
    <row r="691" spans="1:19" x14ac:dyDescent="0.25">
      <c r="A691" s="130" t="s">
        <v>1824</v>
      </c>
      <c r="B691" s="130" t="s">
        <v>1825</v>
      </c>
      <c r="C691" s="130" t="s">
        <v>134</v>
      </c>
      <c r="D691" s="130" t="s">
        <v>134</v>
      </c>
      <c r="E691" s="130" t="s">
        <v>1826</v>
      </c>
      <c r="F691" s="130" t="s">
        <v>1759</v>
      </c>
      <c r="G691" s="130" t="s">
        <v>137</v>
      </c>
      <c r="I691" s="130" t="s">
        <v>1703</v>
      </c>
      <c r="J691" s="130" t="s">
        <v>159</v>
      </c>
      <c r="K691" s="130" t="s">
        <v>1826</v>
      </c>
      <c r="L691" s="130" t="s">
        <v>554</v>
      </c>
      <c r="M691" s="128">
        <v>6</v>
      </c>
      <c r="N691" s="128">
        <f t="shared" si="10"/>
        <v>-3</v>
      </c>
      <c r="O691" s="130" t="s">
        <v>134</v>
      </c>
      <c r="P691" s="130" t="s">
        <v>134</v>
      </c>
      <c r="Q691" s="130" t="s">
        <v>554</v>
      </c>
      <c r="R691" s="128">
        <v>6</v>
      </c>
      <c r="S691" s="130" t="s">
        <v>1759</v>
      </c>
    </row>
    <row r="692" spans="1:19" x14ac:dyDescent="0.25">
      <c r="A692" s="130" t="s">
        <v>1827</v>
      </c>
      <c r="B692" s="130" t="s">
        <v>1828</v>
      </c>
      <c r="C692" s="130" t="s">
        <v>134</v>
      </c>
      <c r="D692" s="130" t="s">
        <v>134</v>
      </c>
      <c r="E692" s="130" t="s">
        <v>1829</v>
      </c>
      <c r="F692" s="130" t="s">
        <v>1830</v>
      </c>
      <c r="G692" s="130" t="s">
        <v>137</v>
      </c>
      <c r="I692" s="130" t="s">
        <v>1703</v>
      </c>
      <c r="J692" s="130" t="s">
        <v>159</v>
      </c>
      <c r="K692" s="130" t="s">
        <v>1829</v>
      </c>
      <c r="L692" s="130" t="s">
        <v>554</v>
      </c>
      <c r="M692" s="128">
        <v>6</v>
      </c>
      <c r="N692" s="128">
        <f t="shared" si="10"/>
        <v>-3</v>
      </c>
      <c r="O692" s="130" t="s">
        <v>134</v>
      </c>
      <c r="P692" s="130" t="s">
        <v>134</v>
      </c>
      <c r="Q692" s="130" t="s">
        <v>554</v>
      </c>
      <c r="R692" s="128">
        <v>6</v>
      </c>
      <c r="S692" s="130" t="s">
        <v>1819</v>
      </c>
    </row>
    <row r="693" spans="1:19" x14ac:dyDescent="0.25">
      <c r="A693" s="130" t="s">
        <v>1831</v>
      </c>
      <c r="B693" s="130" t="s">
        <v>1832</v>
      </c>
      <c r="C693" s="130" t="s">
        <v>134</v>
      </c>
      <c r="D693" s="130" t="s">
        <v>134</v>
      </c>
      <c r="E693" s="130" t="s">
        <v>1829</v>
      </c>
      <c r="F693" s="130" t="s">
        <v>1830</v>
      </c>
      <c r="G693" s="130" t="s">
        <v>137</v>
      </c>
      <c r="I693" s="130" t="s">
        <v>1703</v>
      </c>
      <c r="J693" s="130" t="s">
        <v>159</v>
      </c>
      <c r="K693" s="130" t="s">
        <v>1829</v>
      </c>
      <c r="L693" s="130" t="s">
        <v>554</v>
      </c>
      <c r="M693" s="128">
        <v>6</v>
      </c>
      <c r="N693" s="128">
        <f t="shared" si="10"/>
        <v>-3</v>
      </c>
      <c r="O693" s="130" t="s">
        <v>134</v>
      </c>
      <c r="P693" s="130" t="s">
        <v>134</v>
      </c>
      <c r="Q693" s="130" t="s">
        <v>554</v>
      </c>
      <c r="R693" s="128">
        <v>6</v>
      </c>
      <c r="S693" s="130" t="s">
        <v>1819</v>
      </c>
    </row>
    <row r="694" spans="1:19" x14ac:dyDescent="0.25">
      <c r="A694" s="130" t="s">
        <v>1833</v>
      </c>
      <c r="B694" s="130" t="s">
        <v>1834</v>
      </c>
      <c r="C694" s="130" t="s">
        <v>134</v>
      </c>
      <c r="D694" s="130" t="s">
        <v>134</v>
      </c>
      <c r="E694" s="130" t="s">
        <v>1829</v>
      </c>
      <c r="F694" s="130" t="s">
        <v>1830</v>
      </c>
      <c r="G694" s="130" t="s">
        <v>137</v>
      </c>
      <c r="I694" s="130" t="s">
        <v>1703</v>
      </c>
      <c r="J694" s="130" t="s">
        <v>159</v>
      </c>
      <c r="K694" s="130" t="s">
        <v>1829</v>
      </c>
      <c r="L694" s="130" t="s">
        <v>554</v>
      </c>
      <c r="M694" s="128">
        <v>6</v>
      </c>
      <c r="N694" s="128">
        <f t="shared" si="10"/>
        <v>-3</v>
      </c>
      <c r="O694" s="130" t="s">
        <v>134</v>
      </c>
      <c r="P694" s="130" t="s">
        <v>134</v>
      </c>
      <c r="Q694" s="130" t="s">
        <v>554</v>
      </c>
      <c r="R694" s="128">
        <v>6</v>
      </c>
      <c r="S694" s="130" t="s">
        <v>1819</v>
      </c>
    </row>
    <row r="695" spans="1:19" x14ac:dyDescent="0.25">
      <c r="A695" s="130" t="s">
        <v>1835</v>
      </c>
      <c r="B695" s="130" t="s">
        <v>1836</v>
      </c>
      <c r="C695" s="130" t="s">
        <v>134</v>
      </c>
      <c r="D695" s="127" t="s">
        <v>860</v>
      </c>
      <c r="E695" s="130" t="s">
        <v>1837</v>
      </c>
      <c r="F695" s="130" t="s">
        <v>1838</v>
      </c>
      <c r="G695" s="130" t="s">
        <v>137</v>
      </c>
      <c r="I695" s="130" t="s">
        <v>1703</v>
      </c>
      <c r="J695" s="130" t="s">
        <v>159</v>
      </c>
      <c r="K695" s="130" t="s">
        <v>1837</v>
      </c>
      <c r="L695" s="130" t="s">
        <v>554</v>
      </c>
      <c r="M695" s="128">
        <v>6</v>
      </c>
      <c r="N695" s="128">
        <f t="shared" si="10"/>
        <v>-3</v>
      </c>
      <c r="O695" s="130" t="s">
        <v>134</v>
      </c>
      <c r="P695" s="127" t="s">
        <v>860</v>
      </c>
      <c r="Q695" s="130" t="s">
        <v>554</v>
      </c>
      <c r="R695" s="128">
        <v>6</v>
      </c>
      <c r="S695" s="130" t="s">
        <v>1819</v>
      </c>
    </row>
    <row r="696" spans="1:19" x14ac:dyDescent="0.25">
      <c r="A696" s="130" t="s">
        <v>1839</v>
      </c>
      <c r="B696" s="130" t="s">
        <v>1840</v>
      </c>
      <c r="C696" s="130" t="s">
        <v>134</v>
      </c>
      <c r="D696" s="127" t="s">
        <v>860</v>
      </c>
      <c r="E696" s="130" t="s">
        <v>1837</v>
      </c>
      <c r="F696" s="130" t="s">
        <v>1838</v>
      </c>
      <c r="G696" s="130" t="s">
        <v>137</v>
      </c>
      <c r="I696" s="130" t="s">
        <v>1703</v>
      </c>
      <c r="J696" s="130" t="s">
        <v>159</v>
      </c>
      <c r="K696" s="130" t="s">
        <v>1837</v>
      </c>
      <c r="L696" s="130" t="s">
        <v>554</v>
      </c>
      <c r="M696" s="128">
        <v>6</v>
      </c>
      <c r="N696" s="128">
        <f t="shared" si="10"/>
        <v>-3</v>
      </c>
      <c r="O696" s="130" t="s">
        <v>134</v>
      </c>
      <c r="P696" s="127" t="s">
        <v>860</v>
      </c>
      <c r="Q696" s="130" t="s">
        <v>554</v>
      </c>
      <c r="R696" s="128">
        <v>6</v>
      </c>
      <c r="S696" s="130" t="s">
        <v>1819</v>
      </c>
    </row>
    <row r="697" spans="1:19" x14ac:dyDescent="0.25">
      <c r="A697" s="130" t="s">
        <v>1841</v>
      </c>
      <c r="B697" s="130" t="s">
        <v>1842</v>
      </c>
      <c r="C697" s="130" t="s">
        <v>159</v>
      </c>
      <c r="D697" s="127" t="s">
        <v>860</v>
      </c>
      <c r="E697" s="130" t="s">
        <v>1837</v>
      </c>
      <c r="F697" s="130" t="s">
        <v>1838</v>
      </c>
      <c r="G697" s="130" t="s">
        <v>137</v>
      </c>
      <c r="H697" s="130" t="s">
        <v>159</v>
      </c>
      <c r="I697" s="130" t="s">
        <v>1703</v>
      </c>
      <c r="J697" s="130" t="s">
        <v>159</v>
      </c>
      <c r="K697" s="130" t="s">
        <v>1837</v>
      </c>
      <c r="L697" s="130" t="s">
        <v>554</v>
      </c>
      <c r="M697" s="128">
        <v>6</v>
      </c>
      <c r="N697" s="128">
        <f t="shared" si="10"/>
        <v>-3</v>
      </c>
      <c r="O697" s="130" t="s">
        <v>159</v>
      </c>
      <c r="P697" s="127" t="s">
        <v>860</v>
      </c>
      <c r="Q697" s="130" t="s">
        <v>160</v>
      </c>
      <c r="R697" s="128">
        <v>0</v>
      </c>
      <c r="S697" s="130" t="s">
        <v>1819</v>
      </c>
    </row>
    <row r="698" spans="1:19" x14ac:dyDescent="0.25">
      <c r="A698" s="130" t="s">
        <v>1843</v>
      </c>
      <c r="B698" s="130" t="s">
        <v>1844</v>
      </c>
      <c r="C698" s="130" t="s">
        <v>159</v>
      </c>
      <c r="D698" s="127" t="s">
        <v>860</v>
      </c>
      <c r="E698" s="130" t="s">
        <v>1837</v>
      </c>
      <c r="F698" s="130" t="s">
        <v>1838</v>
      </c>
      <c r="G698" s="130" t="s">
        <v>137</v>
      </c>
      <c r="H698" s="130" t="s">
        <v>159</v>
      </c>
      <c r="I698" s="130" t="s">
        <v>1703</v>
      </c>
      <c r="J698" s="130" t="s">
        <v>159</v>
      </c>
      <c r="K698" s="130" t="s">
        <v>1837</v>
      </c>
      <c r="L698" s="130" t="s">
        <v>554</v>
      </c>
      <c r="M698" s="128">
        <v>6</v>
      </c>
      <c r="N698" s="128">
        <f t="shared" si="10"/>
        <v>-3</v>
      </c>
      <c r="O698" s="130" t="s">
        <v>159</v>
      </c>
      <c r="P698" s="127" t="s">
        <v>860</v>
      </c>
      <c r="Q698" s="130" t="s">
        <v>160</v>
      </c>
      <c r="R698" s="128">
        <v>0</v>
      </c>
      <c r="S698" s="130" t="s">
        <v>1819</v>
      </c>
    </row>
    <row r="699" spans="1:19" x14ac:dyDescent="0.25">
      <c r="A699" s="130" t="s">
        <v>1845</v>
      </c>
      <c r="B699" s="130" t="s">
        <v>1846</v>
      </c>
      <c r="C699" s="130" t="s">
        <v>134</v>
      </c>
      <c r="D699" s="127" t="s">
        <v>860</v>
      </c>
      <c r="E699" s="130" t="s">
        <v>1837</v>
      </c>
      <c r="F699" s="130" t="s">
        <v>1838</v>
      </c>
      <c r="G699" s="130" t="s">
        <v>137</v>
      </c>
      <c r="I699" s="130" t="s">
        <v>1703</v>
      </c>
      <c r="J699" s="130" t="s">
        <v>159</v>
      </c>
      <c r="K699" s="130" t="s">
        <v>1837</v>
      </c>
      <c r="L699" s="130" t="s">
        <v>554</v>
      </c>
      <c r="M699" s="128">
        <v>6</v>
      </c>
      <c r="N699" s="128">
        <f t="shared" si="10"/>
        <v>-3</v>
      </c>
      <c r="O699" s="130" t="s">
        <v>134</v>
      </c>
      <c r="P699" s="127" t="s">
        <v>860</v>
      </c>
      <c r="Q699" s="130" t="s">
        <v>554</v>
      </c>
      <c r="R699" s="128">
        <v>6</v>
      </c>
      <c r="S699" s="130" t="s">
        <v>1819</v>
      </c>
    </row>
    <row r="700" spans="1:19" x14ac:dyDescent="0.25">
      <c r="A700" s="130" t="s">
        <v>1847</v>
      </c>
      <c r="B700" s="130" t="s">
        <v>1848</v>
      </c>
      <c r="C700" s="130" t="s">
        <v>134</v>
      </c>
      <c r="D700" s="127" t="s">
        <v>860</v>
      </c>
      <c r="E700" s="130" t="s">
        <v>1837</v>
      </c>
      <c r="F700" s="130" t="s">
        <v>1838</v>
      </c>
      <c r="G700" s="130" t="s">
        <v>137</v>
      </c>
      <c r="I700" s="130" t="s">
        <v>1703</v>
      </c>
      <c r="J700" s="130" t="s">
        <v>159</v>
      </c>
      <c r="K700" s="130" t="s">
        <v>1837</v>
      </c>
      <c r="L700" s="130" t="s">
        <v>554</v>
      </c>
      <c r="M700" s="128">
        <v>6</v>
      </c>
      <c r="N700" s="128">
        <f t="shared" si="10"/>
        <v>-3</v>
      </c>
      <c r="O700" s="130" t="s">
        <v>134</v>
      </c>
      <c r="P700" s="127" t="s">
        <v>860</v>
      </c>
      <c r="Q700" s="130" t="s">
        <v>554</v>
      </c>
      <c r="R700" s="128">
        <v>6</v>
      </c>
      <c r="S700" s="130" t="s">
        <v>1819</v>
      </c>
    </row>
    <row r="701" spans="1:19" x14ac:dyDescent="0.25">
      <c r="A701" s="130" t="s">
        <v>1849</v>
      </c>
      <c r="B701" s="130" t="s">
        <v>1850</v>
      </c>
      <c r="C701" s="130" t="s">
        <v>134</v>
      </c>
      <c r="D701" s="127" t="s">
        <v>860</v>
      </c>
      <c r="E701" s="130" t="s">
        <v>1837</v>
      </c>
      <c r="F701" s="130" t="s">
        <v>1838</v>
      </c>
      <c r="G701" s="130" t="s">
        <v>137</v>
      </c>
      <c r="I701" s="130" t="s">
        <v>1703</v>
      </c>
      <c r="J701" s="130" t="s">
        <v>159</v>
      </c>
      <c r="K701" s="130" t="s">
        <v>1837</v>
      </c>
      <c r="L701" s="130" t="s">
        <v>554</v>
      </c>
      <c r="M701" s="128">
        <v>6</v>
      </c>
      <c r="N701" s="128">
        <f t="shared" si="10"/>
        <v>-3</v>
      </c>
      <c r="O701" s="130" t="s">
        <v>134</v>
      </c>
      <c r="P701" s="127" t="s">
        <v>860</v>
      </c>
      <c r="Q701" s="130" t="s">
        <v>554</v>
      </c>
      <c r="R701" s="128">
        <v>6</v>
      </c>
      <c r="S701" s="130" t="s">
        <v>1819</v>
      </c>
    </row>
    <row r="702" spans="1:19" x14ac:dyDescent="0.25">
      <c r="A702" s="130" t="s">
        <v>1851</v>
      </c>
      <c r="B702" s="130" t="s">
        <v>1852</v>
      </c>
      <c r="C702" s="130" t="s">
        <v>134</v>
      </c>
      <c r="D702" s="127" t="s">
        <v>860</v>
      </c>
      <c r="E702" s="130" t="s">
        <v>1837</v>
      </c>
      <c r="F702" s="130" t="s">
        <v>1838</v>
      </c>
      <c r="G702" s="130" t="s">
        <v>137</v>
      </c>
      <c r="I702" s="130" t="s">
        <v>1703</v>
      </c>
      <c r="J702" s="130" t="s">
        <v>159</v>
      </c>
      <c r="K702" s="130" t="s">
        <v>1837</v>
      </c>
      <c r="L702" s="130" t="s">
        <v>554</v>
      </c>
      <c r="M702" s="128">
        <v>6</v>
      </c>
      <c r="N702" s="128">
        <f t="shared" si="10"/>
        <v>-3</v>
      </c>
      <c r="O702" s="130" t="s">
        <v>134</v>
      </c>
      <c r="P702" s="127" t="s">
        <v>860</v>
      </c>
      <c r="Q702" s="130" t="s">
        <v>554</v>
      </c>
      <c r="R702" s="128">
        <v>6</v>
      </c>
      <c r="S702" s="130" t="s">
        <v>1819</v>
      </c>
    </row>
    <row r="703" spans="1:19" x14ac:dyDescent="0.25">
      <c r="A703" s="130" t="s">
        <v>1853</v>
      </c>
      <c r="B703" s="130" t="s">
        <v>1854</v>
      </c>
      <c r="C703" s="130" t="s">
        <v>134</v>
      </c>
      <c r="D703" s="127" t="s">
        <v>860</v>
      </c>
      <c r="E703" s="130" t="s">
        <v>1837</v>
      </c>
      <c r="F703" s="130" t="s">
        <v>1838</v>
      </c>
      <c r="G703" s="130" t="s">
        <v>137</v>
      </c>
      <c r="I703" s="130" t="s">
        <v>1703</v>
      </c>
      <c r="J703" s="130" t="s">
        <v>159</v>
      </c>
      <c r="K703" s="130" t="s">
        <v>1837</v>
      </c>
      <c r="L703" s="130" t="s">
        <v>554</v>
      </c>
      <c r="M703" s="128">
        <v>6</v>
      </c>
      <c r="N703" s="128">
        <f t="shared" si="10"/>
        <v>-3</v>
      </c>
      <c r="O703" s="130" t="s">
        <v>134</v>
      </c>
      <c r="P703" s="127" t="s">
        <v>860</v>
      </c>
      <c r="Q703" s="130" t="s">
        <v>554</v>
      </c>
      <c r="R703" s="128">
        <v>6</v>
      </c>
      <c r="S703" s="130" t="s">
        <v>1819</v>
      </c>
    </row>
    <row r="704" spans="1:19" x14ac:dyDescent="0.25">
      <c r="A704" s="130" t="s">
        <v>1855</v>
      </c>
      <c r="B704" s="130" t="s">
        <v>1856</v>
      </c>
      <c r="C704" s="130" t="s">
        <v>159</v>
      </c>
      <c r="D704" s="127" t="s">
        <v>860</v>
      </c>
      <c r="E704" s="130" t="s">
        <v>1837</v>
      </c>
      <c r="F704" s="130" t="s">
        <v>1838</v>
      </c>
      <c r="G704" s="130" t="s">
        <v>137</v>
      </c>
      <c r="H704" s="130" t="s">
        <v>159</v>
      </c>
      <c r="I704" s="130" t="s">
        <v>1703</v>
      </c>
      <c r="J704" s="130" t="s">
        <v>159</v>
      </c>
      <c r="K704" s="130" t="s">
        <v>1837</v>
      </c>
      <c r="L704" s="130" t="s">
        <v>554</v>
      </c>
      <c r="M704" s="128">
        <v>6</v>
      </c>
      <c r="N704" s="128">
        <f t="shared" si="10"/>
        <v>-3</v>
      </c>
      <c r="O704" s="130" t="s">
        <v>159</v>
      </c>
      <c r="P704" s="127" t="s">
        <v>860</v>
      </c>
      <c r="Q704" s="130" t="s">
        <v>160</v>
      </c>
      <c r="R704" s="128">
        <v>0</v>
      </c>
      <c r="S704" s="130" t="s">
        <v>1819</v>
      </c>
    </row>
    <row r="705" spans="1:19" x14ac:dyDescent="0.25">
      <c r="A705" s="130" t="s">
        <v>1857</v>
      </c>
      <c r="B705" s="130" t="s">
        <v>1858</v>
      </c>
      <c r="C705" s="130" t="s">
        <v>134</v>
      </c>
      <c r="D705" s="127" t="s">
        <v>860</v>
      </c>
      <c r="E705" s="130" t="s">
        <v>1837</v>
      </c>
      <c r="F705" s="130" t="s">
        <v>1838</v>
      </c>
      <c r="G705" s="130" t="s">
        <v>137</v>
      </c>
      <c r="I705" s="130" t="s">
        <v>1703</v>
      </c>
      <c r="J705" s="130" t="s">
        <v>159</v>
      </c>
      <c r="K705" s="130" t="s">
        <v>1837</v>
      </c>
      <c r="L705" s="130" t="s">
        <v>554</v>
      </c>
      <c r="M705" s="128">
        <v>6</v>
      </c>
      <c r="N705" s="128">
        <f t="shared" si="10"/>
        <v>-3</v>
      </c>
      <c r="O705" s="130" t="s">
        <v>134</v>
      </c>
      <c r="P705" s="127" t="s">
        <v>860</v>
      </c>
      <c r="Q705" s="130" t="s">
        <v>554</v>
      </c>
      <c r="R705" s="128">
        <v>6</v>
      </c>
      <c r="S705" s="130" t="s">
        <v>1819</v>
      </c>
    </row>
    <row r="706" spans="1:19" x14ac:dyDescent="0.25">
      <c r="A706" s="130" t="s">
        <v>1859</v>
      </c>
      <c r="B706" s="130" t="s">
        <v>1860</v>
      </c>
      <c r="C706" s="130" t="s">
        <v>134</v>
      </c>
      <c r="D706" s="130" t="s">
        <v>134</v>
      </c>
      <c r="E706" s="130" t="s">
        <v>1861</v>
      </c>
      <c r="F706" s="130" t="s">
        <v>1862</v>
      </c>
      <c r="G706" s="130" t="s">
        <v>137</v>
      </c>
      <c r="I706" s="130" t="s">
        <v>1703</v>
      </c>
      <c r="J706" s="130" t="s">
        <v>159</v>
      </c>
      <c r="K706" s="130" t="s">
        <v>1861</v>
      </c>
      <c r="L706" s="130" t="s">
        <v>554</v>
      </c>
      <c r="M706" s="128">
        <v>7</v>
      </c>
      <c r="N706" s="128">
        <f t="shared" si="10"/>
        <v>-2</v>
      </c>
      <c r="O706" s="130" t="s">
        <v>134</v>
      </c>
      <c r="P706" s="130" t="s">
        <v>134</v>
      </c>
      <c r="Q706" s="130" t="s">
        <v>554</v>
      </c>
      <c r="R706" s="128">
        <v>7</v>
      </c>
      <c r="S706" s="130" t="s">
        <v>1863</v>
      </c>
    </row>
    <row r="707" spans="1:19" x14ac:dyDescent="0.25">
      <c r="A707" s="130" t="s">
        <v>1864</v>
      </c>
      <c r="B707" s="130" t="s">
        <v>1865</v>
      </c>
      <c r="C707" s="130" t="s">
        <v>134</v>
      </c>
      <c r="D707" s="130" t="s">
        <v>134</v>
      </c>
      <c r="E707" s="130" t="s">
        <v>1864</v>
      </c>
      <c r="F707" s="130" t="s">
        <v>1865</v>
      </c>
      <c r="G707" s="130" t="s">
        <v>137</v>
      </c>
      <c r="I707" s="130" t="s">
        <v>1703</v>
      </c>
      <c r="J707" s="130" t="s">
        <v>159</v>
      </c>
      <c r="K707" s="130" t="s">
        <v>1864</v>
      </c>
      <c r="L707" s="130" t="s">
        <v>554</v>
      </c>
      <c r="M707" s="128">
        <v>7</v>
      </c>
      <c r="N707" s="128">
        <f t="shared" ref="N707:N770" si="11">M707-L707</f>
        <v>-2</v>
      </c>
      <c r="O707" s="130" t="s">
        <v>134</v>
      </c>
      <c r="P707" s="130" t="s">
        <v>134</v>
      </c>
      <c r="Q707" s="130" t="s">
        <v>554</v>
      </c>
      <c r="R707" s="128">
        <v>7</v>
      </c>
      <c r="S707" s="130" t="s">
        <v>1863</v>
      </c>
    </row>
    <row r="708" spans="1:19" x14ac:dyDescent="0.25">
      <c r="A708" s="130" t="s">
        <v>1866</v>
      </c>
      <c r="B708" s="130" t="s">
        <v>1867</v>
      </c>
      <c r="C708" s="130" t="s">
        <v>134</v>
      </c>
      <c r="D708" s="130" t="s">
        <v>134</v>
      </c>
      <c r="E708" s="130" t="s">
        <v>1868</v>
      </c>
      <c r="F708" s="130" t="s">
        <v>1869</v>
      </c>
      <c r="G708" s="130" t="s">
        <v>137</v>
      </c>
      <c r="I708" s="130" t="s">
        <v>1703</v>
      </c>
      <c r="J708" s="130" t="s">
        <v>159</v>
      </c>
      <c r="K708" s="130" t="s">
        <v>1868</v>
      </c>
      <c r="L708" s="130" t="s">
        <v>554</v>
      </c>
      <c r="M708" s="128">
        <v>7</v>
      </c>
      <c r="N708" s="128">
        <f t="shared" si="11"/>
        <v>-2</v>
      </c>
      <c r="O708" s="130" t="s">
        <v>134</v>
      </c>
      <c r="P708" s="130" t="s">
        <v>134</v>
      </c>
      <c r="Q708" s="130" t="s">
        <v>554</v>
      </c>
      <c r="R708" s="128">
        <v>7</v>
      </c>
      <c r="S708" s="130" t="s">
        <v>1863</v>
      </c>
    </row>
    <row r="709" spans="1:19" x14ac:dyDescent="0.25">
      <c r="A709" s="130" t="s">
        <v>1826</v>
      </c>
      <c r="B709" s="130" t="s">
        <v>1870</v>
      </c>
      <c r="C709" s="130" t="s">
        <v>134</v>
      </c>
      <c r="D709" s="130" t="s">
        <v>134</v>
      </c>
      <c r="E709" s="130" t="s">
        <v>1826</v>
      </c>
      <c r="F709" s="130" t="s">
        <v>1759</v>
      </c>
      <c r="G709" s="130" t="s">
        <v>137</v>
      </c>
      <c r="I709" s="130" t="s">
        <v>1703</v>
      </c>
      <c r="J709" s="130" t="s">
        <v>159</v>
      </c>
      <c r="K709" s="130" t="s">
        <v>1826</v>
      </c>
      <c r="L709" s="130" t="s">
        <v>554</v>
      </c>
      <c r="M709" s="128">
        <v>6</v>
      </c>
      <c r="N709" s="128">
        <f t="shared" si="11"/>
        <v>-3</v>
      </c>
      <c r="O709" s="130" t="s">
        <v>134</v>
      </c>
      <c r="P709" s="130" t="s">
        <v>134</v>
      </c>
      <c r="Q709" s="130" t="s">
        <v>554</v>
      </c>
      <c r="R709" s="128">
        <v>6</v>
      </c>
      <c r="S709" s="130" t="s">
        <v>1819</v>
      </c>
    </row>
    <row r="710" spans="1:19" x14ac:dyDescent="0.25">
      <c r="A710" s="130" t="s">
        <v>1871</v>
      </c>
      <c r="B710" s="130" t="s">
        <v>1872</v>
      </c>
      <c r="C710" s="130" t="s">
        <v>134</v>
      </c>
      <c r="D710" s="130" t="s">
        <v>134</v>
      </c>
      <c r="E710" s="130" t="s">
        <v>1826</v>
      </c>
      <c r="F710" s="130" t="s">
        <v>1759</v>
      </c>
      <c r="G710" s="130" t="s">
        <v>137</v>
      </c>
      <c r="I710" s="130" t="s">
        <v>1703</v>
      </c>
      <c r="J710" s="130" t="s">
        <v>159</v>
      </c>
      <c r="K710" s="130" t="s">
        <v>1826</v>
      </c>
      <c r="L710" s="130" t="s">
        <v>554</v>
      </c>
      <c r="M710" s="128">
        <v>6</v>
      </c>
      <c r="N710" s="128">
        <f t="shared" si="11"/>
        <v>-3</v>
      </c>
      <c r="O710" s="130" t="s">
        <v>134</v>
      </c>
      <c r="P710" s="130" t="s">
        <v>134</v>
      </c>
      <c r="Q710" s="130" t="s">
        <v>554</v>
      </c>
      <c r="R710" s="128">
        <v>6</v>
      </c>
      <c r="S710" s="130" t="s">
        <v>1759</v>
      </c>
    </row>
    <row r="711" spans="1:19" x14ac:dyDescent="0.25">
      <c r="A711" s="130" t="s">
        <v>1873</v>
      </c>
      <c r="B711" s="130" t="s">
        <v>1874</v>
      </c>
      <c r="C711" s="130" t="s">
        <v>134</v>
      </c>
      <c r="D711" s="130" t="s">
        <v>134</v>
      </c>
      <c r="E711" s="130" t="s">
        <v>1826</v>
      </c>
      <c r="F711" s="130" t="s">
        <v>1759</v>
      </c>
      <c r="G711" s="130" t="s">
        <v>137</v>
      </c>
      <c r="I711" s="130" t="s">
        <v>1703</v>
      </c>
      <c r="J711" s="130" t="s">
        <v>159</v>
      </c>
      <c r="K711" s="130" t="s">
        <v>1826</v>
      </c>
      <c r="L711" s="130" t="s">
        <v>554</v>
      </c>
      <c r="M711" s="128">
        <v>6</v>
      </c>
      <c r="N711" s="128">
        <f t="shared" si="11"/>
        <v>-3</v>
      </c>
      <c r="O711" s="130" t="s">
        <v>134</v>
      </c>
      <c r="P711" s="130" t="s">
        <v>134</v>
      </c>
      <c r="Q711" s="130" t="s">
        <v>554</v>
      </c>
      <c r="R711" s="128">
        <v>6</v>
      </c>
      <c r="S711" s="130" t="s">
        <v>1759</v>
      </c>
    </row>
    <row r="712" spans="1:19" x14ac:dyDescent="0.25">
      <c r="A712" s="130" t="s">
        <v>1875</v>
      </c>
      <c r="B712" s="130" t="s">
        <v>1876</v>
      </c>
      <c r="C712" s="130" t="s">
        <v>134</v>
      </c>
      <c r="D712" s="130" t="s">
        <v>134</v>
      </c>
      <c r="E712" s="130" t="s">
        <v>1826</v>
      </c>
      <c r="F712" s="130" t="s">
        <v>1759</v>
      </c>
      <c r="G712" s="130" t="s">
        <v>137</v>
      </c>
      <c r="I712" s="130" t="s">
        <v>1703</v>
      </c>
      <c r="J712" s="130" t="s">
        <v>159</v>
      </c>
      <c r="K712" s="130" t="s">
        <v>1826</v>
      </c>
      <c r="L712" s="130" t="s">
        <v>554</v>
      </c>
      <c r="M712" s="128">
        <v>6</v>
      </c>
      <c r="N712" s="128">
        <f t="shared" si="11"/>
        <v>-3</v>
      </c>
      <c r="O712" s="130" t="s">
        <v>134</v>
      </c>
      <c r="P712" s="130" t="s">
        <v>134</v>
      </c>
      <c r="Q712" s="130" t="s">
        <v>554</v>
      </c>
      <c r="R712" s="128">
        <v>6</v>
      </c>
      <c r="S712" s="130" t="s">
        <v>1759</v>
      </c>
    </row>
    <row r="713" spans="1:19" x14ac:dyDescent="0.25">
      <c r="A713" s="130" t="s">
        <v>1877</v>
      </c>
      <c r="B713" s="130" t="s">
        <v>1878</v>
      </c>
      <c r="C713" s="130" t="s">
        <v>134</v>
      </c>
      <c r="D713" s="130" t="s">
        <v>134</v>
      </c>
      <c r="E713" s="130" t="s">
        <v>1826</v>
      </c>
      <c r="F713" s="130" t="s">
        <v>1759</v>
      </c>
      <c r="G713" s="130" t="s">
        <v>137</v>
      </c>
      <c r="I713" s="130" t="s">
        <v>1703</v>
      </c>
      <c r="J713" s="130" t="s">
        <v>159</v>
      </c>
      <c r="K713" s="130" t="s">
        <v>1826</v>
      </c>
      <c r="L713" s="130" t="s">
        <v>554</v>
      </c>
      <c r="M713" s="128">
        <v>6</v>
      </c>
      <c r="N713" s="128">
        <f t="shared" si="11"/>
        <v>-3</v>
      </c>
      <c r="O713" s="130" t="s">
        <v>134</v>
      </c>
      <c r="P713" s="130" t="s">
        <v>134</v>
      </c>
      <c r="Q713" s="130" t="s">
        <v>554</v>
      </c>
      <c r="R713" s="128">
        <v>6</v>
      </c>
      <c r="S713" s="130" t="s">
        <v>1759</v>
      </c>
    </row>
    <row r="714" spans="1:19" x14ac:dyDescent="0.25">
      <c r="A714" s="130" t="s">
        <v>1879</v>
      </c>
      <c r="B714" s="130" t="s">
        <v>1880</v>
      </c>
      <c r="C714" s="130" t="s">
        <v>860</v>
      </c>
      <c r="D714" s="130" t="s">
        <v>860</v>
      </c>
      <c r="E714" s="130" t="s">
        <v>1826</v>
      </c>
      <c r="F714" s="130" t="s">
        <v>1759</v>
      </c>
      <c r="G714" s="130" t="s">
        <v>137</v>
      </c>
      <c r="I714" s="130" t="s">
        <v>1703</v>
      </c>
      <c r="J714" s="130" t="s">
        <v>159</v>
      </c>
      <c r="K714" s="130" t="s">
        <v>1826</v>
      </c>
      <c r="L714" s="130" t="s">
        <v>554</v>
      </c>
      <c r="M714" s="128">
        <v>6</v>
      </c>
      <c r="N714" s="128">
        <f t="shared" si="11"/>
        <v>-3</v>
      </c>
      <c r="O714" s="130" t="s">
        <v>860</v>
      </c>
      <c r="P714" s="130" t="s">
        <v>860</v>
      </c>
      <c r="Q714" s="130" t="s">
        <v>160</v>
      </c>
      <c r="R714" s="128">
        <v>0</v>
      </c>
      <c r="S714" s="130" t="s">
        <v>1759</v>
      </c>
    </row>
    <row r="715" spans="1:19" x14ac:dyDescent="0.25">
      <c r="A715" s="130" t="s">
        <v>1881</v>
      </c>
      <c r="B715" s="130" t="s">
        <v>1882</v>
      </c>
      <c r="C715" s="130" t="s">
        <v>159</v>
      </c>
      <c r="D715" s="130" t="s">
        <v>159</v>
      </c>
      <c r="E715" s="130" t="s">
        <v>1826</v>
      </c>
      <c r="F715" s="130" t="s">
        <v>1759</v>
      </c>
      <c r="G715" s="130" t="s">
        <v>137</v>
      </c>
      <c r="I715" s="130" t="s">
        <v>1703</v>
      </c>
      <c r="J715" s="130" t="s">
        <v>159</v>
      </c>
      <c r="K715" s="130" t="s">
        <v>1826</v>
      </c>
      <c r="L715" s="130" t="s">
        <v>1883</v>
      </c>
      <c r="M715" s="128">
        <v>6</v>
      </c>
      <c r="N715" s="128">
        <f t="shared" si="11"/>
        <v>-5</v>
      </c>
      <c r="O715" s="130" t="s">
        <v>159</v>
      </c>
      <c r="P715" s="130" t="s">
        <v>159</v>
      </c>
      <c r="Q715" s="130" t="s">
        <v>160</v>
      </c>
      <c r="R715" s="128">
        <v>0</v>
      </c>
      <c r="S715" s="130" t="s">
        <v>1759</v>
      </c>
    </row>
    <row r="716" spans="1:19" x14ac:dyDescent="0.25">
      <c r="A716" s="130" t="s">
        <v>1884</v>
      </c>
      <c r="B716" s="130" t="s">
        <v>1885</v>
      </c>
      <c r="C716" s="130" t="s">
        <v>134</v>
      </c>
      <c r="D716" s="130" t="s">
        <v>134</v>
      </c>
      <c r="E716" s="130" t="s">
        <v>1826</v>
      </c>
      <c r="F716" s="130" t="s">
        <v>1759</v>
      </c>
      <c r="G716" s="130" t="s">
        <v>137</v>
      </c>
      <c r="I716" s="130" t="s">
        <v>1703</v>
      </c>
      <c r="J716" s="130" t="s">
        <v>159</v>
      </c>
      <c r="K716" s="130" t="s">
        <v>1826</v>
      </c>
      <c r="L716" s="130" t="s">
        <v>554</v>
      </c>
      <c r="M716" s="128">
        <v>6</v>
      </c>
      <c r="N716" s="128">
        <f t="shared" si="11"/>
        <v>-3</v>
      </c>
      <c r="O716" s="130" t="s">
        <v>134</v>
      </c>
      <c r="P716" s="130" t="s">
        <v>134</v>
      </c>
      <c r="Q716" s="130" t="s">
        <v>554</v>
      </c>
      <c r="R716" s="128">
        <v>6</v>
      </c>
      <c r="S716" s="130" t="s">
        <v>1759</v>
      </c>
    </row>
    <row r="717" spans="1:19" x14ac:dyDescent="0.25">
      <c r="A717" s="130" t="s">
        <v>1886</v>
      </c>
      <c r="B717" s="130" t="s">
        <v>1887</v>
      </c>
      <c r="C717" s="130" t="s">
        <v>134</v>
      </c>
      <c r="D717" s="130" t="s">
        <v>134</v>
      </c>
      <c r="E717" s="130" t="s">
        <v>1826</v>
      </c>
      <c r="F717" s="130" t="s">
        <v>1759</v>
      </c>
      <c r="G717" s="130" t="s">
        <v>137</v>
      </c>
      <c r="I717" s="130" t="s">
        <v>1703</v>
      </c>
      <c r="J717" s="130" t="s">
        <v>159</v>
      </c>
      <c r="K717" s="130" t="s">
        <v>1826</v>
      </c>
      <c r="L717" s="130" t="s">
        <v>554</v>
      </c>
      <c r="M717" s="128">
        <v>6</v>
      </c>
      <c r="N717" s="128">
        <f t="shared" si="11"/>
        <v>-3</v>
      </c>
      <c r="O717" s="130" t="s">
        <v>134</v>
      </c>
      <c r="P717" s="130" t="s">
        <v>134</v>
      </c>
      <c r="Q717" s="130" t="s">
        <v>554</v>
      </c>
      <c r="R717" s="128">
        <v>6</v>
      </c>
      <c r="S717" s="130" t="s">
        <v>1759</v>
      </c>
    </row>
    <row r="718" spans="1:19" x14ac:dyDescent="0.25">
      <c r="A718" s="130" t="s">
        <v>1888</v>
      </c>
      <c r="B718" s="130" t="s">
        <v>1889</v>
      </c>
      <c r="C718" s="130" t="s">
        <v>134</v>
      </c>
      <c r="D718" s="130" t="s">
        <v>134</v>
      </c>
      <c r="E718" s="130" t="s">
        <v>1826</v>
      </c>
      <c r="F718" s="130" t="s">
        <v>1759</v>
      </c>
      <c r="G718" s="130" t="s">
        <v>137</v>
      </c>
      <c r="I718" s="130" t="s">
        <v>1703</v>
      </c>
      <c r="J718" s="130" t="s">
        <v>159</v>
      </c>
      <c r="K718" s="130" t="s">
        <v>1826</v>
      </c>
      <c r="L718" s="130" t="s">
        <v>554</v>
      </c>
      <c r="M718" s="128">
        <v>6</v>
      </c>
      <c r="N718" s="128">
        <f t="shared" si="11"/>
        <v>-3</v>
      </c>
      <c r="O718" s="130" t="s">
        <v>134</v>
      </c>
      <c r="P718" s="130" t="s">
        <v>134</v>
      </c>
      <c r="Q718" s="130" t="s">
        <v>554</v>
      </c>
      <c r="R718" s="128">
        <v>6</v>
      </c>
      <c r="S718" s="130" t="s">
        <v>1759</v>
      </c>
    </row>
    <row r="719" spans="1:19" x14ac:dyDescent="0.25">
      <c r="A719" s="130" t="s">
        <v>1890</v>
      </c>
      <c r="B719" s="130" t="s">
        <v>1891</v>
      </c>
      <c r="C719" s="130" t="s">
        <v>1020</v>
      </c>
      <c r="D719" s="130" t="s">
        <v>1020</v>
      </c>
      <c r="E719" s="130" t="s">
        <v>1826</v>
      </c>
      <c r="F719" s="130" t="s">
        <v>1759</v>
      </c>
      <c r="G719" s="130" t="s">
        <v>137</v>
      </c>
      <c r="I719" s="130" t="s">
        <v>1703</v>
      </c>
      <c r="J719" s="130" t="s">
        <v>159</v>
      </c>
      <c r="K719" s="130" t="s">
        <v>1826</v>
      </c>
      <c r="L719" s="130" t="s">
        <v>160</v>
      </c>
      <c r="M719" s="128">
        <v>0</v>
      </c>
      <c r="N719" s="128">
        <f t="shared" si="11"/>
        <v>0</v>
      </c>
      <c r="O719" s="130" t="s">
        <v>1020</v>
      </c>
      <c r="P719" s="130" t="s">
        <v>1020</v>
      </c>
      <c r="Q719" s="130" t="s">
        <v>160</v>
      </c>
      <c r="R719" s="128">
        <v>0</v>
      </c>
      <c r="S719" s="130" t="s">
        <v>1759</v>
      </c>
    </row>
    <row r="720" spans="1:19" x14ac:dyDescent="0.25">
      <c r="A720" s="130" t="s">
        <v>1892</v>
      </c>
      <c r="B720" s="130" t="s">
        <v>1893</v>
      </c>
      <c r="C720" s="130" t="s">
        <v>159</v>
      </c>
      <c r="D720" s="130" t="s">
        <v>159</v>
      </c>
      <c r="E720" s="130" t="s">
        <v>1826</v>
      </c>
      <c r="F720" s="130" t="s">
        <v>1759</v>
      </c>
      <c r="G720" s="130" t="s">
        <v>137</v>
      </c>
      <c r="H720" s="130" t="s">
        <v>159</v>
      </c>
      <c r="I720" s="130" t="s">
        <v>1703</v>
      </c>
      <c r="J720" s="130" t="s">
        <v>159</v>
      </c>
      <c r="K720" s="130" t="s">
        <v>1826</v>
      </c>
      <c r="L720" s="130" t="s">
        <v>554</v>
      </c>
      <c r="M720" s="128">
        <v>6</v>
      </c>
      <c r="N720" s="128">
        <f t="shared" si="11"/>
        <v>-3</v>
      </c>
      <c r="O720" s="130" t="s">
        <v>159</v>
      </c>
      <c r="P720" s="130" t="s">
        <v>159</v>
      </c>
      <c r="Q720" s="130" t="s">
        <v>160</v>
      </c>
      <c r="R720" s="128">
        <v>0</v>
      </c>
      <c r="S720" s="130" t="s">
        <v>1759</v>
      </c>
    </row>
    <row r="721" spans="1:19" x14ac:dyDescent="0.25">
      <c r="A721" s="130" t="s">
        <v>1894</v>
      </c>
      <c r="B721" s="130" t="s">
        <v>1895</v>
      </c>
      <c r="C721" s="130" t="s">
        <v>134</v>
      </c>
      <c r="D721" s="130" t="s">
        <v>134</v>
      </c>
      <c r="E721" s="130" t="s">
        <v>1826</v>
      </c>
      <c r="F721" s="130" t="s">
        <v>1759</v>
      </c>
      <c r="G721" s="130" t="s">
        <v>137</v>
      </c>
      <c r="I721" s="130" t="s">
        <v>1703</v>
      </c>
      <c r="J721" s="130" t="s">
        <v>159</v>
      </c>
      <c r="K721" s="130" t="s">
        <v>1826</v>
      </c>
      <c r="L721" s="130" t="s">
        <v>554</v>
      </c>
      <c r="M721" s="128">
        <v>6</v>
      </c>
      <c r="N721" s="128">
        <f t="shared" si="11"/>
        <v>-3</v>
      </c>
      <c r="O721" s="130" t="s">
        <v>134</v>
      </c>
      <c r="P721" s="130" t="s">
        <v>134</v>
      </c>
      <c r="Q721" s="130" t="s">
        <v>554</v>
      </c>
      <c r="R721" s="128">
        <v>6</v>
      </c>
      <c r="S721" s="130" t="s">
        <v>1759</v>
      </c>
    </row>
    <row r="722" spans="1:19" x14ac:dyDescent="0.25">
      <c r="A722" s="130" t="s">
        <v>1896</v>
      </c>
      <c r="B722" s="130" t="s">
        <v>1897</v>
      </c>
      <c r="C722" s="130" t="s">
        <v>134</v>
      </c>
      <c r="D722" s="130" t="s">
        <v>134</v>
      </c>
      <c r="E722" s="130" t="s">
        <v>1826</v>
      </c>
      <c r="F722" s="130" t="s">
        <v>1759</v>
      </c>
      <c r="G722" s="130" t="s">
        <v>137</v>
      </c>
      <c r="I722" s="130" t="s">
        <v>1703</v>
      </c>
      <c r="J722" s="130" t="s">
        <v>159</v>
      </c>
      <c r="K722" s="130" t="s">
        <v>1826</v>
      </c>
      <c r="L722" s="130" t="s">
        <v>554</v>
      </c>
      <c r="M722" s="128">
        <v>6</v>
      </c>
      <c r="N722" s="128">
        <f t="shared" si="11"/>
        <v>-3</v>
      </c>
      <c r="O722" s="130" t="s">
        <v>134</v>
      </c>
      <c r="P722" s="130" t="s">
        <v>134</v>
      </c>
      <c r="Q722" s="130" t="s">
        <v>554</v>
      </c>
      <c r="R722" s="128">
        <v>6</v>
      </c>
      <c r="S722" s="130" t="s">
        <v>1759</v>
      </c>
    </row>
    <row r="723" spans="1:19" x14ac:dyDescent="0.25">
      <c r="A723" s="130" t="s">
        <v>1898</v>
      </c>
      <c r="B723" s="130" t="s">
        <v>1899</v>
      </c>
      <c r="C723" s="130" t="s">
        <v>134</v>
      </c>
      <c r="D723" s="130" t="s">
        <v>134</v>
      </c>
      <c r="E723" s="130" t="s">
        <v>1826</v>
      </c>
      <c r="F723" s="130" t="s">
        <v>1759</v>
      </c>
      <c r="G723" s="130" t="s">
        <v>137</v>
      </c>
      <c r="I723" s="130" t="s">
        <v>1703</v>
      </c>
      <c r="J723" s="130" t="s">
        <v>159</v>
      </c>
      <c r="K723" s="130" t="s">
        <v>1826</v>
      </c>
      <c r="L723" s="130" t="s">
        <v>554</v>
      </c>
      <c r="M723" s="128">
        <v>6</v>
      </c>
      <c r="N723" s="128">
        <f t="shared" si="11"/>
        <v>-3</v>
      </c>
      <c r="O723" s="130" t="s">
        <v>134</v>
      </c>
      <c r="P723" s="130" t="s">
        <v>134</v>
      </c>
      <c r="Q723" s="130" t="s">
        <v>554</v>
      </c>
      <c r="R723" s="128">
        <v>6</v>
      </c>
      <c r="S723" s="130" t="s">
        <v>1759</v>
      </c>
    </row>
    <row r="724" spans="1:19" x14ac:dyDescent="0.25">
      <c r="A724" s="130" t="s">
        <v>1900</v>
      </c>
      <c r="B724" s="130" t="s">
        <v>1901</v>
      </c>
      <c r="C724" s="130" t="s">
        <v>134</v>
      </c>
      <c r="D724" s="130" t="s">
        <v>134</v>
      </c>
      <c r="E724" s="130" t="s">
        <v>1826</v>
      </c>
      <c r="F724" s="130" t="s">
        <v>1759</v>
      </c>
      <c r="G724" s="130" t="s">
        <v>137</v>
      </c>
      <c r="I724" s="130" t="s">
        <v>1703</v>
      </c>
      <c r="J724" s="130" t="s">
        <v>159</v>
      </c>
      <c r="K724" s="130" t="s">
        <v>1826</v>
      </c>
      <c r="L724" s="130" t="s">
        <v>554</v>
      </c>
      <c r="M724" s="128">
        <v>6</v>
      </c>
      <c r="N724" s="128">
        <f t="shared" si="11"/>
        <v>-3</v>
      </c>
      <c r="O724" s="130" t="s">
        <v>134</v>
      </c>
      <c r="P724" s="130" t="s">
        <v>134</v>
      </c>
      <c r="Q724" s="130" t="s">
        <v>554</v>
      </c>
      <c r="R724" s="128">
        <v>6</v>
      </c>
      <c r="S724" s="130" t="s">
        <v>1759</v>
      </c>
    </row>
    <row r="725" spans="1:19" x14ac:dyDescent="0.25">
      <c r="A725" s="130" t="s">
        <v>1902</v>
      </c>
      <c r="B725" s="130" t="s">
        <v>1903</v>
      </c>
      <c r="C725" s="130" t="s">
        <v>134</v>
      </c>
      <c r="D725" s="130" t="s">
        <v>134</v>
      </c>
      <c r="E725" s="130" t="s">
        <v>1826</v>
      </c>
      <c r="F725" s="130" t="s">
        <v>1759</v>
      </c>
      <c r="G725" s="130" t="s">
        <v>137</v>
      </c>
      <c r="I725" s="130" t="s">
        <v>1703</v>
      </c>
      <c r="J725" s="130" t="s">
        <v>159</v>
      </c>
      <c r="K725" s="130" t="s">
        <v>1826</v>
      </c>
      <c r="L725" s="130" t="s">
        <v>554</v>
      </c>
      <c r="M725" s="128">
        <v>6</v>
      </c>
      <c r="N725" s="128">
        <f t="shared" si="11"/>
        <v>-3</v>
      </c>
      <c r="O725" s="130" t="s">
        <v>134</v>
      </c>
      <c r="P725" s="130" t="s">
        <v>134</v>
      </c>
      <c r="Q725" s="130" t="s">
        <v>554</v>
      </c>
      <c r="R725" s="128">
        <v>6</v>
      </c>
      <c r="S725" s="130" t="s">
        <v>1759</v>
      </c>
    </row>
    <row r="726" spans="1:19" x14ac:dyDescent="0.25">
      <c r="A726" s="130" t="s">
        <v>1904</v>
      </c>
      <c r="B726" s="130" t="s">
        <v>1905</v>
      </c>
      <c r="C726" s="130" t="s">
        <v>860</v>
      </c>
      <c r="D726" s="130" t="s">
        <v>860</v>
      </c>
      <c r="E726" s="130" t="s">
        <v>1826</v>
      </c>
      <c r="F726" s="130" t="s">
        <v>1759</v>
      </c>
      <c r="G726" s="130" t="s">
        <v>137</v>
      </c>
      <c r="I726" s="130" t="s">
        <v>1703</v>
      </c>
      <c r="J726" s="130" t="s">
        <v>159</v>
      </c>
      <c r="K726" s="130" t="s">
        <v>1826</v>
      </c>
      <c r="L726" s="130" t="s">
        <v>554</v>
      </c>
      <c r="M726" s="128">
        <v>7</v>
      </c>
      <c r="N726" s="128">
        <f t="shared" si="11"/>
        <v>-2</v>
      </c>
      <c r="O726" s="130" t="s">
        <v>860</v>
      </c>
      <c r="P726" s="130" t="s">
        <v>860</v>
      </c>
      <c r="Q726" s="130" t="s">
        <v>160</v>
      </c>
      <c r="R726" s="128">
        <v>0</v>
      </c>
      <c r="S726" s="130" t="s">
        <v>1863</v>
      </c>
    </row>
    <row r="727" spans="1:19" x14ac:dyDescent="0.25">
      <c r="A727" s="130" t="s">
        <v>1906</v>
      </c>
      <c r="B727" s="130" t="s">
        <v>1907</v>
      </c>
      <c r="C727" s="130" t="s">
        <v>134</v>
      </c>
      <c r="D727" s="130" t="s">
        <v>134</v>
      </c>
      <c r="E727" s="130" t="s">
        <v>1826</v>
      </c>
      <c r="F727" s="130" t="s">
        <v>1759</v>
      </c>
      <c r="G727" s="130" t="s">
        <v>137</v>
      </c>
      <c r="I727" s="130" t="s">
        <v>1703</v>
      </c>
      <c r="J727" s="130" t="s">
        <v>159</v>
      </c>
      <c r="K727" s="130" t="s">
        <v>1826</v>
      </c>
      <c r="L727" s="130" t="s">
        <v>554</v>
      </c>
      <c r="M727" s="128">
        <v>6</v>
      </c>
      <c r="N727" s="128">
        <f t="shared" si="11"/>
        <v>-3</v>
      </c>
      <c r="O727" s="130" t="s">
        <v>134</v>
      </c>
      <c r="P727" s="130" t="s">
        <v>134</v>
      </c>
      <c r="Q727" s="130" t="s">
        <v>554</v>
      </c>
      <c r="R727" s="128">
        <v>6</v>
      </c>
      <c r="S727" s="130" t="s">
        <v>1759</v>
      </c>
    </row>
    <row r="728" spans="1:19" x14ac:dyDescent="0.25">
      <c r="A728" s="130" t="s">
        <v>1908</v>
      </c>
      <c r="B728" s="130" t="s">
        <v>1909</v>
      </c>
      <c r="C728" s="130" t="s">
        <v>134</v>
      </c>
      <c r="D728" s="130" t="s">
        <v>134</v>
      </c>
      <c r="E728" s="130" t="s">
        <v>1826</v>
      </c>
      <c r="F728" s="130" t="s">
        <v>1759</v>
      </c>
      <c r="G728" s="130" t="s">
        <v>137</v>
      </c>
      <c r="I728" s="130" t="s">
        <v>1703</v>
      </c>
      <c r="J728" s="130" t="s">
        <v>159</v>
      </c>
      <c r="K728" s="130" t="s">
        <v>1826</v>
      </c>
      <c r="L728" s="130" t="s">
        <v>554</v>
      </c>
      <c r="M728" s="128">
        <v>6</v>
      </c>
      <c r="N728" s="128">
        <f t="shared" si="11"/>
        <v>-3</v>
      </c>
      <c r="O728" s="130" t="s">
        <v>134</v>
      </c>
      <c r="P728" s="130" t="s">
        <v>134</v>
      </c>
      <c r="Q728" s="130" t="s">
        <v>554</v>
      </c>
      <c r="R728" s="128">
        <v>6</v>
      </c>
      <c r="S728" s="130" t="s">
        <v>1759</v>
      </c>
    </row>
    <row r="729" spans="1:19" x14ac:dyDescent="0.25">
      <c r="A729" s="130" t="s">
        <v>1910</v>
      </c>
      <c r="B729" s="130" t="s">
        <v>1911</v>
      </c>
      <c r="C729" s="130" t="s">
        <v>159</v>
      </c>
      <c r="D729" s="130" t="s">
        <v>159</v>
      </c>
      <c r="E729" s="130" t="s">
        <v>1826</v>
      </c>
      <c r="F729" s="130" t="s">
        <v>1759</v>
      </c>
      <c r="G729" s="130" t="s">
        <v>137</v>
      </c>
      <c r="H729" s="130" t="s">
        <v>159</v>
      </c>
      <c r="I729" s="130" t="s">
        <v>1703</v>
      </c>
      <c r="J729" s="130" t="s">
        <v>159</v>
      </c>
      <c r="K729" s="130" t="s">
        <v>1826</v>
      </c>
      <c r="L729" s="130" t="s">
        <v>554</v>
      </c>
      <c r="M729" s="128">
        <v>6</v>
      </c>
      <c r="N729" s="128">
        <f t="shared" si="11"/>
        <v>-3</v>
      </c>
      <c r="O729" s="130" t="s">
        <v>159</v>
      </c>
      <c r="P729" s="130" t="s">
        <v>159</v>
      </c>
      <c r="Q729" s="130" t="s">
        <v>160</v>
      </c>
      <c r="R729" s="128">
        <v>0</v>
      </c>
      <c r="S729" s="130" t="s">
        <v>1759</v>
      </c>
    </row>
    <row r="730" spans="1:19" x14ac:dyDescent="0.25">
      <c r="A730" s="130" t="s">
        <v>1912</v>
      </c>
      <c r="B730" s="130" t="s">
        <v>1913</v>
      </c>
      <c r="C730" s="130" t="s">
        <v>134</v>
      </c>
      <c r="D730" s="130" t="s">
        <v>134</v>
      </c>
      <c r="E730" s="130" t="s">
        <v>1826</v>
      </c>
      <c r="F730" s="130" t="s">
        <v>1759</v>
      </c>
      <c r="G730" s="130" t="s">
        <v>137</v>
      </c>
      <c r="I730" s="130" t="s">
        <v>1703</v>
      </c>
      <c r="J730" s="130" t="s">
        <v>159</v>
      </c>
      <c r="K730" s="130" t="s">
        <v>1826</v>
      </c>
      <c r="L730" s="130" t="s">
        <v>554</v>
      </c>
      <c r="M730" s="128">
        <v>6</v>
      </c>
      <c r="N730" s="128">
        <f t="shared" si="11"/>
        <v>-3</v>
      </c>
      <c r="O730" s="130" t="s">
        <v>134</v>
      </c>
      <c r="P730" s="130" t="s">
        <v>134</v>
      </c>
      <c r="Q730" s="130" t="s">
        <v>554</v>
      </c>
      <c r="R730" s="128">
        <v>6</v>
      </c>
      <c r="S730" s="130" t="s">
        <v>1759</v>
      </c>
    </row>
    <row r="731" spans="1:19" x14ac:dyDescent="0.25">
      <c r="A731" s="130" t="s">
        <v>1914</v>
      </c>
      <c r="B731" s="130" t="s">
        <v>1915</v>
      </c>
      <c r="C731" s="130" t="s">
        <v>134</v>
      </c>
      <c r="D731" s="130" t="s">
        <v>134</v>
      </c>
      <c r="E731" s="130" t="s">
        <v>1826</v>
      </c>
      <c r="F731" s="130" t="s">
        <v>1759</v>
      </c>
      <c r="G731" s="130" t="s">
        <v>137</v>
      </c>
      <c r="I731" s="130" t="s">
        <v>1703</v>
      </c>
      <c r="J731" s="130" t="s">
        <v>159</v>
      </c>
      <c r="K731" s="130" t="s">
        <v>1826</v>
      </c>
      <c r="L731" s="130" t="s">
        <v>554</v>
      </c>
      <c r="M731" s="128">
        <v>6</v>
      </c>
      <c r="N731" s="128">
        <f t="shared" si="11"/>
        <v>-3</v>
      </c>
      <c r="O731" s="130" t="s">
        <v>134</v>
      </c>
      <c r="P731" s="130" t="s">
        <v>134</v>
      </c>
      <c r="Q731" s="130" t="s">
        <v>554</v>
      </c>
      <c r="R731" s="128">
        <v>6</v>
      </c>
      <c r="S731" s="130" t="s">
        <v>1759</v>
      </c>
    </row>
    <row r="732" spans="1:19" x14ac:dyDescent="0.25">
      <c r="A732" s="130" t="s">
        <v>1916</v>
      </c>
      <c r="B732" s="130" t="s">
        <v>1917</v>
      </c>
      <c r="C732" s="130" t="s">
        <v>134</v>
      </c>
      <c r="D732" s="130" t="s">
        <v>134</v>
      </c>
      <c r="E732" s="130" t="s">
        <v>1826</v>
      </c>
      <c r="F732" s="130" t="s">
        <v>1759</v>
      </c>
      <c r="G732" s="130" t="s">
        <v>137</v>
      </c>
      <c r="I732" s="130" t="s">
        <v>1703</v>
      </c>
      <c r="J732" s="130" t="s">
        <v>159</v>
      </c>
      <c r="K732" s="130" t="s">
        <v>1826</v>
      </c>
      <c r="L732" s="130" t="s">
        <v>554</v>
      </c>
      <c r="M732" s="128">
        <v>6</v>
      </c>
      <c r="N732" s="128">
        <f t="shared" si="11"/>
        <v>-3</v>
      </c>
      <c r="O732" s="130" t="s">
        <v>134</v>
      </c>
      <c r="P732" s="130" t="s">
        <v>134</v>
      </c>
      <c r="Q732" s="130" t="s">
        <v>554</v>
      </c>
      <c r="R732" s="128">
        <v>6</v>
      </c>
      <c r="S732" s="130" t="s">
        <v>1759</v>
      </c>
    </row>
    <row r="733" spans="1:19" x14ac:dyDescent="0.25">
      <c r="A733" s="130" t="s">
        <v>1918</v>
      </c>
      <c r="B733" s="130" t="s">
        <v>1919</v>
      </c>
      <c r="C733" s="130" t="s">
        <v>159</v>
      </c>
      <c r="D733" s="130" t="s">
        <v>159</v>
      </c>
      <c r="E733" s="130" t="s">
        <v>1826</v>
      </c>
      <c r="F733" s="130" t="s">
        <v>1759</v>
      </c>
      <c r="G733" s="130" t="s">
        <v>137</v>
      </c>
      <c r="H733" s="130" t="s">
        <v>159</v>
      </c>
      <c r="I733" s="130" t="s">
        <v>1703</v>
      </c>
      <c r="J733" s="130" t="s">
        <v>159</v>
      </c>
      <c r="K733" s="130" t="s">
        <v>1826</v>
      </c>
      <c r="L733" s="130" t="s">
        <v>554</v>
      </c>
      <c r="M733" s="128">
        <v>6</v>
      </c>
      <c r="N733" s="128">
        <f t="shared" si="11"/>
        <v>-3</v>
      </c>
      <c r="O733" s="130" t="s">
        <v>159</v>
      </c>
      <c r="P733" s="130" t="s">
        <v>159</v>
      </c>
      <c r="Q733" s="130" t="s">
        <v>160</v>
      </c>
      <c r="R733" s="128">
        <v>0</v>
      </c>
      <c r="S733" s="130" t="s">
        <v>1759</v>
      </c>
    </row>
    <row r="734" spans="1:19" x14ac:dyDescent="0.25">
      <c r="A734" s="130" t="s">
        <v>1920</v>
      </c>
      <c r="B734" s="130" t="s">
        <v>1921</v>
      </c>
      <c r="C734" s="130" t="s">
        <v>134</v>
      </c>
      <c r="D734" s="130" t="s">
        <v>134</v>
      </c>
      <c r="E734" s="130" t="s">
        <v>1826</v>
      </c>
      <c r="F734" s="130" t="s">
        <v>1759</v>
      </c>
      <c r="G734" s="130" t="s">
        <v>137</v>
      </c>
      <c r="I734" s="130" t="s">
        <v>1703</v>
      </c>
      <c r="J734" s="130" t="s">
        <v>159</v>
      </c>
      <c r="K734" s="130" t="s">
        <v>1826</v>
      </c>
      <c r="L734" s="130" t="s">
        <v>554</v>
      </c>
      <c r="M734" s="128">
        <v>6</v>
      </c>
      <c r="N734" s="128">
        <f t="shared" si="11"/>
        <v>-3</v>
      </c>
      <c r="O734" s="130" t="s">
        <v>134</v>
      </c>
      <c r="P734" s="130" t="s">
        <v>134</v>
      </c>
      <c r="Q734" s="130" t="s">
        <v>554</v>
      </c>
      <c r="R734" s="128">
        <v>6</v>
      </c>
      <c r="S734" s="130" t="s">
        <v>1759</v>
      </c>
    </row>
    <row r="735" spans="1:19" x14ac:dyDescent="0.25">
      <c r="A735" s="130" t="s">
        <v>1922</v>
      </c>
      <c r="B735" s="130" t="s">
        <v>1923</v>
      </c>
      <c r="C735" s="130" t="s">
        <v>134</v>
      </c>
      <c r="D735" s="130" t="s">
        <v>134</v>
      </c>
      <c r="E735" s="130" t="s">
        <v>1826</v>
      </c>
      <c r="F735" s="130" t="s">
        <v>1759</v>
      </c>
      <c r="G735" s="130" t="s">
        <v>137</v>
      </c>
      <c r="I735" s="130" t="s">
        <v>1703</v>
      </c>
      <c r="J735" s="130" t="s">
        <v>159</v>
      </c>
      <c r="K735" s="130" t="s">
        <v>1826</v>
      </c>
      <c r="L735" s="130" t="s">
        <v>1707</v>
      </c>
      <c r="M735" s="128">
        <v>6</v>
      </c>
      <c r="N735" s="128">
        <f t="shared" si="11"/>
        <v>1</v>
      </c>
      <c r="O735" s="130" t="s">
        <v>134</v>
      </c>
      <c r="P735" s="130" t="s">
        <v>134</v>
      </c>
      <c r="Q735" s="130" t="s">
        <v>1707</v>
      </c>
      <c r="R735" s="128">
        <v>6</v>
      </c>
      <c r="S735" s="130" t="s">
        <v>1759</v>
      </c>
    </row>
    <row r="736" spans="1:19" x14ac:dyDescent="0.25">
      <c r="A736" s="130" t="s">
        <v>1924</v>
      </c>
      <c r="B736" s="130" t="s">
        <v>1925</v>
      </c>
      <c r="C736" s="130" t="s">
        <v>134</v>
      </c>
      <c r="D736" s="130" t="s">
        <v>134</v>
      </c>
      <c r="E736" s="130" t="s">
        <v>1826</v>
      </c>
      <c r="F736" s="130" t="s">
        <v>1759</v>
      </c>
      <c r="G736" s="130" t="s">
        <v>137</v>
      </c>
      <c r="I736" s="130" t="s">
        <v>1703</v>
      </c>
      <c r="J736" s="130" t="s">
        <v>159</v>
      </c>
      <c r="K736" s="130" t="s">
        <v>1826</v>
      </c>
      <c r="L736" s="130" t="s">
        <v>543</v>
      </c>
      <c r="M736" s="128">
        <v>6</v>
      </c>
      <c r="N736" s="128">
        <f t="shared" si="11"/>
        <v>-2</v>
      </c>
      <c r="O736" s="130" t="s">
        <v>134</v>
      </c>
      <c r="P736" s="130" t="s">
        <v>134</v>
      </c>
      <c r="Q736" s="130" t="s">
        <v>543</v>
      </c>
      <c r="R736" s="128">
        <v>6</v>
      </c>
      <c r="S736" s="130" t="s">
        <v>1759</v>
      </c>
    </row>
    <row r="737" spans="1:19" x14ac:dyDescent="0.25">
      <c r="A737" s="130" t="s">
        <v>1926</v>
      </c>
      <c r="B737" s="130" t="s">
        <v>1927</v>
      </c>
      <c r="C737" s="130" t="s">
        <v>134</v>
      </c>
      <c r="D737" s="130" t="s">
        <v>134</v>
      </c>
      <c r="E737" s="130" t="s">
        <v>1826</v>
      </c>
      <c r="F737" s="130" t="s">
        <v>1759</v>
      </c>
      <c r="G737" s="130" t="s">
        <v>137</v>
      </c>
      <c r="I737" s="130" t="s">
        <v>1703</v>
      </c>
      <c r="J737" s="130" t="s">
        <v>159</v>
      </c>
      <c r="K737" s="130" t="s">
        <v>1826</v>
      </c>
      <c r="L737" s="130" t="s">
        <v>554</v>
      </c>
      <c r="M737" s="128">
        <v>6</v>
      </c>
      <c r="N737" s="128">
        <f t="shared" si="11"/>
        <v>-3</v>
      </c>
      <c r="O737" s="130" t="s">
        <v>134</v>
      </c>
      <c r="P737" s="130" t="s">
        <v>134</v>
      </c>
      <c r="Q737" s="130" t="s">
        <v>554</v>
      </c>
      <c r="R737" s="128">
        <v>6</v>
      </c>
      <c r="S737" s="130" t="s">
        <v>1759</v>
      </c>
    </row>
    <row r="738" spans="1:19" x14ac:dyDescent="0.25">
      <c r="A738" s="130" t="s">
        <v>1928</v>
      </c>
      <c r="B738" s="130" t="s">
        <v>1929</v>
      </c>
      <c r="C738" s="130" t="s">
        <v>134</v>
      </c>
      <c r="D738" s="130" t="s">
        <v>134</v>
      </c>
      <c r="E738" s="130" t="s">
        <v>1826</v>
      </c>
      <c r="F738" s="130" t="s">
        <v>1759</v>
      </c>
      <c r="G738" s="130" t="s">
        <v>137</v>
      </c>
      <c r="I738" s="130" t="s">
        <v>1703</v>
      </c>
      <c r="J738" s="130" t="s">
        <v>159</v>
      </c>
      <c r="K738" s="130" t="s">
        <v>1826</v>
      </c>
      <c r="L738" s="130" t="s">
        <v>554</v>
      </c>
      <c r="M738" s="128">
        <v>6</v>
      </c>
      <c r="N738" s="128">
        <f t="shared" si="11"/>
        <v>-3</v>
      </c>
      <c r="O738" s="130" t="s">
        <v>134</v>
      </c>
      <c r="P738" s="130" t="s">
        <v>134</v>
      </c>
      <c r="Q738" s="130" t="s">
        <v>554</v>
      </c>
      <c r="R738" s="128">
        <v>6</v>
      </c>
      <c r="S738" s="130" t="s">
        <v>1759</v>
      </c>
    </row>
    <row r="739" spans="1:19" x14ac:dyDescent="0.25">
      <c r="A739" s="130" t="s">
        <v>1930</v>
      </c>
      <c r="B739" s="130" t="s">
        <v>1931</v>
      </c>
      <c r="C739" s="130" t="s">
        <v>159</v>
      </c>
      <c r="D739" s="130" t="s">
        <v>159</v>
      </c>
      <c r="E739" s="130" t="s">
        <v>1826</v>
      </c>
      <c r="F739" s="130" t="s">
        <v>1759</v>
      </c>
      <c r="G739" s="130" t="s">
        <v>137</v>
      </c>
      <c r="I739" s="130" t="s">
        <v>1703</v>
      </c>
      <c r="J739" s="130" t="s">
        <v>159</v>
      </c>
      <c r="K739" s="130" t="s">
        <v>1826</v>
      </c>
      <c r="L739" s="130" t="s">
        <v>554</v>
      </c>
      <c r="M739" s="128">
        <v>6</v>
      </c>
      <c r="N739" s="128">
        <f t="shared" si="11"/>
        <v>-3</v>
      </c>
      <c r="O739" s="130" t="s">
        <v>159</v>
      </c>
      <c r="P739" s="130" t="s">
        <v>159</v>
      </c>
      <c r="Q739" s="130" t="s">
        <v>160</v>
      </c>
      <c r="R739" s="128">
        <v>0</v>
      </c>
      <c r="S739" s="130" t="s">
        <v>1759</v>
      </c>
    </row>
    <row r="740" spans="1:19" x14ac:dyDescent="0.25">
      <c r="A740" s="130" t="s">
        <v>1932</v>
      </c>
      <c r="B740" s="130" t="s">
        <v>1933</v>
      </c>
      <c r="C740" s="130" t="s">
        <v>134</v>
      </c>
      <c r="D740" s="130" t="s">
        <v>134</v>
      </c>
      <c r="E740" s="130" t="s">
        <v>1826</v>
      </c>
      <c r="F740" s="130" t="s">
        <v>1759</v>
      </c>
      <c r="G740" s="130" t="s">
        <v>137</v>
      </c>
      <c r="I740" s="130" t="s">
        <v>1703</v>
      </c>
      <c r="J740" s="130" t="s">
        <v>159</v>
      </c>
      <c r="K740" s="130" t="s">
        <v>1826</v>
      </c>
      <c r="L740" s="130" t="s">
        <v>554</v>
      </c>
      <c r="M740" s="128">
        <v>6</v>
      </c>
      <c r="N740" s="128">
        <f t="shared" si="11"/>
        <v>-3</v>
      </c>
      <c r="O740" s="130" t="s">
        <v>134</v>
      </c>
      <c r="P740" s="130" t="s">
        <v>134</v>
      </c>
      <c r="Q740" s="130" t="s">
        <v>554</v>
      </c>
      <c r="R740" s="128">
        <v>6</v>
      </c>
      <c r="S740" s="130" t="s">
        <v>1759</v>
      </c>
    </row>
    <row r="741" spans="1:19" x14ac:dyDescent="0.25">
      <c r="A741" s="130" t="s">
        <v>1934</v>
      </c>
      <c r="B741" s="130" t="s">
        <v>1935</v>
      </c>
      <c r="C741" s="130" t="s">
        <v>134</v>
      </c>
      <c r="D741" s="130" t="s">
        <v>134</v>
      </c>
      <c r="E741" s="130" t="s">
        <v>1826</v>
      </c>
      <c r="F741" s="130" t="s">
        <v>1759</v>
      </c>
      <c r="G741" s="130" t="s">
        <v>137</v>
      </c>
      <c r="I741" s="130" t="s">
        <v>1703</v>
      </c>
      <c r="J741" s="130" t="s">
        <v>159</v>
      </c>
      <c r="K741" s="130" t="s">
        <v>1826</v>
      </c>
      <c r="L741" s="130" t="s">
        <v>554</v>
      </c>
      <c r="M741" s="128">
        <v>6</v>
      </c>
      <c r="N741" s="128">
        <f t="shared" si="11"/>
        <v>-3</v>
      </c>
      <c r="O741" s="130" t="s">
        <v>134</v>
      </c>
      <c r="P741" s="130" t="s">
        <v>134</v>
      </c>
      <c r="Q741" s="130" t="s">
        <v>554</v>
      </c>
      <c r="R741" s="128">
        <v>6</v>
      </c>
      <c r="S741" s="130" t="s">
        <v>1759</v>
      </c>
    </row>
    <row r="742" spans="1:19" x14ac:dyDescent="0.25">
      <c r="A742" s="130" t="s">
        <v>1936</v>
      </c>
      <c r="B742" s="130" t="s">
        <v>1937</v>
      </c>
      <c r="C742" s="130" t="s">
        <v>159</v>
      </c>
      <c r="D742" s="130" t="s">
        <v>159</v>
      </c>
      <c r="E742" s="130" t="s">
        <v>1826</v>
      </c>
      <c r="F742" s="130" t="s">
        <v>1759</v>
      </c>
      <c r="G742" s="130" t="s">
        <v>137</v>
      </c>
      <c r="I742" s="130" t="s">
        <v>1703</v>
      </c>
      <c r="K742" s="130" t="s">
        <v>1826</v>
      </c>
      <c r="L742" s="130" t="s">
        <v>554</v>
      </c>
      <c r="M742" s="128">
        <v>6</v>
      </c>
      <c r="N742" s="128">
        <f t="shared" si="11"/>
        <v>-3</v>
      </c>
      <c r="O742" s="130" t="s">
        <v>159</v>
      </c>
      <c r="P742" s="130" t="s">
        <v>159</v>
      </c>
      <c r="Q742" s="130" t="s">
        <v>160</v>
      </c>
      <c r="R742" s="128">
        <v>0</v>
      </c>
      <c r="S742" s="130" t="s">
        <v>1759</v>
      </c>
    </row>
    <row r="743" spans="1:19" x14ac:dyDescent="0.25">
      <c r="A743" s="130" t="s">
        <v>1938</v>
      </c>
      <c r="B743" s="130" t="s">
        <v>1939</v>
      </c>
      <c r="C743" s="130" t="s">
        <v>159</v>
      </c>
      <c r="D743" s="130" t="s">
        <v>159</v>
      </c>
      <c r="E743" s="130" t="s">
        <v>1826</v>
      </c>
      <c r="F743" s="130" t="s">
        <v>1759</v>
      </c>
      <c r="G743" s="130" t="s">
        <v>137</v>
      </c>
      <c r="I743" s="130" t="s">
        <v>1703</v>
      </c>
      <c r="K743" s="130" t="s">
        <v>1826</v>
      </c>
      <c r="L743" s="130" t="s">
        <v>554</v>
      </c>
      <c r="M743" s="128">
        <v>6</v>
      </c>
      <c r="N743" s="128">
        <f t="shared" si="11"/>
        <v>-3</v>
      </c>
      <c r="O743" s="130" t="s">
        <v>159</v>
      </c>
      <c r="P743" s="130" t="s">
        <v>159</v>
      </c>
      <c r="Q743" s="130" t="s">
        <v>160</v>
      </c>
      <c r="R743" s="128">
        <v>0</v>
      </c>
      <c r="S743" s="130" t="s">
        <v>1759</v>
      </c>
    </row>
    <row r="744" spans="1:19" x14ac:dyDescent="0.25">
      <c r="A744" s="130" t="s">
        <v>1940</v>
      </c>
      <c r="B744" s="130" t="s">
        <v>1941</v>
      </c>
      <c r="C744" s="130" t="s">
        <v>159</v>
      </c>
      <c r="D744" s="130" t="s">
        <v>159</v>
      </c>
      <c r="E744" s="130" t="s">
        <v>1826</v>
      </c>
      <c r="F744" s="130" t="s">
        <v>1759</v>
      </c>
      <c r="G744" s="130" t="s">
        <v>137</v>
      </c>
      <c r="I744" s="130" t="s">
        <v>1703</v>
      </c>
      <c r="K744" s="130" t="s">
        <v>1826</v>
      </c>
      <c r="L744" s="130" t="s">
        <v>554</v>
      </c>
      <c r="M744" s="128">
        <v>6</v>
      </c>
      <c r="N744" s="128">
        <f t="shared" si="11"/>
        <v>-3</v>
      </c>
      <c r="O744" s="130" t="s">
        <v>159</v>
      </c>
      <c r="P744" s="130" t="s">
        <v>159</v>
      </c>
      <c r="Q744" s="130" t="s">
        <v>160</v>
      </c>
      <c r="R744" s="128">
        <v>0</v>
      </c>
      <c r="S744" s="130" t="s">
        <v>1759</v>
      </c>
    </row>
    <row r="745" spans="1:19" x14ac:dyDescent="0.25">
      <c r="A745" s="130" t="s">
        <v>1942</v>
      </c>
      <c r="B745" s="130" t="s">
        <v>1943</v>
      </c>
      <c r="C745" s="130" t="s">
        <v>134</v>
      </c>
      <c r="D745" s="130" t="s">
        <v>134</v>
      </c>
      <c r="E745" s="130" t="s">
        <v>1944</v>
      </c>
      <c r="F745" s="130" t="s">
        <v>1945</v>
      </c>
      <c r="G745" s="130" t="s">
        <v>137</v>
      </c>
      <c r="I745" s="130" t="s">
        <v>1703</v>
      </c>
      <c r="J745" s="130" t="s">
        <v>159</v>
      </c>
      <c r="K745" s="130" t="s">
        <v>1944</v>
      </c>
      <c r="L745" s="130" t="s">
        <v>1946</v>
      </c>
      <c r="M745" s="128">
        <v>7</v>
      </c>
      <c r="N745" s="128">
        <f t="shared" si="11"/>
        <v>1</v>
      </c>
      <c r="O745" s="130" t="s">
        <v>134</v>
      </c>
      <c r="P745" s="130" t="s">
        <v>134</v>
      </c>
      <c r="Q745" s="130" t="s">
        <v>1946</v>
      </c>
      <c r="R745" s="128">
        <v>7</v>
      </c>
      <c r="S745" s="130" t="s">
        <v>1947</v>
      </c>
    </row>
    <row r="746" spans="1:19" x14ac:dyDescent="0.25">
      <c r="A746" s="130" t="s">
        <v>1944</v>
      </c>
      <c r="B746" s="130" t="s">
        <v>1948</v>
      </c>
      <c r="C746" s="130" t="s">
        <v>134</v>
      </c>
      <c r="D746" s="130" t="s">
        <v>134</v>
      </c>
      <c r="E746" s="130" t="s">
        <v>1944</v>
      </c>
      <c r="F746" s="130" t="s">
        <v>1945</v>
      </c>
      <c r="G746" s="130" t="s">
        <v>137</v>
      </c>
      <c r="I746" s="130" t="s">
        <v>1703</v>
      </c>
      <c r="J746" s="130" t="s">
        <v>159</v>
      </c>
      <c r="K746" s="130" t="s">
        <v>1944</v>
      </c>
      <c r="L746" s="130" t="s">
        <v>1946</v>
      </c>
      <c r="M746" s="128">
        <v>7</v>
      </c>
      <c r="N746" s="128">
        <f t="shared" si="11"/>
        <v>1</v>
      </c>
      <c r="O746" s="130" t="s">
        <v>134</v>
      </c>
      <c r="P746" s="130" t="s">
        <v>134</v>
      </c>
      <c r="Q746" s="130" t="s">
        <v>1946</v>
      </c>
      <c r="R746" s="128">
        <v>7</v>
      </c>
      <c r="S746" s="130" t="s">
        <v>1947</v>
      </c>
    </row>
    <row r="747" spans="1:19" x14ac:dyDescent="0.25">
      <c r="A747" s="130" t="s">
        <v>1949</v>
      </c>
      <c r="B747" s="130" t="s">
        <v>1950</v>
      </c>
      <c r="C747" s="130" t="s">
        <v>134</v>
      </c>
      <c r="D747" s="130" t="s">
        <v>134</v>
      </c>
      <c r="E747" s="130" t="s">
        <v>1949</v>
      </c>
      <c r="F747" s="130" t="s">
        <v>1950</v>
      </c>
      <c r="G747" s="130" t="s">
        <v>137</v>
      </c>
      <c r="I747" s="130" t="s">
        <v>1703</v>
      </c>
      <c r="J747" s="130" t="s">
        <v>159</v>
      </c>
      <c r="K747" s="130" t="s">
        <v>1949</v>
      </c>
      <c r="L747" s="130" t="s">
        <v>1946</v>
      </c>
      <c r="M747" s="128">
        <v>7</v>
      </c>
      <c r="N747" s="128">
        <f t="shared" si="11"/>
        <v>1</v>
      </c>
      <c r="O747" s="130" t="s">
        <v>134</v>
      </c>
      <c r="P747" s="130" t="s">
        <v>134</v>
      </c>
      <c r="Q747" s="130" t="s">
        <v>1946</v>
      </c>
      <c r="R747" s="128">
        <v>7</v>
      </c>
      <c r="S747" s="130" t="s">
        <v>1947</v>
      </c>
    </row>
    <row r="748" spans="1:19" x14ac:dyDescent="0.25">
      <c r="A748" s="130" t="s">
        <v>1951</v>
      </c>
      <c r="B748" s="130" t="s">
        <v>1952</v>
      </c>
      <c r="C748" s="130" t="s">
        <v>134</v>
      </c>
      <c r="D748" s="130" t="s">
        <v>134</v>
      </c>
      <c r="E748" s="130" t="s">
        <v>1953</v>
      </c>
      <c r="F748" s="130" t="s">
        <v>1954</v>
      </c>
      <c r="G748" s="130" t="s">
        <v>137</v>
      </c>
      <c r="I748" s="130" t="s">
        <v>1703</v>
      </c>
      <c r="J748" s="130" t="s">
        <v>159</v>
      </c>
      <c r="K748" s="130" t="s">
        <v>1951</v>
      </c>
      <c r="L748" s="130" t="s">
        <v>1946</v>
      </c>
      <c r="M748" s="128">
        <v>7</v>
      </c>
      <c r="N748" s="128">
        <f t="shared" si="11"/>
        <v>1</v>
      </c>
      <c r="O748" s="130" t="s">
        <v>134</v>
      </c>
      <c r="P748" s="130" t="s">
        <v>134</v>
      </c>
      <c r="Q748" s="130" t="s">
        <v>1946</v>
      </c>
      <c r="R748" s="128">
        <v>7</v>
      </c>
      <c r="S748" s="130" t="s">
        <v>1955</v>
      </c>
    </row>
    <row r="749" spans="1:19" x14ac:dyDescent="0.25">
      <c r="A749" s="130" t="s">
        <v>1956</v>
      </c>
      <c r="B749" s="130" t="s">
        <v>1957</v>
      </c>
      <c r="C749" s="130" t="s">
        <v>134</v>
      </c>
      <c r="D749" s="130" t="s">
        <v>134</v>
      </c>
      <c r="E749" s="130" t="s">
        <v>1953</v>
      </c>
      <c r="F749" s="130" t="s">
        <v>1954</v>
      </c>
      <c r="G749" s="130" t="s">
        <v>137</v>
      </c>
      <c r="I749" s="130" t="s">
        <v>1703</v>
      </c>
      <c r="J749" s="130" t="s">
        <v>159</v>
      </c>
      <c r="K749" s="130" t="s">
        <v>1951</v>
      </c>
      <c r="L749" s="130" t="s">
        <v>1946</v>
      </c>
      <c r="M749" s="128">
        <v>7</v>
      </c>
      <c r="N749" s="128">
        <f t="shared" si="11"/>
        <v>1</v>
      </c>
      <c r="O749" s="130" t="s">
        <v>134</v>
      </c>
      <c r="P749" s="130" t="s">
        <v>134</v>
      </c>
      <c r="Q749" s="130" t="s">
        <v>1946</v>
      </c>
      <c r="R749" s="128">
        <v>7</v>
      </c>
      <c r="S749" s="130" t="s">
        <v>1955</v>
      </c>
    </row>
    <row r="750" spans="1:19" x14ac:dyDescent="0.25">
      <c r="A750" s="130" t="s">
        <v>1958</v>
      </c>
      <c r="B750" s="130" t="s">
        <v>1959</v>
      </c>
      <c r="C750" s="130" t="s">
        <v>134</v>
      </c>
      <c r="D750" s="130" t="s">
        <v>134</v>
      </c>
      <c r="E750" s="130" t="s">
        <v>1953</v>
      </c>
      <c r="F750" s="130" t="s">
        <v>1954</v>
      </c>
      <c r="G750" s="130" t="s">
        <v>137</v>
      </c>
      <c r="I750" s="130" t="s">
        <v>1703</v>
      </c>
      <c r="J750" s="130" t="s">
        <v>159</v>
      </c>
      <c r="K750" s="130" t="s">
        <v>1951</v>
      </c>
      <c r="L750" s="130" t="s">
        <v>1946</v>
      </c>
      <c r="M750" s="128">
        <v>7</v>
      </c>
      <c r="N750" s="128">
        <f t="shared" si="11"/>
        <v>1</v>
      </c>
      <c r="O750" s="130" t="s">
        <v>134</v>
      </c>
      <c r="P750" s="130" t="s">
        <v>134</v>
      </c>
      <c r="Q750" s="130" t="s">
        <v>1946</v>
      </c>
      <c r="R750" s="128">
        <v>7</v>
      </c>
      <c r="S750" s="130" t="s">
        <v>1955</v>
      </c>
    </row>
    <row r="751" spans="1:19" x14ac:dyDescent="0.25">
      <c r="A751" s="130" t="s">
        <v>1960</v>
      </c>
      <c r="B751" s="130" t="s">
        <v>1961</v>
      </c>
      <c r="C751" s="130" t="s">
        <v>134</v>
      </c>
      <c r="D751" s="130" t="s">
        <v>134</v>
      </c>
      <c r="E751" s="130" t="s">
        <v>1953</v>
      </c>
      <c r="F751" s="130" t="s">
        <v>1954</v>
      </c>
      <c r="G751" s="130" t="s">
        <v>137</v>
      </c>
      <c r="I751" s="130" t="s">
        <v>1703</v>
      </c>
      <c r="J751" s="130" t="s">
        <v>159</v>
      </c>
      <c r="K751" s="130" t="s">
        <v>1951</v>
      </c>
      <c r="L751" s="130" t="s">
        <v>1946</v>
      </c>
      <c r="M751" s="128">
        <v>7</v>
      </c>
      <c r="N751" s="128">
        <f t="shared" si="11"/>
        <v>1</v>
      </c>
      <c r="O751" s="130" t="s">
        <v>134</v>
      </c>
      <c r="P751" s="130" t="s">
        <v>134</v>
      </c>
      <c r="Q751" s="130" t="s">
        <v>1946</v>
      </c>
      <c r="R751" s="128">
        <v>7</v>
      </c>
      <c r="S751" s="130" t="s">
        <v>1955</v>
      </c>
    </row>
    <row r="752" spans="1:19" x14ac:dyDescent="0.25">
      <c r="A752" s="130" t="s">
        <v>1962</v>
      </c>
      <c r="B752" s="130" t="s">
        <v>1963</v>
      </c>
      <c r="C752" s="130" t="s">
        <v>134</v>
      </c>
      <c r="D752" s="130" t="s">
        <v>134</v>
      </c>
      <c r="E752" s="130" t="s">
        <v>1953</v>
      </c>
      <c r="F752" s="130" t="s">
        <v>1954</v>
      </c>
      <c r="G752" s="130" t="s">
        <v>137</v>
      </c>
      <c r="I752" s="130" t="s">
        <v>1703</v>
      </c>
      <c r="J752" s="130" t="s">
        <v>159</v>
      </c>
      <c r="K752" s="130" t="s">
        <v>1951</v>
      </c>
      <c r="L752" s="130" t="s">
        <v>1946</v>
      </c>
      <c r="M752" s="128">
        <v>7</v>
      </c>
      <c r="N752" s="128">
        <f t="shared" si="11"/>
        <v>1</v>
      </c>
      <c r="O752" s="130" t="s">
        <v>134</v>
      </c>
      <c r="P752" s="130" t="s">
        <v>134</v>
      </c>
      <c r="Q752" s="130" t="s">
        <v>1946</v>
      </c>
      <c r="R752" s="128">
        <v>7</v>
      </c>
      <c r="S752" s="130" t="s">
        <v>1955</v>
      </c>
    </row>
    <row r="753" spans="1:19" x14ac:dyDescent="0.25">
      <c r="A753" s="130" t="s">
        <v>1964</v>
      </c>
      <c r="B753" s="130" t="s">
        <v>1965</v>
      </c>
      <c r="C753" s="130" t="s">
        <v>134</v>
      </c>
      <c r="D753" s="130" t="s">
        <v>134</v>
      </c>
      <c r="E753" s="130" t="s">
        <v>1953</v>
      </c>
      <c r="F753" s="130" t="s">
        <v>1954</v>
      </c>
      <c r="G753" s="130" t="s">
        <v>137</v>
      </c>
      <c r="I753" s="130" t="s">
        <v>1703</v>
      </c>
      <c r="J753" s="130" t="s">
        <v>159</v>
      </c>
      <c r="K753" s="130" t="s">
        <v>1951</v>
      </c>
      <c r="L753" s="130" t="s">
        <v>1946</v>
      </c>
      <c r="M753" s="128">
        <v>7</v>
      </c>
      <c r="N753" s="128">
        <f t="shared" si="11"/>
        <v>1</v>
      </c>
      <c r="O753" s="130" t="s">
        <v>134</v>
      </c>
      <c r="P753" s="130" t="s">
        <v>134</v>
      </c>
      <c r="Q753" s="130" t="s">
        <v>1946</v>
      </c>
      <c r="R753" s="128">
        <v>7</v>
      </c>
      <c r="S753" s="130" t="s">
        <v>1955</v>
      </c>
    </row>
    <row r="754" spans="1:19" x14ac:dyDescent="0.25">
      <c r="A754" s="130" t="s">
        <v>1966</v>
      </c>
      <c r="B754" s="130" t="s">
        <v>1967</v>
      </c>
      <c r="C754" s="130" t="s">
        <v>134</v>
      </c>
      <c r="D754" s="130" t="s">
        <v>134</v>
      </c>
      <c r="E754" s="130" t="s">
        <v>1968</v>
      </c>
      <c r="F754" s="130" t="s">
        <v>1969</v>
      </c>
      <c r="G754" s="130" t="s">
        <v>159</v>
      </c>
      <c r="I754" s="130" t="s">
        <v>1703</v>
      </c>
      <c r="J754" s="130" t="s">
        <v>159</v>
      </c>
      <c r="K754" s="130" t="s">
        <v>1951</v>
      </c>
      <c r="L754" s="130" t="s">
        <v>1946</v>
      </c>
      <c r="M754" s="128">
        <v>7</v>
      </c>
      <c r="N754" s="128">
        <f t="shared" si="11"/>
        <v>1</v>
      </c>
      <c r="O754" s="130" t="s">
        <v>134</v>
      </c>
      <c r="P754" s="130" t="s">
        <v>134</v>
      </c>
      <c r="Q754" s="130" t="s">
        <v>1946</v>
      </c>
      <c r="R754" s="128">
        <v>7</v>
      </c>
      <c r="S754" s="130" t="s">
        <v>1955</v>
      </c>
    </row>
    <row r="755" spans="1:19" x14ac:dyDescent="0.25">
      <c r="A755" s="130" t="s">
        <v>1970</v>
      </c>
      <c r="B755" s="130" t="s">
        <v>1971</v>
      </c>
      <c r="C755" s="130" t="s">
        <v>134</v>
      </c>
      <c r="D755" s="130" t="s">
        <v>134</v>
      </c>
      <c r="E755" s="130" t="s">
        <v>1972</v>
      </c>
      <c r="F755" s="130" t="s">
        <v>1973</v>
      </c>
      <c r="G755" s="130" t="s">
        <v>137</v>
      </c>
      <c r="I755" s="130" t="s">
        <v>1703</v>
      </c>
      <c r="J755" s="130" t="s">
        <v>159</v>
      </c>
      <c r="K755" s="130" t="s">
        <v>1951</v>
      </c>
      <c r="L755" s="130" t="s">
        <v>417</v>
      </c>
      <c r="M755" s="128">
        <v>7</v>
      </c>
      <c r="N755" s="128">
        <f t="shared" si="11"/>
        <v>-5</v>
      </c>
      <c r="O755" s="130" t="s">
        <v>134</v>
      </c>
      <c r="P755" s="130" t="s">
        <v>134</v>
      </c>
      <c r="Q755" s="130" t="s">
        <v>417</v>
      </c>
      <c r="R755" s="128">
        <v>7</v>
      </c>
      <c r="S755" s="130" t="s">
        <v>1955</v>
      </c>
    </row>
    <row r="756" spans="1:19" x14ac:dyDescent="0.25">
      <c r="A756" s="130" t="s">
        <v>1974</v>
      </c>
      <c r="B756" s="130" t="s">
        <v>1975</v>
      </c>
      <c r="C756" s="130" t="s">
        <v>134</v>
      </c>
      <c r="D756" s="130" t="s">
        <v>134</v>
      </c>
      <c r="E756" s="130" t="s">
        <v>1953</v>
      </c>
      <c r="F756" s="130" t="s">
        <v>1954</v>
      </c>
      <c r="G756" s="130" t="s">
        <v>137</v>
      </c>
      <c r="I756" s="130" t="s">
        <v>1703</v>
      </c>
      <c r="J756" s="130" t="s">
        <v>159</v>
      </c>
      <c r="K756" s="130" t="s">
        <v>1951</v>
      </c>
      <c r="L756" s="130" t="s">
        <v>417</v>
      </c>
      <c r="M756" s="128">
        <v>7</v>
      </c>
      <c r="N756" s="128">
        <f t="shared" si="11"/>
        <v>-5</v>
      </c>
      <c r="O756" s="130" t="s">
        <v>134</v>
      </c>
      <c r="P756" s="130" t="s">
        <v>134</v>
      </c>
      <c r="Q756" s="130" t="s">
        <v>417</v>
      </c>
      <c r="R756" s="128">
        <v>7</v>
      </c>
      <c r="S756" s="130" t="s">
        <v>1955</v>
      </c>
    </row>
    <row r="757" spans="1:19" x14ac:dyDescent="0.25">
      <c r="A757" s="130" t="s">
        <v>1976</v>
      </c>
      <c r="B757" s="130" t="s">
        <v>1977</v>
      </c>
      <c r="C757" s="130" t="s">
        <v>134</v>
      </c>
      <c r="D757" s="130" t="s">
        <v>134</v>
      </c>
      <c r="E757" s="130" t="s">
        <v>1976</v>
      </c>
      <c r="F757" s="130" t="s">
        <v>1977</v>
      </c>
      <c r="G757" s="130" t="s">
        <v>137</v>
      </c>
      <c r="I757" s="130" t="s">
        <v>1703</v>
      </c>
      <c r="J757" s="130" t="s">
        <v>159</v>
      </c>
      <c r="K757" s="130" t="s">
        <v>1976</v>
      </c>
      <c r="L757" s="130" t="s">
        <v>1946</v>
      </c>
      <c r="M757" s="128">
        <v>7</v>
      </c>
      <c r="N757" s="128">
        <f t="shared" si="11"/>
        <v>1</v>
      </c>
      <c r="O757" s="130" t="s">
        <v>134</v>
      </c>
      <c r="P757" s="130" t="s">
        <v>134</v>
      </c>
      <c r="Q757" s="130" t="s">
        <v>1946</v>
      </c>
      <c r="R757" s="128">
        <v>7</v>
      </c>
      <c r="S757" s="130" t="s">
        <v>1947</v>
      </c>
    </row>
    <row r="758" spans="1:19" x14ac:dyDescent="0.25">
      <c r="A758" s="130" t="s">
        <v>1978</v>
      </c>
      <c r="B758" s="130" t="s">
        <v>1979</v>
      </c>
      <c r="C758" s="130" t="s">
        <v>134</v>
      </c>
      <c r="D758" s="130" t="s">
        <v>134</v>
      </c>
      <c r="E758" s="130" t="s">
        <v>1978</v>
      </c>
      <c r="F758" s="130" t="s">
        <v>1979</v>
      </c>
      <c r="G758" s="130" t="s">
        <v>137</v>
      </c>
      <c r="I758" s="130" t="s">
        <v>1703</v>
      </c>
      <c r="J758" s="130" t="s">
        <v>159</v>
      </c>
      <c r="K758" s="130" t="s">
        <v>1978</v>
      </c>
      <c r="L758" s="130" t="s">
        <v>1946</v>
      </c>
      <c r="M758" s="128">
        <v>7</v>
      </c>
      <c r="N758" s="128">
        <f t="shared" si="11"/>
        <v>1</v>
      </c>
      <c r="O758" s="130" t="s">
        <v>134</v>
      </c>
      <c r="P758" s="130" t="s">
        <v>134</v>
      </c>
      <c r="Q758" s="130" t="s">
        <v>1946</v>
      </c>
      <c r="R758" s="128">
        <v>7</v>
      </c>
      <c r="S758" s="130" t="s">
        <v>1947</v>
      </c>
    </row>
    <row r="759" spans="1:19" x14ac:dyDescent="0.25">
      <c r="A759" s="130" t="s">
        <v>1980</v>
      </c>
      <c r="B759" s="130" t="s">
        <v>1981</v>
      </c>
      <c r="C759" s="130" t="s">
        <v>134</v>
      </c>
      <c r="D759" s="127" t="s">
        <v>860</v>
      </c>
      <c r="E759" s="130" t="s">
        <v>1982</v>
      </c>
      <c r="F759" s="130" t="s">
        <v>1741</v>
      </c>
      <c r="G759" s="130" t="s">
        <v>137</v>
      </c>
      <c r="I759" s="130" t="s">
        <v>1703</v>
      </c>
      <c r="J759" s="130" t="s">
        <v>159</v>
      </c>
      <c r="K759" s="130" t="s">
        <v>1982</v>
      </c>
      <c r="L759" s="130" t="s">
        <v>1946</v>
      </c>
      <c r="M759" s="128">
        <v>6</v>
      </c>
      <c r="N759" s="128">
        <f t="shared" si="11"/>
        <v>0</v>
      </c>
      <c r="O759" s="130" t="s">
        <v>134</v>
      </c>
      <c r="P759" s="127" t="s">
        <v>860</v>
      </c>
      <c r="Q759" s="130" t="s">
        <v>1946</v>
      </c>
      <c r="R759" s="128">
        <v>6</v>
      </c>
      <c r="S759" s="130" t="s">
        <v>1741</v>
      </c>
    </row>
    <row r="760" spans="1:19" x14ac:dyDescent="0.25">
      <c r="A760" s="130" t="s">
        <v>1983</v>
      </c>
      <c r="B760" s="130" t="s">
        <v>1984</v>
      </c>
      <c r="C760" s="130" t="s">
        <v>134</v>
      </c>
      <c r="D760" s="127" t="s">
        <v>860</v>
      </c>
      <c r="E760" s="130" t="s">
        <v>1982</v>
      </c>
      <c r="F760" s="130" t="s">
        <v>1741</v>
      </c>
      <c r="G760" s="130" t="s">
        <v>137</v>
      </c>
      <c r="I760" s="130" t="s">
        <v>1703</v>
      </c>
      <c r="J760" s="130" t="s">
        <v>159</v>
      </c>
      <c r="K760" s="130" t="s">
        <v>1982</v>
      </c>
      <c r="L760" s="130" t="s">
        <v>1946</v>
      </c>
      <c r="M760" s="128">
        <v>6</v>
      </c>
      <c r="N760" s="128">
        <f t="shared" si="11"/>
        <v>0</v>
      </c>
      <c r="O760" s="130" t="s">
        <v>134</v>
      </c>
      <c r="P760" s="127" t="s">
        <v>860</v>
      </c>
      <c r="Q760" s="130" t="s">
        <v>1946</v>
      </c>
      <c r="R760" s="128">
        <v>6</v>
      </c>
      <c r="S760" s="130" t="s">
        <v>1741</v>
      </c>
    </row>
    <row r="761" spans="1:19" x14ac:dyDescent="0.25">
      <c r="A761" s="130" t="s">
        <v>1985</v>
      </c>
      <c r="B761" s="130" t="s">
        <v>1986</v>
      </c>
      <c r="C761" s="130" t="s">
        <v>134</v>
      </c>
      <c r="D761" s="130" t="s">
        <v>134</v>
      </c>
      <c r="E761" s="130" t="s">
        <v>1987</v>
      </c>
      <c r="F761" s="130" t="s">
        <v>1988</v>
      </c>
      <c r="G761" s="130" t="s">
        <v>137</v>
      </c>
      <c r="I761" s="130" t="s">
        <v>1703</v>
      </c>
      <c r="J761" s="130" t="s">
        <v>159</v>
      </c>
      <c r="K761" s="130" t="s">
        <v>1982</v>
      </c>
      <c r="L761" s="130" t="s">
        <v>1946</v>
      </c>
      <c r="M761" s="128">
        <v>6</v>
      </c>
      <c r="N761" s="128">
        <f t="shared" si="11"/>
        <v>0</v>
      </c>
      <c r="O761" s="130" t="s">
        <v>134</v>
      </c>
      <c r="P761" s="130" t="s">
        <v>134</v>
      </c>
      <c r="Q761" s="130" t="s">
        <v>1946</v>
      </c>
      <c r="R761" s="128">
        <v>6</v>
      </c>
      <c r="S761" s="130" t="s">
        <v>1741</v>
      </c>
    </row>
    <row r="762" spans="1:19" x14ac:dyDescent="0.25">
      <c r="A762" s="130" t="s">
        <v>1989</v>
      </c>
      <c r="B762" s="130" t="s">
        <v>1990</v>
      </c>
      <c r="C762" s="130" t="s">
        <v>134</v>
      </c>
      <c r="D762" s="130" t="s">
        <v>134</v>
      </c>
      <c r="E762" s="130" t="s">
        <v>1982</v>
      </c>
      <c r="F762" s="130" t="s">
        <v>1741</v>
      </c>
      <c r="G762" s="130" t="s">
        <v>137</v>
      </c>
      <c r="I762" s="130" t="s">
        <v>1703</v>
      </c>
      <c r="J762" s="130" t="s">
        <v>159</v>
      </c>
      <c r="K762" s="130" t="s">
        <v>1982</v>
      </c>
      <c r="L762" s="130" t="s">
        <v>554</v>
      </c>
      <c r="M762" s="128">
        <v>6</v>
      </c>
      <c r="N762" s="128">
        <f t="shared" si="11"/>
        <v>-3</v>
      </c>
      <c r="O762" s="130" t="s">
        <v>134</v>
      </c>
      <c r="P762" s="130" t="s">
        <v>134</v>
      </c>
      <c r="Q762" s="130" t="s">
        <v>554</v>
      </c>
      <c r="R762" s="128">
        <v>6</v>
      </c>
      <c r="S762" s="130" t="s">
        <v>1741</v>
      </c>
    </row>
    <row r="763" spans="1:19" x14ac:dyDescent="0.25">
      <c r="A763" s="130" t="s">
        <v>1991</v>
      </c>
      <c r="B763" s="130" t="s">
        <v>1992</v>
      </c>
      <c r="C763" s="130" t="s">
        <v>134</v>
      </c>
      <c r="D763" s="130" t="s">
        <v>134</v>
      </c>
      <c r="E763" s="130" t="s">
        <v>1982</v>
      </c>
      <c r="F763" s="130" t="s">
        <v>1741</v>
      </c>
      <c r="G763" s="130" t="s">
        <v>137</v>
      </c>
      <c r="I763" s="130" t="s">
        <v>1703</v>
      </c>
      <c r="J763" s="130" t="s">
        <v>159</v>
      </c>
      <c r="K763" s="130" t="s">
        <v>1982</v>
      </c>
      <c r="L763" s="130" t="s">
        <v>1707</v>
      </c>
      <c r="M763" s="128">
        <v>6</v>
      </c>
      <c r="N763" s="128">
        <f t="shared" si="11"/>
        <v>1</v>
      </c>
      <c r="O763" s="130" t="s">
        <v>134</v>
      </c>
      <c r="P763" s="130" t="s">
        <v>134</v>
      </c>
      <c r="Q763" s="130" t="s">
        <v>1707</v>
      </c>
      <c r="R763" s="128">
        <v>6</v>
      </c>
      <c r="S763" s="130" t="s">
        <v>1741</v>
      </c>
    </row>
    <row r="764" spans="1:19" x14ac:dyDescent="0.25">
      <c r="A764" s="130" t="s">
        <v>1993</v>
      </c>
      <c r="B764" s="130" t="s">
        <v>1994</v>
      </c>
      <c r="C764" s="130" t="s">
        <v>134</v>
      </c>
      <c r="D764" s="127" t="s">
        <v>860</v>
      </c>
      <c r="E764" s="130" t="s">
        <v>1982</v>
      </c>
      <c r="F764" s="130" t="s">
        <v>1741</v>
      </c>
      <c r="G764" s="130" t="s">
        <v>137</v>
      </c>
      <c r="I764" s="130" t="s">
        <v>1703</v>
      </c>
      <c r="J764" s="130" t="s">
        <v>159</v>
      </c>
      <c r="K764" s="130" t="s">
        <v>1982</v>
      </c>
      <c r="L764" s="130" t="s">
        <v>554</v>
      </c>
      <c r="M764" s="128">
        <v>6</v>
      </c>
      <c r="N764" s="128">
        <f t="shared" si="11"/>
        <v>-3</v>
      </c>
      <c r="O764" s="130" t="s">
        <v>134</v>
      </c>
      <c r="P764" s="127" t="s">
        <v>860</v>
      </c>
      <c r="Q764" s="130" t="s">
        <v>554</v>
      </c>
      <c r="R764" s="128">
        <v>6</v>
      </c>
      <c r="S764" s="130" t="s">
        <v>1741</v>
      </c>
    </row>
    <row r="765" spans="1:19" x14ac:dyDescent="0.25">
      <c r="A765" s="130" t="s">
        <v>1995</v>
      </c>
      <c r="B765" s="130" t="s">
        <v>1996</v>
      </c>
      <c r="C765" s="130" t="s">
        <v>860</v>
      </c>
      <c r="D765" s="130" t="s">
        <v>860</v>
      </c>
      <c r="E765" s="130" t="s">
        <v>1982</v>
      </c>
      <c r="F765" s="130" t="s">
        <v>1741</v>
      </c>
      <c r="G765" s="130" t="s">
        <v>137</v>
      </c>
      <c r="I765" s="130" t="s">
        <v>1703</v>
      </c>
      <c r="J765" s="130" t="s">
        <v>159</v>
      </c>
      <c r="K765" s="130" t="s">
        <v>1982</v>
      </c>
      <c r="L765" s="130" t="s">
        <v>554</v>
      </c>
      <c r="M765" s="128">
        <v>6</v>
      </c>
      <c r="N765" s="128">
        <f t="shared" si="11"/>
        <v>-3</v>
      </c>
      <c r="O765" s="130" t="s">
        <v>860</v>
      </c>
      <c r="P765" s="130" t="s">
        <v>860</v>
      </c>
      <c r="Q765" s="130" t="s">
        <v>160</v>
      </c>
      <c r="R765" s="128">
        <v>0</v>
      </c>
      <c r="S765" s="130" t="s">
        <v>1741</v>
      </c>
    </row>
    <row r="766" spans="1:19" x14ac:dyDescent="0.25">
      <c r="A766" s="130" t="s">
        <v>1997</v>
      </c>
      <c r="B766" s="130" t="s">
        <v>1998</v>
      </c>
      <c r="C766" s="130" t="s">
        <v>134</v>
      </c>
      <c r="D766" s="130" t="s">
        <v>134</v>
      </c>
      <c r="E766" s="130" t="s">
        <v>1982</v>
      </c>
      <c r="F766" s="130" t="s">
        <v>1741</v>
      </c>
      <c r="G766" s="130" t="s">
        <v>137</v>
      </c>
      <c r="I766" s="130" t="s">
        <v>1703</v>
      </c>
      <c r="J766" s="130" t="s">
        <v>159</v>
      </c>
      <c r="K766" s="130" t="s">
        <v>1982</v>
      </c>
      <c r="L766" s="130" t="s">
        <v>554</v>
      </c>
      <c r="M766" s="128">
        <v>6</v>
      </c>
      <c r="N766" s="128">
        <f t="shared" si="11"/>
        <v>-3</v>
      </c>
      <c r="O766" s="130" t="s">
        <v>134</v>
      </c>
      <c r="P766" s="130" t="s">
        <v>134</v>
      </c>
      <c r="Q766" s="130" t="s">
        <v>554</v>
      </c>
      <c r="R766" s="128">
        <v>6</v>
      </c>
      <c r="S766" s="130" t="s">
        <v>1741</v>
      </c>
    </row>
    <row r="767" spans="1:19" x14ac:dyDescent="0.25">
      <c r="A767" s="130" t="s">
        <v>1999</v>
      </c>
      <c r="B767" s="130" t="s">
        <v>2000</v>
      </c>
      <c r="C767" s="130" t="s">
        <v>134</v>
      </c>
      <c r="D767" s="130" t="s">
        <v>134</v>
      </c>
      <c r="E767" s="130" t="s">
        <v>1982</v>
      </c>
      <c r="F767" s="130" t="s">
        <v>1741</v>
      </c>
      <c r="G767" s="130" t="s">
        <v>137</v>
      </c>
      <c r="I767" s="130" t="s">
        <v>1703</v>
      </c>
      <c r="J767" s="130" t="s">
        <v>159</v>
      </c>
      <c r="K767" s="130" t="s">
        <v>1982</v>
      </c>
      <c r="L767" s="130" t="s">
        <v>554</v>
      </c>
      <c r="M767" s="128">
        <v>6</v>
      </c>
      <c r="N767" s="128">
        <f t="shared" si="11"/>
        <v>-3</v>
      </c>
      <c r="O767" s="130" t="s">
        <v>134</v>
      </c>
      <c r="P767" s="130" t="s">
        <v>134</v>
      </c>
      <c r="Q767" s="130" t="s">
        <v>554</v>
      </c>
      <c r="R767" s="128">
        <v>6</v>
      </c>
      <c r="S767" s="130" t="s">
        <v>1741</v>
      </c>
    </row>
    <row r="768" spans="1:19" x14ac:dyDescent="0.25">
      <c r="A768" s="130" t="s">
        <v>2001</v>
      </c>
      <c r="B768" s="130" t="s">
        <v>2002</v>
      </c>
      <c r="C768" s="130" t="s">
        <v>134</v>
      </c>
      <c r="D768" s="130" t="s">
        <v>134</v>
      </c>
      <c r="E768" s="130" t="s">
        <v>1982</v>
      </c>
      <c r="F768" s="130" t="s">
        <v>1741</v>
      </c>
      <c r="G768" s="130" t="s">
        <v>137</v>
      </c>
      <c r="I768" s="130" t="s">
        <v>1703</v>
      </c>
      <c r="J768" s="130" t="s">
        <v>159</v>
      </c>
      <c r="K768" s="130" t="s">
        <v>1982</v>
      </c>
      <c r="L768" s="130" t="s">
        <v>554</v>
      </c>
      <c r="M768" s="128">
        <v>6</v>
      </c>
      <c r="N768" s="128">
        <f t="shared" si="11"/>
        <v>-3</v>
      </c>
      <c r="O768" s="130" t="s">
        <v>134</v>
      </c>
      <c r="P768" s="130" t="s">
        <v>134</v>
      </c>
      <c r="Q768" s="130" t="s">
        <v>554</v>
      </c>
      <c r="R768" s="128">
        <v>6</v>
      </c>
      <c r="S768" s="130" t="s">
        <v>1741</v>
      </c>
    </row>
    <row r="769" spans="1:19" x14ac:dyDescent="0.25">
      <c r="A769" s="130" t="s">
        <v>2003</v>
      </c>
      <c r="B769" s="130" t="s">
        <v>2004</v>
      </c>
      <c r="C769" s="130" t="s">
        <v>860</v>
      </c>
      <c r="D769" s="130" t="s">
        <v>860</v>
      </c>
      <c r="E769" s="130" t="s">
        <v>1982</v>
      </c>
      <c r="F769" s="130" t="s">
        <v>1741</v>
      </c>
      <c r="G769" s="130" t="s">
        <v>137</v>
      </c>
      <c r="I769" s="130" t="s">
        <v>1703</v>
      </c>
      <c r="J769" s="130" t="s">
        <v>159</v>
      </c>
      <c r="K769" s="130" t="s">
        <v>1982</v>
      </c>
      <c r="L769" s="130" t="s">
        <v>554</v>
      </c>
      <c r="M769" s="128">
        <v>6</v>
      </c>
      <c r="N769" s="128">
        <f t="shared" si="11"/>
        <v>-3</v>
      </c>
      <c r="O769" s="130" t="s">
        <v>860</v>
      </c>
      <c r="P769" s="130" t="s">
        <v>860</v>
      </c>
      <c r="Q769" s="130" t="s">
        <v>160</v>
      </c>
      <c r="R769" s="128">
        <v>0</v>
      </c>
      <c r="S769" s="130" t="s">
        <v>1741</v>
      </c>
    </row>
    <row r="770" spans="1:19" x14ac:dyDescent="0.25">
      <c r="A770" s="130" t="s">
        <v>2005</v>
      </c>
      <c r="B770" s="130" t="s">
        <v>2006</v>
      </c>
      <c r="C770" s="130" t="s">
        <v>134</v>
      </c>
      <c r="D770" s="130" t="s">
        <v>134</v>
      </c>
      <c r="E770" s="130" t="s">
        <v>1982</v>
      </c>
      <c r="F770" s="130" t="s">
        <v>1741</v>
      </c>
      <c r="G770" s="130" t="s">
        <v>137</v>
      </c>
      <c r="I770" s="130" t="s">
        <v>1703</v>
      </c>
      <c r="J770" s="130" t="s">
        <v>159</v>
      </c>
      <c r="K770" s="130" t="s">
        <v>1982</v>
      </c>
      <c r="L770" s="130" t="s">
        <v>1707</v>
      </c>
      <c r="M770" s="128">
        <v>3</v>
      </c>
      <c r="N770" s="128">
        <f t="shared" si="11"/>
        <v>-2</v>
      </c>
      <c r="O770" s="130" t="s">
        <v>134</v>
      </c>
      <c r="P770" s="130" t="s">
        <v>134</v>
      </c>
      <c r="Q770" s="130" t="s">
        <v>1707</v>
      </c>
      <c r="R770" s="128">
        <v>3</v>
      </c>
      <c r="S770" s="130" t="s">
        <v>2007</v>
      </c>
    </row>
    <row r="771" spans="1:19" x14ac:dyDescent="0.25">
      <c r="A771" s="130" t="s">
        <v>2008</v>
      </c>
      <c r="B771" s="130" t="s">
        <v>2009</v>
      </c>
      <c r="C771" s="130" t="s">
        <v>134</v>
      </c>
      <c r="D771" s="130" t="s">
        <v>134</v>
      </c>
      <c r="E771" s="130" t="s">
        <v>1982</v>
      </c>
      <c r="F771" s="130" t="s">
        <v>1741</v>
      </c>
      <c r="G771" s="130" t="s">
        <v>137</v>
      </c>
      <c r="I771" s="130" t="s">
        <v>1703</v>
      </c>
      <c r="J771" s="130" t="s">
        <v>159</v>
      </c>
      <c r="K771" s="130" t="s">
        <v>1982</v>
      </c>
      <c r="L771" s="130" t="s">
        <v>139</v>
      </c>
      <c r="M771" s="128">
        <v>6</v>
      </c>
      <c r="N771" s="128">
        <f t="shared" ref="N771:N834" si="12">M771-L771</f>
        <v>-4</v>
      </c>
      <c r="O771" s="130" t="s">
        <v>134</v>
      </c>
      <c r="P771" s="130" t="s">
        <v>134</v>
      </c>
      <c r="Q771" s="130" t="s">
        <v>139</v>
      </c>
      <c r="R771" s="128">
        <v>6</v>
      </c>
      <c r="S771" s="130" t="s">
        <v>1741</v>
      </c>
    </row>
    <row r="772" spans="1:19" x14ac:dyDescent="0.25">
      <c r="A772" s="130" t="s">
        <v>2010</v>
      </c>
      <c r="B772" s="130" t="s">
        <v>2011</v>
      </c>
      <c r="C772" s="130" t="s">
        <v>860</v>
      </c>
      <c r="D772" s="130" t="s">
        <v>860</v>
      </c>
      <c r="E772" s="130" t="s">
        <v>1982</v>
      </c>
      <c r="F772" s="130" t="s">
        <v>1741</v>
      </c>
      <c r="G772" s="130" t="s">
        <v>137</v>
      </c>
      <c r="H772" s="130" t="s">
        <v>159</v>
      </c>
      <c r="I772" s="130" t="s">
        <v>1703</v>
      </c>
      <c r="J772" s="130" t="s">
        <v>159</v>
      </c>
      <c r="K772" s="130" t="s">
        <v>1982</v>
      </c>
      <c r="L772" s="130" t="s">
        <v>554</v>
      </c>
      <c r="M772" s="128">
        <v>6</v>
      </c>
      <c r="N772" s="128">
        <f t="shared" si="12"/>
        <v>-3</v>
      </c>
      <c r="O772" s="130" t="s">
        <v>860</v>
      </c>
      <c r="P772" s="130" t="s">
        <v>860</v>
      </c>
      <c r="Q772" s="130" t="s">
        <v>160</v>
      </c>
      <c r="R772" s="128">
        <v>0</v>
      </c>
      <c r="S772" s="130" t="s">
        <v>1741</v>
      </c>
    </row>
    <row r="773" spans="1:19" x14ac:dyDescent="0.25">
      <c r="A773" s="130" t="s">
        <v>2012</v>
      </c>
      <c r="B773" s="130" t="s">
        <v>2013</v>
      </c>
      <c r="C773" s="130" t="s">
        <v>134</v>
      </c>
      <c r="D773" s="130" t="s">
        <v>134</v>
      </c>
      <c r="E773" s="130" t="s">
        <v>1982</v>
      </c>
      <c r="F773" s="130" t="s">
        <v>1741</v>
      </c>
      <c r="G773" s="130" t="s">
        <v>137</v>
      </c>
      <c r="I773" s="130" t="s">
        <v>1703</v>
      </c>
      <c r="J773" s="130" t="s">
        <v>159</v>
      </c>
      <c r="K773" s="130" t="s">
        <v>1982</v>
      </c>
      <c r="L773" s="130" t="s">
        <v>554</v>
      </c>
      <c r="M773" s="128">
        <v>6</v>
      </c>
      <c r="N773" s="128">
        <f t="shared" si="12"/>
        <v>-3</v>
      </c>
      <c r="O773" s="130" t="s">
        <v>134</v>
      </c>
      <c r="P773" s="130" t="s">
        <v>134</v>
      </c>
      <c r="Q773" s="130" t="s">
        <v>554</v>
      </c>
      <c r="R773" s="128">
        <v>6</v>
      </c>
      <c r="S773" s="130" t="s">
        <v>1741</v>
      </c>
    </row>
    <row r="774" spans="1:19" x14ac:dyDescent="0.25">
      <c r="A774" s="130" t="s">
        <v>2014</v>
      </c>
      <c r="B774" s="130" t="s">
        <v>2015</v>
      </c>
      <c r="C774" s="130" t="s">
        <v>159</v>
      </c>
      <c r="D774" s="130" t="s">
        <v>159</v>
      </c>
      <c r="E774" s="130" t="s">
        <v>1982</v>
      </c>
      <c r="F774" s="130" t="s">
        <v>1741</v>
      </c>
      <c r="G774" s="130" t="s">
        <v>137</v>
      </c>
      <c r="H774" s="130" t="s">
        <v>159</v>
      </c>
      <c r="I774" s="130" t="s">
        <v>1703</v>
      </c>
      <c r="J774" s="130" t="s">
        <v>159</v>
      </c>
      <c r="K774" s="130" t="s">
        <v>1982</v>
      </c>
      <c r="L774" s="130" t="s">
        <v>554</v>
      </c>
      <c r="M774" s="128">
        <v>6</v>
      </c>
      <c r="N774" s="128">
        <f t="shared" si="12"/>
        <v>-3</v>
      </c>
      <c r="O774" s="130" t="s">
        <v>159</v>
      </c>
      <c r="P774" s="130" t="s">
        <v>159</v>
      </c>
      <c r="Q774" s="130" t="s">
        <v>160</v>
      </c>
      <c r="R774" s="128">
        <v>0</v>
      </c>
      <c r="S774" s="130" t="s">
        <v>1741</v>
      </c>
    </row>
    <row r="775" spans="1:19" x14ac:dyDescent="0.25">
      <c r="A775" s="130" t="s">
        <v>2016</v>
      </c>
      <c r="B775" s="130" t="s">
        <v>2017</v>
      </c>
      <c r="C775" s="130" t="s">
        <v>134</v>
      </c>
      <c r="D775" s="130" t="s">
        <v>134</v>
      </c>
      <c r="E775" s="130" t="s">
        <v>1982</v>
      </c>
      <c r="F775" s="130" t="s">
        <v>1741</v>
      </c>
      <c r="G775" s="130" t="s">
        <v>137</v>
      </c>
      <c r="I775" s="130" t="s">
        <v>1703</v>
      </c>
      <c r="J775" s="130" t="s">
        <v>159</v>
      </c>
      <c r="K775" s="130" t="s">
        <v>1982</v>
      </c>
      <c r="L775" s="130" t="s">
        <v>554</v>
      </c>
      <c r="M775" s="128">
        <v>6</v>
      </c>
      <c r="N775" s="128">
        <f t="shared" si="12"/>
        <v>-3</v>
      </c>
      <c r="O775" s="130" t="s">
        <v>134</v>
      </c>
      <c r="P775" s="130" t="s">
        <v>134</v>
      </c>
      <c r="Q775" s="130" t="s">
        <v>554</v>
      </c>
      <c r="R775" s="128">
        <v>6</v>
      </c>
      <c r="S775" s="130" t="s">
        <v>1741</v>
      </c>
    </row>
    <row r="776" spans="1:19" x14ac:dyDescent="0.25">
      <c r="A776" s="130" t="s">
        <v>2018</v>
      </c>
      <c r="B776" s="130" t="s">
        <v>2019</v>
      </c>
      <c r="C776" s="130" t="s">
        <v>134</v>
      </c>
      <c r="D776" s="130" t="s">
        <v>134</v>
      </c>
      <c r="E776" s="130" t="s">
        <v>1982</v>
      </c>
      <c r="F776" s="130" t="s">
        <v>1741</v>
      </c>
      <c r="G776" s="130" t="s">
        <v>137</v>
      </c>
      <c r="I776" s="130" t="s">
        <v>1703</v>
      </c>
      <c r="J776" s="130" t="s">
        <v>159</v>
      </c>
      <c r="K776" s="130" t="s">
        <v>1982</v>
      </c>
      <c r="L776" s="130" t="s">
        <v>554</v>
      </c>
      <c r="M776" s="128">
        <v>6</v>
      </c>
      <c r="N776" s="128">
        <f t="shared" si="12"/>
        <v>-3</v>
      </c>
      <c r="O776" s="130" t="s">
        <v>134</v>
      </c>
      <c r="P776" s="130" t="s">
        <v>134</v>
      </c>
      <c r="Q776" s="130" t="s">
        <v>554</v>
      </c>
      <c r="R776" s="128">
        <v>6</v>
      </c>
      <c r="S776" s="130" t="s">
        <v>1741</v>
      </c>
    </row>
    <row r="777" spans="1:19" x14ac:dyDescent="0.25">
      <c r="A777" s="130" t="s">
        <v>2020</v>
      </c>
      <c r="B777" s="130" t="s">
        <v>2021</v>
      </c>
      <c r="C777" s="130" t="s">
        <v>134</v>
      </c>
      <c r="D777" s="130" t="s">
        <v>134</v>
      </c>
      <c r="E777" s="130" t="s">
        <v>1982</v>
      </c>
      <c r="F777" s="130" t="s">
        <v>1741</v>
      </c>
      <c r="G777" s="130" t="s">
        <v>137</v>
      </c>
      <c r="I777" s="130" t="s">
        <v>1703</v>
      </c>
      <c r="J777" s="130" t="s">
        <v>159</v>
      </c>
      <c r="K777" s="130" t="s">
        <v>1982</v>
      </c>
      <c r="L777" s="130" t="s">
        <v>1946</v>
      </c>
      <c r="M777" s="128">
        <v>6</v>
      </c>
      <c r="N777" s="128">
        <f t="shared" si="12"/>
        <v>0</v>
      </c>
      <c r="O777" s="130" t="s">
        <v>134</v>
      </c>
      <c r="P777" s="130" t="s">
        <v>134</v>
      </c>
      <c r="Q777" s="130" t="s">
        <v>1946</v>
      </c>
      <c r="R777" s="128">
        <v>6</v>
      </c>
      <c r="S777" s="130" t="s">
        <v>1741</v>
      </c>
    </row>
    <row r="778" spans="1:19" x14ac:dyDescent="0.25">
      <c r="A778" s="130" t="s">
        <v>2022</v>
      </c>
      <c r="B778" s="130" t="s">
        <v>2023</v>
      </c>
      <c r="C778" s="130" t="s">
        <v>134</v>
      </c>
      <c r="D778" s="130" t="s">
        <v>134</v>
      </c>
      <c r="E778" s="130" t="s">
        <v>1982</v>
      </c>
      <c r="F778" s="130" t="s">
        <v>1741</v>
      </c>
      <c r="G778" s="130" t="s">
        <v>137</v>
      </c>
      <c r="I778" s="130" t="s">
        <v>1703</v>
      </c>
      <c r="J778" s="130" t="s">
        <v>159</v>
      </c>
      <c r="K778" s="130" t="s">
        <v>1982</v>
      </c>
      <c r="L778" s="130" t="s">
        <v>1946</v>
      </c>
      <c r="M778" s="128">
        <v>6</v>
      </c>
      <c r="N778" s="128">
        <f t="shared" si="12"/>
        <v>0</v>
      </c>
      <c r="O778" s="130" t="s">
        <v>134</v>
      </c>
      <c r="P778" s="130" t="s">
        <v>134</v>
      </c>
      <c r="Q778" s="130" t="s">
        <v>1946</v>
      </c>
      <c r="R778" s="128">
        <v>6</v>
      </c>
      <c r="S778" s="130" t="s">
        <v>1741</v>
      </c>
    </row>
    <row r="779" spans="1:19" x14ac:dyDescent="0.25">
      <c r="A779" s="130" t="s">
        <v>2024</v>
      </c>
      <c r="B779" s="130" t="s">
        <v>2025</v>
      </c>
      <c r="C779" s="130" t="s">
        <v>134</v>
      </c>
      <c r="D779" s="130" t="s">
        <v>134</v>
      </c>
      <c r="E779" s="130" t="s">
        <v>1982</v>
      </c>
      <c r="F779" s="130" t="s">
        <v>1741</v>
      </c>
      <c r="G779" s="130" t="s">
        <v>137</v>
      </c>
      <c r="I779" s="130" t="s">
        <v>1703</v>
      </c>
      <c r="J779" s="130" t="s">
        <v>159</v>
      </c>
      <c r="K779" s="130" t="s">
        <v>1982</v>
      </c>
      <c r="L779" s="130" t="s">
        <v>543</v>
      </c>
      <c r="M779" s="128">
        <v>6</v>
      </c>
      <c r="N779" s="128">
        <f t="shared" si="12"/>
        <v>-2</v>
      </c>
      <c r="O779" s="130" t="s">
        <v>134</v>
      </c>
      <c r="P779" s="130" t="s">
        <v>134</v>
      </c>
      <c r="Q779" s="130" t="s">
        <v>543</v>
      </c>
      <c r="R779" s="128">
        <v>6</v>
      </c>
      <c r="S779" s="130" t="s">
        <v>1741</v>
      </c>
    </row>
    <row r="780" spans="1:19" x14ac:dyDescent="0.25">
      <c r="A780" s="130" t="s">
        <v>2026</v>
      </c>
      <c r="B780" s="130" t="s">
        <v>2027</v>
      </c>
      <c r="C780" s="130" t="s">
        <v>134</v>
      </c>
      <c r="D780" s="130" t="s">
        <v>134</v>
      </c>
      <c r="E780" s="130" t="s">
        <v>1982</v>
      </c>
      <c r="F780" s="130" t="s">
        <v>1741</v>
      </c>
      <c r="G780" s="130" t="s">
        <v>137</v>
      </c>
      <c r="I780" s="130" t="s">
        <v>1703</v>
      </c>
      <c r="J780" s="130" t="s">
        <v>159</v>
      </c>
      <c r="K780" s="130" t="s">
        <v>1982</v>
      </c>
      <c r="L780" s="130" t="s">
        <v>554</v>
      </c>
      <c r="M780" s="128">
        <v>6</v>
      </c>
      <c r="N780" s="128">
        <f t="shared" si="12"/>
        <v>-3</v>
      </c>
      <c r="O780" s="130" t="s">
        <v>134</v>
      </c>
      <c r="P780" s="130" t="s">
        <v>134</v>
      </c>
      <c r="Q780" s="130" t="s">
        <v>554</v>
      </c>
      <c r="R780" s="128">
        <v>6</v>
      </c>
      <c r="S780" s="130" t="s">
        <v>1741</v>
      </c>
    </row>
    <row r="781" spans="1:19" x14ac:dyDescent="0.25">
      <c r="A781" s="130" t="s">
        <v>2028</v>
      </c>
      <c r="B781" s="130" t="s">
        <v>2029</v>
      </c>
      <c r="C781" s="130" t="s">
        <v>134</v>
      </c>
      <c r="D781" s="130" t="s">
        <v>134</v>
      </c>
      <c r="E781" s="130" t="s">
        <v>1982</v>
      </c>
      <c r="F781" s="130" t="s">
        <v>1741</v>
      </c>
      <c r="G781" s="130" t="s">
        <v>137</v>
      </c>
      <c r="I781" s="130" t="s">
        <v>1703</v>
      </c>
      <c r="J781" s="130" t="s">
        <v>159</v>
      </c>
      <c r="K781" s="130" t="s">
        <v>1982</v>
      </c>
      <c r="L781" s="130" t="s">
        <v>1707</v>
      </c>
      <c r="M781" s="128">
        <v>3</v>
      </c>
      <c r="N781" s="128">
        <f t="shared" si="12"/>
        <v>-2</v>
      </c>
      <c r="O781" s="130" t="s">
        <v>134</v>
      </c>
      <c r="P781" s="130" t="s">
        <v>134</v>
      </c>
      <c r="Q781" s="130" t="s">
        <v>1707</v>
      </c>
      <c r="R781" s="128">
        <v>3</v>
      </c>
      <c r="S781" s="130" t="s">
        <v>2007</v>
      </c>
    </row>
    <row r="782" spans="1:19" x14ac:dyDescent="0.25">
      <c r="A782" s="130" t="s">
        <v>2030</v>
      </c>
      <c r="B782" s="130" t="s">
        <v>2031</v>
      </c>
      <c r="C782" s="130" t="s">
        <v>134</v>
      </c>
      <c r="D782" s="130" t="s">
        <v>134</v>
      </c>
      <c r="E782" s="130" t="s">
        <v>1982</v>
      </c>
      <c r="F782" s="130" t="s">
        <v>1741</v>
      </c>
      <c r="G782" s="130" t="s">
        <v>137</v>
      </c>
      <c r="I782" s="130" t="s">
        <v>1703</v>
      </c>
      <c r="J782" s="130" t="s">
        <v>159</v>
      </c>
      <c r="K782" s="130" t="s">
        <v>1982</v>
      </c>
      <c r="L782" s="130" t="s">
        <v>554</v>
      </c>
      <c r="M782" s="128">
        <v>6</v>
      </c>
      <c r="N782" s="128">
        <f t="shared" si="12"/>
        <v>-3</v>
      </c>
      <c r="O782" s="130" t="s">
        <v>134</v>
      </c>
      <c r="P782" s="130" t="s">
        <v>134</v>
      </c>
      <c r="Q782" s="130" t="s">
        <v>554</v>
      </c>
      <c r="R782" s="128">
        <v>6</v>
      </c>
      <c r="S782" s="130" t="s">
        <v>1741</v>
      </c>
    </row>
    <row r="783" spans="1:19" x14ac:dyDescent="0.25">
      <c r="A783" s="130" t="s">
        <v>2032</v>
      </c>
      <c r="B783" s="130" t="s">
        <v>2033</v>
      </c>
      <c r="C783" s="130" t="s">
        <v>860</v>
      </c>
      <c r="D783" s="130" t="s">
        <v>860</v>
      </c>
      <c r="E783" s="130" t="s">
        <v>1982</v>
      </c>
      <c r="F783" s="130" t="s">
        <v>1741</v>
      </c>
      <c r="G783" s="130" t="s">
        <v>137</v>
      </c>
      <c r="I783" s="130" t="s">
        <v>1703</v>
      </c>
      <c r="J783" s="130" t="s">
        <v>159</v>
      </c>
      <c r="K783" s="130" t="s">
        <v>1982</v>
      </c>
      <c r="L783" s="130" t="s">
        <v>554</v>
      </c>
      <c r="M783" s="128">
        <v>6</v>
      </c>
      <c r="N783" s="128">
        <f t="shared" si="12"/>
        <v>-3</v>
      </c>
      <c r="O783" s="130" t="s">
        <v>860</v>
      </c>
      <c r="P783" s="130" t="s">
        <v>860</v>
      </c>
      <c r="Q783" s="130" t="s">
        <v>554</v>
      </c>
      <c r="R783" s="128">
        <v>6</v>
      </c>
      <c r="S783" s="130" t="s">
        <v>1741</v>
      </c>
    </row>
    <row r="784" spans="1:19" x14ac:dyDescent="0.25">
      <c r="A784" s="130" t="s">
        <v>2034</v>
      </c>
      <c r="B784" s="130" t="s">
        <v>2035</v>
      </c>
      <c r="C784" s="130" t="s">
        <v>860</v>
      </c>
      <c r="D784" s="130" t="s">
        <v>860</v>
      </c>
      <c r="E784" s="130" t="s">
        <v>1982</v>
      </c>
      <c r="F784" s="130" t="s">
        <v>1741</v>
      </c>
      <c r="G784" s="130" t="s">
        <v>137</v>
      </c>
      <c r="I784" s="130" t="s">
        <v>1703</v>
      </c>
      <c r="J784" s="130" t="s">
        <v>159</v>
      </c>
      <c r="K784" s="130" t="s">
        <v>1982</v>
      </c>
      <c r="L784" s="130" t="s">
        <v>554</v>
      </c>
      <c r="M784" s="128">
        <v>6</v>
      </c>
      <c r="N784" s="128">
        <f t="shared" si="12"/>
        <v>-3</v>
      </c>
      <c r="O784" s="130" t="s">
        <v>860</v>
      </c>
      <c r="P784" s="130" t="s">
        <v>860</v>
      </c>
      <c r="Q784" s="130" t="s">
        <v>160</v>
      </c>
      <c r="R784" s="128">
        <v>0</v>
      </c>
      <c r="S784" s="130" t="s">
        <v>1741</v>
      </c>
    </row>
    <row r="785" spans="1:19" x14ac:dyDescent="0.25">
      <c r="A785" s="130" t="s">
        <v>2036</v>
      </c>
      <c r="B785" s="130" t="s">
        <v>2037</v>
      </c>
      <c r="C785" s="130" t="s">
        <v>860</v>
      </c>
      <c r="D785" s="130" t="s">
        <v>860</v>
      </c>
      <c r="E785" s="130" t="s">
        <v>1982</v>
      </c>
      <c r="F785" s="130" t="s">
        <v>1741</v>
      </c>
      <c r="G785" s="130" t="s">
        <v>137</v>
      </c>
      <c r="I785" s="130" t="s">
        <v>1703</v>
      </c>
      <c r="J785" s="130" t="s">
        <v>159</v>
      </c>
      <c r="K785" s="130" t="s">
        <v>1982</v>
      </c>
      <c r="L785" s="130" t="s">
        <v>1883</v>
      </c>
      <c r="M785" s="128">
        <v>6</v>
      </c>
      <c r="N785" s="128">
        <f t="shared" si="12"/>
        <v>-5</v>
      </c>
      <c r="O785" s="130" t="s">
        <v>860</v>
      </c>
      <c r="P785" s="130" t="s">
        <v>860</v>
      </c>
      <c r="Q785" s="130" t="s">
        <v>160</v>
      </c>
      <c r="R785" s="128">
        <v>0</v>
      </c>
      <c r="S785" s="130" t="s">
        <v>1741</v>
      </c>
    </row>
    <row r="786" spans="1:19" x14ac:dyDescent="0.25">
      <c r="A786" s="130" t="s">
        <v>2038</v>
      </c>
      <c r="B786" s="130" t="s">
        <v>2039</v>
      </c>
      <c r="C786" s="130" t="s">
        <v>134</v>
      </c>
      <c r="D786" s="130" t="s">
        <v>134</v>
      </c>
      <c r="E786" s="130" t="s">
        <v>1982</v>
      </c>
      <c r="F786" s="130" t="s">
        <v>1741</v>
      </c>
      <c r="G786" s="130" t="s">
        <v>137</v>
      </c>
      <c r="I786" s="130" t="s">
        <v>1703</v>
      </c>
      <c r="J786" s="130" t="s">
        <v>159</v>
      </c>
      <c r="K786" s="130" t="s">
        <v>1982</v>
      </c>
      <c r="L786" s="130" t="s">
        <v>554</v>
      </c>
      <c r="M786" s="128">
        <v>6</v>
      </c>
      <c r="N786" s="128">
        <f t="shared" si="12"/>
        <v>-3</v>
      </c>
      <c r="O786" s="130" t="s">
        <v>134</v>
      </c>
      <c r="P786" s="130" t="s">
        <v>134</v>
      </c>
      <c r="Q786" s="130" t="s">
        <v>554</v>
      </c>
      <c r="R786" s="128">
        <v>6</v>
      </c>
      <c r="S786" s="130" t="s">
        <v>1741</v>
      </c>
    </row>
    <row r="787" spans="1:19" x14ac:dyDescent="0.25">
      <c r="A787" s="130" t="s">
        <v>2040</v>
      </c>
      <c r="B787" s="130" t="s">
        <v>2041</v>
      </c>
      <c r="C787" s="130" t="s">
        <v>134</v>
      </c>
      <c r="D787" s="130" t="s">
        <v>134</v>
      </c>
      <c r="E787" s="130" t="s">
        <v>1982</v>
      </c>
      <c r="F787" s="130" t="s">
        <v>1741</v>
      </c>
      <c r="G787" s="130" t="s">
        <v>137</v>
      </c>
      <c r="I787" s="130" t="s">
        <v>1703</v>
      </c>
      <c r="J787" s="130" t="s">
        <v>159</v>
      </c>
      <c r="K787" s="130" t="s">
        <v>1982</v>
      </c>
      <c r="L787" s="130" t="s">
        <v>543</v>
      </c>
      <c r="M787" s="128">
        <v>6</v>
      </c>
      <c r="N787" s="128">
        <f t="shared" si="12"/>
        <v>-2</v>
      </c>
      <c r="O787" s="130" t="s">
        <v>134</v>
      </c>
      <c r="P787" s="130" t="s">
        <v>134</v>
      </c>
      <c r="Q787" s="130" t="s">
        <v>543</v>
      </c>
      <c r="R787" s="128">
        <v>6</v>
      </c>
      <c r="S787" s="130" t="s">
        <v>1741</v>
      </c>
    </row>
    <row r="788" spans="1:19" x14ac:dyDescent="0.25">
      <c r="A788" s="130" t="s">
        <v>2042</v>
      </c>
      <c r="B788" s="130" t="s">
        <v>2043</v>
      </c>
      <c r="C788" s="130" t="s">
        <v>134</v>
      </c>
      <c r="D788" s="130" t="s">
        <v>134</v>
      </c>
      <c r="E788" s="130" t="s">
        <v>1982</v>
      </c>
      <c r="F788" s="130" t="s">
        <v>1741</v>
      </c>
      <c r="G788" s="130" t="s">
        <v>137</v>
      </c>
      <c r="I788" s="130" t="s">
        <v>1703</v>
      </c>
      <c r="J788" s="130" t="s">
        <v>159</v>
      </c>
      <c r="K788" s="130" t="s">
        <v>1982</v>
      </c>
      <c r="L788" s="130" t="s">
        <v>554</v>
      </c>
      <c r="M788" s="128">
        <v>6</v>
      </c>
      <c r="N788" s="128">
        <f t="shared" si="12"/>
        <v>-3</v>
      </c>
      <c r="O788" s="130" t="s">
        <v>134</v>
      </c>
      <c r="P788" s="130" t="s">
        <v>134</v>
      </c>
      <c r="Q788" s="130" t="s">
        <v>554</v>
      </c>
      <c r="R788" s="128">
        <v>6</v>
      </c>
      <c r="S788" s="130" t="s">
        <v>1741</v>
      </c>
    </row>
    <row r="789" spans="1:19" x14ac:dyDescent="0.25">
      <c r="A789" s="130" t="s">
        <v>2044</v>
      </c>
      <c r="B789" s="130" t="s">
        <v>2045</v>
      </c>
      <c r="C789" s="130" t="s">
        <v>134</v>
      </c>
      <c r="D789" s="130" t="s">
        <v>134</v>
      </c>
      <c r="E789" s="130" t="s">
        <v>1982</v>
      </c>
      <c r="F789" s="130" t="s">
        <v>1741</v>
      </c>
      <c r="G789" s="130" t="s">
        <v>137</v>
      </c>
      <c r="I789" s="130" t="s">
        <v>1703</v>
      </c>
      <c r="J789" s="130" t="s">
        <v>159</v>
      </c>
      <c r="K789" s="130" t="s">
        <v>1982</v>
      </c>
      <c r="L789" s="130" t="s">
        <v>554</v>
      </c>
      <c r="M789" s="128">
        <v>6</v>
      </c>
      <c r="N789" s="128">
        <f t="shared" si="12"/>
        <v>-3</v>
      </c>
      <c r="O789" s="130" t="s">
        <v>134</v>
      </c>
      <c r="P789" s="130" t="s">
        <v>134</v>
      </c>
      <c r="Q789" s="130" t="s">
        <v>554</v>
      </c>
      <c r="R789" s="128">
        <v>6</v>
      </c>
      <c r="S789" s="130" t="s">
        <v>1741</v>
      </c>
    </row>
    <row r="790" spans="1:19" x14ac:dyDescent="0.25">
      <c r="A790" s="130" t="s">
        <v>2046</v>
      </c>
      <c r="B790" s="130" t="s">
        <v>2047</v>
      </c>
      <c r="C790" s="130" t="s">
        <v>134</v>
      </c>
      <c r="D790" s="130" t="s">
        <v>134</v>
      </c>
      <c r="E790" s="130" t="s">
        <v>1982</v>
      </c>
      <c r="F790" s="130" t="s">
        <v>1741</v>
      </c>
      <c r="G790" s="130" t="s">
        <v>137</v>
      </c>
      <c r="I790" s="130" t="s">
        <v>1703</v>
      </c>
      <c r="J790" s="130" t="s">
        <v>159</v>
      </c>
      <c r="K790" s="130" t="s">
        <v>1982</v>
      </c>
      <c r="L790" s="130" t="s">
        <v>554</v>
      </c>
      <c r="M790" s="128">
        <v>6</v>
      </c>
      <c r="N790" s="128">
        <f t="shared" si="12"/>
        <v>-3</v>
      </c>
      <c r="O790" s="130" t="s">
        <v>134</v>
      </c>
      <c r="P790" s="130" t="s">
        <v>134</v>
      </c>
      <c r="Q790" s="130" t="s">
        <v>554</v>
      </c>
      <c r="R790" s="128">
        <v>6</v>
      </c>
      <c r="S790" s="130" t="s">
        <v>1741</v>
      </c>
    </row>
    <row r="791" spans="1:19" x14ac:dyDescent="0.25">
      <c r="A791" s="130" t="s">
        <v>2048</v>
      </c>
      <c r="B791" s="130" t="s">
        <v>2049</v>
      </c>
      <c r="C791" s="130" t="s">
        <v>134</v>
      </c>
      <c r="D791" s="130" t="s">
        <v>134</v>
      </c>
      <c r="E791" s="130" t="s">
        <v>1982</v>
      </c>
      <c r="F791" s="130" t="s">
        <v>1741</v>
      </c>
      <c r="G791" s="130" t="s">
        <v>137</v>
      </c>
      <c r="I791" s="130" t="s">
        <v>1703</v>
      </c>
      <c r="J791" s="130" t="s">
        <v>159</v>
      </c>
      <c r="K791" s="130" t="s">
        <v>1982</v>
      </c>
      <c r="L791" s="130" t="s">
        <v>554</v>
      </c>
      <c r="M791" s="128">
        <v>6</v>
      </c>
      <c r="N791" s="128">
        <f t="shared" si="12"/>
        <v>-3</v>
      </c>
      <c r="O791" s="130" t="s">
        <v>134</v>
      </c>
      <c r="P791" s="130" t="s">
        <v>134</v>
      </c>
      <c r="Q791" s="130" t="s">
        <v>554</v>
      </c>
      <c r="R791" s="128">
        <v>6</v>
      </c>
      <c r="S791" s="130" t="s">
        <v>1741</v>
      </c>
    </row>
    <row r="792" spans="1:19" x14ac:dyDescent="0.25">
      <c r="A792" s="130" t="s">
        <v>2050</v>
      </c>
      <c r="B792" s="130" t="s">
        <v>2051</v>
      </c>
      <c r="C792" s="130" t="s">
        <v>134</v>
      </c>
      <c r="D792" s="130" t="s">
        <v>134</v>
      </c>
      <c r="E792" s="130" t="s">
        <v>1982</v>
      </c>
      <c r="F792" s="130" t="s">
        <v>1741</v>
      </c>
      <c r="G792" s="130" t="s">
        <v>137</v>
      </c>
      <c r="I792" s="130" t="s">
        <v>1703</v>
      </c>
      <c r="J792" s="130" t="s">
        <v>159</v>
      </c>
      <c r="K792" s="130" t="s">
        <v>1982</v>
      </c>
      <c r="L792" s="130" t="s">
        <v>554</v>
      </c>
      <c r="M792" s="128">
        <v>6</v>
      </c>
      <c r="N792" s="128">
        <f t="shared" si="12"/>
        <v>-3</v>
      </c>
      <c r="O792" s="130" t="s">
        <v>134</v>
      </c>
      <c r="P792" s="130" t="s">
        <v>134</v>
      </c>
      <c r="Q792" s="130" t="s">
        <v>554</v>
      </c>
      <c r="R792" s="128">
        <v>6</v>
      </c>
      <c r="S792" s="130" t="s">
        <v>1741</v>
      </c>
    </row>
    <row r="793" spans="1:19" x14ac:dyDescent="0.25">
      <c r="A793" s="130" t="s">
        <v>2052</v>
      </c>
      <c r="B793" s="130" t="s">
        <v>2053</v>
      </c>
      <c r="C793" s="130" t="s">
        <v>134</v>
      </c>
      <c r="D793" s="130" t="s">
        <v>134</v>
      </c>
      <c r="E793" s="130" t="s">
        <v>1982</v>
      </c>
      <c r="F793" s="130" t="s">
        <v>1741</v>
      </c>
      <c r="G793" s="130" t="s">
        <v>159</v>
      </c>
      <c r="I793" s="130" t="s">
        <v>1703</v>
      </c>
      <c r="J793" s="130" t="s">
        <v>159</v>
      </c>
      <c r="K793" s="130" t="s">
        <v>1982</v>
      </c>
      <c r="L793" s="130" t="s">
        <v>1946</v>
      </c>
      <c r="M793" s="128">
        <v>6</v>
      </c>
      <c r="N793" s="128">
        <f t="shared" si="12"/>
        <v>0</v>
      </c>
      <c r="O793" s="130" t="s">
        <v>134</v>
      </c>
      <c r="P793" s="130" t="s">
        <v>134</v>
      </c>
      <c r="Q793" s="130" t="s">
        <v>1946</v>
      </c>
      <c r="R793" s="128">
        <v>6</v>
      </c>
      <c r="S793" s="130" t="s">
        <v>1741</v>
      </c>
    </row>
    <row r="794" spans="1:19" x14ac:dyDescent="0.25">
      <c r="A794" s="130" t="s">
        <v>2054</v>
      </c>
      <c r="B794" s="130" t="s">
        <v>2055</v>
      </c>
      <c r="C794" s="130" t="s">
        <v>134</v>
      </c>
      <c r="D794" s="130" t="s">
        <v>134</v>
      </c>
      <c r="E794" s="130" t="s">
        <v>1982</v>
      </c>
      <c r="F794" s="130" t="s">
        <v>1741</v>
      </c>
      <c r="G794" s="130" t="s">
        <v>137</v>
      </c>
      <c r="I794" s="130" t="s">
        <v>1703</v>
      </c>
      <c r="J794" s="130" t="s">
        <v>159</v>
      </c>
      <c r="K794" s="130" t="s">
        <v>1982</v>
      </c>
      <c r="L794" s="130" t="s">
        <v>1946</v>
      </c>
      <c r="M794" s="128">
        <v>6</v>
      </c>
      <c r="N794" s="128">
        <f t="shared" si="12"/>
        <v>0</v>
      </c>
      <c r="O794" s="130" t="s">
        <v>134</v>
      </c>
      <c r="P794" s="130" t="s">
        <v>134</v>
      </c>
      <c r="Q794" s="130" t="s">
        <v>1946</v>
      </c>
      <c r="R794" s="128">
        <v>6</v>
      </c>
      <c r="S794" s="130" t="s">
        <v>1741</v>
      </c>
    </row>
    <row r="795" spans="1:19" x14ac:dyDescent="0.25">
      <c r="A795" s="130" t="s">
        <v>2056</v>
      </c>
      <c r="B795" s="130" t="s">
        <v>2057</v>
      </c>
      <c r="C795" s="130" t="s">
        <v>134</v>
      </c>
      <c r="D795" s="130" t="s">
        <v>134</v>
      </c>
      <c r="E795" s="130" t="s">
        <v>1982</v>
      </c>
      <c r="F795" s="130" t="s">
        <v>1741</v>
      </c>
      <c r="G795" s="130" t="s">
        <v>137</v>
      </c>
      <c r="I795" s="130" t="s">
        <v>1703</v>
      </c>
      <c r="J795" s="130" t="s">
        <v>159</v>
      </c>
      <c r="K795" s="130" t="s">
        <v>1982</v>
      </c>
      <c r="L795" s="130" t="s">
        <v>554</v>
      </c>
      <c r="M795" s="128">
        <v>6</v>
      </c>
      <c r="N795" s="128">
        <f t="shared" si="12"/>
        <v>-3</v>
      </c>
      <c r="O795" s="130" t="s">
        <v>134</v>
      </c>
      <c r="P795" s="130" t="s">
        <v>134</v>
      </c>
      <c r="Q795" s="130" t="s">
        <v>554</v>
      </c>
      <c r="R795" s="128">
        <v>6</v>
      </c>
      <c r="S795" s="130" t="s">
        <v>1741</v>
      </c>
    </row>
    <row r="796" spans="1:19" x14ac:dyDescent="0.25">
      <c r="A796" s="130" t="s">
        <v>2058</v>
      </c>
      <c r="B796" s="130" t="s">
        <v>2059</v>
      </c>
      <c r="C796" s="130" t="s">
        <v>860</v>
      </c>
      <c r="D796" s="130" t="s">
        <v>860</v>
      </c>
      <c r="E796" s="130" t="s">
        <v>1982</v>
      </c>
      <c r="F796" s="130" t="s">
        <v>1741</v>
      </c>
      <c r="G796" s="130" t="s">
        <v>137</v>
      </c>
      <c r="I796" s="130" t="s">
        <v>1703</v>
      </c>
      <c r="J796" s="130" t="s">
        <v>159</v>
      </c>
      <c r="K796" s="130" t="s">
        <v>1982</v>
      </c>
      <c r="L796" s="130" t="s">
        <v>554</v>
      </c>
      <c r="M796" s="128">
        <v>6</v>
      </c>
      <c r="N796" s="128">
        <f t="shared" si="12"/>
        <v>-3</v>
      </c>
      <c r="O796" s="130" t="s">
        <v>860</v>
      </c>
      <c r="P796" s="130" t="s">
        <v>860</v>
      </c>
      <c r="Q796" s="130" t="s">
        <v>160</v>
      </c>
      <c r="R796" s="128">
        <v>0</v>
      </c>
      <c r="S796" s="130" t="s">
        <v>1741</v>
      </c>
    </row>
    <row r="797" spans="1:19" x14ac:dyDescent="0.25">
      <c r="A797" s="130" t="s">
        <v>2060</v>
      </c>
      <c r="B797" s="130" t="s">
        <v>2061</v>
      </c>
      <c r="C797" s="130" t="s">
        <v>134</v>
      </c>
      <c r="D797" s="130" t="s">
        <v>134</v>
      </c>
      <c r="E797" s="130" t="s">
        <v>1982</v>
      </c>
      <c r="F797" s="130" t="s">
        <v>1741</v>
      </c>
      <c r="G797" s="130" t="s">
        <v>137</v>
      </c>
      <c r="I797" s="130" t="s">
        <v>1703</v>
      </c>
      <c r="J797" s="130" t="s">
        <v>159</v>
      </c>
      <c r="K797" s="130" t="s">
        <v>1982</v>
      </c>
      <c r="L797" s="130" t="s">
        <v>554</v>
      </c>
      <c r="M797" s="128">
        <v>6</v>
      </c>
      <c r="N797" s="128">
        <f t="shared" si="12"/>
        <v>-3</v>
      </c>
      <c r="O797" s="130" t="s">
        <v>134</v>
      </c>
      <c r="P797" s="130" t="s">
        <v>134</v>
      </c>
      <c r="Q797" s="130" t="s">
        <v>554</v>
      </c>
      <c r="R797" s="128">
        <v>6</v>
      </c>
      <c r="S797" s="130" t="s">
        <v>1741</v>
      </c>
    </row>
    <row r="798" spans="1:19" x14ac:dyDescent="0.25">
      <c r="A798" s="130" t="s">
        <v>2062</v>
      </c>
      <c r="B798" s="130" t="s">
        <v>2063</v>
      </c>
      <c r="C798" s="130" t="s">
        <v>134</v>
      </c>
      <c r="D798" s="130" t="s">
        <v>134</v>
      </c>
      <c r="E798" s="130" t="s">
        <v>1982</v>
      </c>
      <c r="F798" s="130" t="s">
        <v>1741</v>
      </c>
      <c r="G798" s="130" t="s">
        <v>137</v>
      </c>
      <c r="I798" s="130" t="s">
        <v>1703</v>
      </c>
      <c r="J798" s="130" t="s">
        <v>159</v>
      </c>
      <c r="K798" s="130" t="s">
        <v>1982</v>
      </c>
      <c r="L798" s="130" t="s">
        <v>554</v>
      </c>
      <c r="M798" s="128">
        <v>6</v>
      </c>
      <c r="N798" s="128">
        <f t="shared" si="12"/>
        <v>-3</v>
      </c>
      <c r="O798" s="130" t="s">
        <v>134</v>
      </c>
      <c r="P798" s="130" t="s">
        <v>134</v>
      </c>
      <c r="Q798" s="130" t="s">
        <v>554</v>
      </c>
      <c r="R798" s="128">
        <v>6</v>
      </c>
      <c r="S798" s="130" t="s">
        <v>1741</v>
      </c>
    </row>
    <row r="799" spans="1:19" x14ac:dyDescent="0.25">
      <c r="A799" s="130" t="s">
        <v>2064</v>
      </c>
      <c r="B799" s="130" t="s">
        <v>2065</v>
      </c>
      <c r="C799" s="130" t="s">
        <v>134</v>
      </c>
      <c r="D799" s="130" t="s">
        <v>134</v>
      </c>
      <c r="E799" s="130" t="s">
        <v>1982</v>
      </c>
      <c r="F799" s="130" t="s">
        <v>1741</v>
      </c>
      <c r="G799" s="130" t="s">
        <v>137</v>
      </c>
      <c r="I799" s="130" t="s">
        <v>1703</v>
      </c>
      <c r="J799" s="130" t="s">
        <v>159</v>
      </c>
      <c r="K799" s="130" t="s">
        <v>1982</v>
      </c>
      <c r="L799" s="130" t="s">
        <v>554</v>
      </c>
      <c r="M799" s="128">
        <v>6</v>
      </c>
      <c r="N799" s="128">
        <f t="shared" si="12"/>
        <v>-3</v>
      </c>
      <c r="O799" s="130" t="s">
        <v>134</v>
      </c>
      <c r="P799" s="130" t="s">
        <v>134</v>
      </c>
      <c r="Q799" s="130" t="s">
        <v>554</v>
      </c>
      <c r="R799" s="128">
        <v>6</v>
      </c>
      <c r="S799" s="130" t="s">
        <v>1741</v>
      </c>
    </row>
    <row r="800" spans="1:19" x14ac:dyDescent="0.25">
      <c r="A800" s="130" t="s">
        <v>2066</v>
      </c>
      <c r="B800" s="130" t="s">
        <v>2067</v>
      </c>
      <c r="C800" s="130" t="s">
        <v>134</v>
      </c>
      <c r="D800" s="130" t="s">
        <v>134</v>
      </c>
      <c r="E800" s="130" t="s">
        <v>1982</v>
      </c>
      <c r="F800" s="130" t="s">
        <v>1741</v>
      </c>
      <c r="G800" s="130" t="s">
        <v>137</v>
      </c>
      <c r="I800" s="130" t="s">
        <v>1703</v>
      </c>
      <c r="J800" s="130" t="s">
        <v>159</v>
      </c>
      <c r="K800" s="130" t="s">
        <v>1982</v>
      </c>
      <c r="L800" s="130" t="s">
        <v>554</v>
      </c>
      <c r="M800" s="128">
        <v>6</v>
      </c>
      <c r="N800" s="128">
        <f t="shared" si="12"/>
        <v>-3</v>
      </c>
      <c r="O800" s="130" t="s">
        <v>134</v>
      </c>
      <c r="P800" s="130" t="s">
        <v>134</v>
      </c>
      <c r="Q800" s="130" t="s">
        <v>554</v>
      </c>
      <c r="R800" s="128">
        <v>6</v>
      </c>
      <c r="S800" s="130" t="s">
        <v>1741</v>
      </c>
    </row>
    <row r="801" spans="1:19" x14ac:dyDescent="0.25">
      <c r="A801" s="130" t="s">
        <v>2068</v>
      </c>
      <c r="B801" s="130" t="s">
        <v>2069</v>
      </c>
      <c r="C801" s="130" t="s">
        <v>134</v>
      </c>
      <c r="D801" s="130" t="s">
        <v>134</v>
      </c>
      <c r="E801" s="130" t="s">
        <v>1982</v>
      </c>
      <c r="F801" s="130" t="s">
        <v>1741</v>
      </c>
      <c r="G801" s="130" t="s">
        <v>137</v>
      </c>
      <c r="I801" s="130" t="s">
        <v>1703</v>
      </c>
      <c r="J801" s="130" t="s">
        <v>159</v>
      </c>
      <c r="K801" s="130" t="s">
        <v>1982</v>
      </c>
      <c r="L801" s="130" t="s">
        <v>554</v>
      </c>
      <c r="M801" s="128">
        <v>6</v>
      </c>
      <c r="N801" s="128">
        <f t="shared" si="12"/>
        <v>-3</v>
      </c>
      <c r="O801" s="130" t="s">
        <v>134</v>
      </c>
      <c r="P801" s="130" t="s">
        <v>134</v>
      </c>
      <c r="Q801" s="130" t="s">
        <v>554</v>
      </c>
      <c r="R801" s="128">
        <v>6</v>
      </c>
      <c r="S801" s="130" t="s">
        <v>1741</v>
      </c>
    </row>
    <row r="802" spans="1:19" x14ac:dyDescent="0.25">
      <c r="A802" s="130" t="s">
        <v>2070</v>
      </c>
      <c r="B802" s="130" t="s">
        <v>2071</v>
      </c>
      <c r="C802" s="130" t="s">
        <v>134</v>
      </c>
      <c r="D802" s="130" t="s">
        <v>134</v>
      </c>
      <c r="E802" s="130" t="s">
        <v>1982</v>
      </c>
      <c r="F802" s="130" t="s">
        <v>1741</v>
      </c>
      <c r="G802" s="130" t="s">
        <v>137</v>
      </c>
      <c r="I802" s="130" t="s">
        <v>1703</v>
      </c>
      <c r="J802" s="130" t="s">
        <v>159</v>
      </c>
      <c r="K802" s="130" t="s">
        <v>1982</v>
      </c>
      <c r="L802" s="130" t="s">
        <v>1707</v>
      </c>
      <c r="M802" s="128">
        <v>3</v>
      </c>
      <c r="N802" s="128">
        <f t="shared" si="12"/>
        <v>-2</v>
      </c>
      <c r="O802" s="130" t="s">
        <v>134</v>
      </c>
      <c r="P802" s="130" t="s">
        <v>134</v>
      </c>
      <c r="Q802" s="130" t="s">
        <v>1707</v>
      </c>
      <c r="R802" s="128">
        <v>3</v>
      </c>
      <c r="S802" s="130" t="s">
        <v>2007</v>
      </c>
    </row>
    <row r="803" spans="1:19" x14ac:dyDescent="0.25">
      <c r="A803" s="130" t="s">
        <v>2072</v>
      </c>
      <c r="B803" s="130" t="s">
        <v>2073</v>
      </c>
      <c r="C803" s="130" t="s">
        <v>134</v>
      </c>
      <c r="D803" s="130" t="s">
        <v>134</v>
      </c>
      <c r="E803" s="130" t="s">
        <v>1982</v>
      </c>
      <c r="F803" s="130" t="s">
        <v>1741</v>
      </c>
      <c r="G803" s="130" t="s">
        <v>137</v>
      </c>
      <c r="I803" s="130" t="s">
        <v>1703</v>
      </c>
      <c r="J803" s="130" t="s">
        <v>159</v>
      </c>
      <c r="K803" s="130" t="s">
        <v>1982</v>
      </c>
      <c r="L803" s="130" t="s">
        <v>1707</v>
      </c>
      <c r="M803" s="128">
        <v>6</v>
      </c>
      <c r="N803" s="128">
        <f t="shared" si="12"/>
        <v>1</v>
      </c>
      <c r="O803" s="130" t="s">
        <v>134</v>
      </c>
      <c r="P803" s="130" t="s">
        <v>134</v>
      </c>
      <c r="Q803" s="130" t="s">
        <v>1707</v>
      </c>
      <c r="R803" s="128">
        <v>6</v>
      </c>
      <c r="S803" s="130" t="s">
        <v>1741</v>
      </c>
    </row>
    <row r="804" spans="1:19" x14ac:dyDescent="0.25">
      <c r="A804" s="130" t="s">
        <v>2074</v>
      </c>
      <c r="B804" s="130" t="s">
        <v>2075</v>
      </c>
      <c r="C804" s="130" t="s">
        <v>134</v>
      </c>
      <c r="D804" s="130" t="s">
        <v>134</v>
      </c>
      <c r="E804" s="130" t="s">
        <v>1982</v>
      </c>
      <c r="F804" s="130" t="s">
        <v>1741</v>
      </c>
      <c r="G804" s="130" t="s">
        <v>137</v>
      </c>
      <c r="I804" s="130" t="s">
        <v>1703</v>
      </c>
      <c r="J804" s="130" t="s">
        <v>159</v>
      </c>
      <c r="K804" s="130" t="s">
        <v>1982</v>
      </c>
      <c r="L804" s="130" t="s">
        <v>1946</v>
      </c>
      <c r="M804" s="128">
        <v>6</v>
      </c>
      <c r="N804" s="128">
        <f t="shared" si="12"/>
        <v>0</v>
      </c>
      <c r="O804" s="130" t="s">
        <v>134</v>
      </c>
      <c r="P804" s="130" t="s">
        <v>134</v>
      </c>
      <c r="Q804" s="130" t="s">
        <v>1946</v>
      </c>
      <c r="R804" s="128">
        <v>6</v>
      </c>
      <c r="S804" s="130" t="s">
        <v>1741</v>
      </c>
    </row>
    <row r="805" spans="1:19" x14ac:dyDescent="0.25">
      <c r="A805" s="130" t="s">
        <v>2076</v>
      </c>
      <c r="B805" s="130" t="s">
        <v>2077</v>
      </c>
      <c r="C805" s="130" t="s">
        <v>134</v>
      </c>
      <c r="D805" s="130" t="s">
        <v>134</v>
      </c>
      <c r="E805" s="130" t="s">
        <v>1982</v>
      </c>
      <c r="F805" s="130" t="s">
        <v>1741</v>
      </c>
      <c r="G805" s="130" t="s">
        <v>137</v>
      </c>
      <c r="I805" s="130" t="s">
        <v>1703</v>
      </c>
      <c r="J805" s="130" t="s">
        <v>159</v>
      </c>
      <c r="K805" s="130" t="s">
        <v>1982</v>
      </c>
      <c r="L805" s="130" t="s">
        <v>554</v>
      </c>
      <c r="M805" s="128">
        <v>6</v>
      </c>
      <c r="N805" s="128">
        <f t="shared" si="12"/>
        <v>-3</v>
      </c>
      <c r="O805" s="130" t="s">
        <v>134</v>
      </c>
      <c r="P805" s="130" t="s">
        <v>134</v>
      </c>
      <c r="Q805" s="130" t="s">
        <v>554</v>
      </c>
      <c r="R805" s="128">
        <v>6</v>
      </c>
      <c r="S805" s="130" t="s">
        <v>1741</v>
      </c>
    </row>
    <row r="806" spans="1:19" x14ac:dyDescent="0.25">
      <c r="A806" s="130" t="s">
        <v>2078</v>
      </c>
      <c r="B806" s="130" t="s">
        <v>2079</v>
      </c>
      <c r="C806" s="130" t="s">
        <v>134</v>
      </c>
      <c r="D806" s="130" t="s">
        <v>134</v>
      </c>
      <c r="E806" s="130" t="s">
        <v>1982</v>
      </c>
      <c r="F806" s="130" t="s">
        <v>1741</v>
      </c>
      <c r="G806" s="130" t="s">
        <v>137</v>
      </c>
      <c r="I806" s="130" t="s">
        <v>1703</v>
      </c>
      <c r="J806" s="130" t="s">
        <v>159</v>
      </c>
      <c r="K806" s="130" t="s">
        <v>1982</v>
      </c>
      <c r="L806" s="130" t="s">
        <v>554</v>
      </c>
      <c r="M806" s="128">
        <v>6</v>
      </c>
      <c r="N806" s="128">
        <f t="shared" si="12"/>
        <v>-3</v>
      </c>
      <c r="O806" s="130" t="s">
        <v>134</v>
      </c>
      <c r="P806" s="130" t="s">
        <v>134</v>
      </c>
      <c r="Q806" s="130" t="s">
        <v>554</v>
      </c>
      <c r="R806" s="128">
        <v>6</v>
      </c>
      <c r="S806" s="130" t="s">
        <v>1741</v>
      </c>
    </row>
    <row r="807" spans="1:19" x14ac:dyDescent="0.25">
      <c r="A807" s="130" t="s">
        <v>2080</v>
      </c>
      <c r="B807" s="130" t="s">
        <v>2081</v>
      </c>
      <c r="C807" s="130" t="s">
        <v>860</v>
      </c>
      <c r="D807" s="130" t="s">
        <v>860</v>
      </c>
      <c r="E807" s="130" t="s">
        <v>1982</v>
      </c>
      <c r="F807" s="130" t="s">
        <v>1741</v>
      </c>
      <c r="G807" s="130" t="s">
        <v>137</v>
      </c>
      <c r="I807" s="130" t="s">
        <v>1703</v>
      </c>
      <c r="J807" s="130" t="s">
        <v>159</v>
      </c>
      <c r="K807" s="130" t="s">
        <v>1982</v>
      </c>
      <c r="L807" s="130" t="s">
        <v>554</v>
      </c>
      <c r="M807" s="128">
        <v>6</v>
      </c>
      <c r="N807" s="128">
        <f t="shared" si="12"/>
        <v>-3</v>
      </c>
      <c r="O807" s="130" t="s">
        <v>860</v>
      </c>
      <c r="P807" s="130" t="s">
        <v>860</v>
      </c>
      <c r="Q807" s="130" t="s">
        <v>160</v>
      </c>
      <c r="R807" s="128">
        <v>0</v>
      </c>
      <c r="S807" s="130" t="s">
        <v>1741</v>
      </c>
    </row>
    <row r="808" spans="1:19" x14ac:dyDescent="0.25">
      <c r="A808" s="130" t="s">
        <v>2082</v>
      </c>
      <c r="B808" s="130" t="s">
        <v>2083</v>
      </c>
      <c r="C808" s="130" t="s">
        <v>134</v>
      </c>
      <c r="D808" s="127" t="s">
        <v>860</v>
      </c>
      <c r="E808" s="130" t="s">
        <v>1982</v>
      </c>
      <c r="F808" s="130" t="s">
        <v>1741</v>
      </c>
      <c r="G808" s="130" t="s">
        <v>137</v>
      </c>
      <c r="I808" s="130" t="s">
        <v>1703</v>
      </c>
      <c r="J808" s="130" t="s">
        <v>159</v>
      </c>
      <c r="K808" s="130" t="s">
        <v>1982</v>
      </c>
      <c r="L808" s="130" t="s">
        <v>554</v>
      </c>
      <c r="M808" s="128">
        <v>6</v>
      </c>
      <c r="N808" s="128">
        <f t="shared" si="12"/>
        <v>-3</v>
      </c>
      <c r="O808" s="130" t="s">
        <v>134</v>
      </c>
      <c r="P808" s="127" t="s">
        <v>860</v>
      </c>
      <c r="Q808" s="130" t="s">
        <v>554</v>
      </c>
      <c r="R808" s="128">
        <v>6</v>
      </c>
      <c r="S808" s="130" t="s">
        <v>1741</v>
      </c>
    </row>
    <row r="809" spans="1:19" x14ac:dyDescent="0.25">
      <c r="A809" s="130" t="s">
        <v>2084</v>
      </c>
      <c r="B809" s="130" t="s">
        <v>2085</v>
      </c>
      <c r="C809" s="130" t="s">
        <v>159</v>
      </c>
      <c r="D809" s="130" t="s">
        <v>159</v>
      </c>
      <c r="E809" s="130" t="s">
        <v>2084</v>
      </c>
      <c r="F809" s="130" t="s">
        <v>2085</v>
      </c>
      <c r="G809" s="130" t="s">
        <v>137</v>
      </c>
      <c r="I809" s="130" t="s">
        <v>2086</v>
      </c>
      <c r="J809" s="130" t="s">
        <v>159</v>
      </c>
      <c r="K809" s="130" t="s">
        <v>2084</v>
      </c>
      <c r="L809" s="130" t="s">
        <v>1883</v>
      </c>
      <c r="M809" s="128">
        <v>9</v>
      </c>
      <c r="N809" s="128">
        <f t="shared" si="12"/>
        <v>-2</v>
      </c>
      <c r="O809" s="130" t="s">
        <v>159</v>
      </c>
      <c r="P809" s="130" t="s">
        <v>159</v>
      </c>
      <c r="Q809" s="130" t="s">
        <v>160</v>
      </c>
      <c r="R809" s="128">
        <v>0</v>
      </c>
      <c r="S809" s="130" t="s">
        <v>2087</v>
      </c>
    </row>
    <row r="810" spans="1:19" x14ac:dyDescent="0.25">
      <c r="A810" s="130" t="s">
        <v>2088</v>
      </c>
      <c r="B810" s="130" t="s">
        <v>2089</v>
      </c>
      <c r="C810" s="130" t="s">
        <v>159</v>
      </c>
      <c r="D810" s="130" t="s">
        <v>159</v>
      </c>
      <c r="E810" s="130" t="s">
        <v>2090</v>
      </c>
      <c r="F810" s="130" t="s">
        <v>2091</v>
      </c>
      <c r="G810" s="130" t="s">
        <v>137</v>
      </c>
      <c r="I810" s="130" t="s">
        <v>2086</v>
      </c>
      <c r="J810" s="130" t="s">
        <v>159</v>
      </c>
      <c r="K810" s="130" t="s">
        <v>2090</v>
      </c>
      <c r="L810" s="130" t="s">
        <v>1883</v>
      </c>
      <c r="M810" s="128">
        <v>9</v>
      </c>
      <c r="N810" s="128">
        <f t="shared" si="12"/>
        <v>-2</v>
      </c>
      <c r="O810" s="130" t="s">
        <v>159</v>
      </c>
      <c r="P810" s="130" t="s">
        <v>159</v>
      </c>
      <c r="Q810" s="130" t="s">
        <v>160</v>
      </c>
      <c r="R810" s="128">
        <v>0</v>
      </c>
      <c r="S810" s="130" t="s">
        <v>2087</v>
      </c>
    </row>
    <row r="811" spans="1:19" x14ac:dyDescent="0.25">
      <c r="A811" s="130" t="s">
        <v>2092</v>
      </c>
      <c r="B811" s="130" t="s">
        <v>2093</v>
      </c>
      <c r="C811" s="130" t="s">
        <v>159</v>
      </c>
      <c r="D811" s="130" t="s">
        <v>159</v>
      </c>
      <c r="E811" s="130" t="s">
        <v>2090</v>
      </c>
      <c r="F811" s="130" t="s">
        <v>2091</v>
      </c>
      <c r="G811" s="130" t="s">
        <v>137</v>
      </c>
      <c r="I811" s="130" t="s">
        <v>2086</v>
      </c>
      <c r="J811" s="130" t="s">
        <v>159</v>
      </c>
      <c r="K811" s="130" t="s">
        <v>2090</v>
      </c>
      <c r="L811" s="130" t="s">
        <v>1883</v>
      </c>
      <c r="M811" s="128">
        <v>9</v>
      </c>
      <c r="N811" s="128">
        <f t="shared" si="12"/>
        <v>-2</v>
      </c>
      <c r="O811" s="130" t="s">
        <v>159</v>
      </c>
      <c r="P811" s="130" t="s">
        <v>159</v>
      </c>
      <c r="Q811" s="130" t="s">
        <v>160</v>
      </c>
      <c r="R811" s="128">
        <v>0</v>
      </c>
      <c r="S811" s="130" t="s">
        <v>2087</v>
      </c>
    </row>
    <row r="812" spans="1:19" x14ac:dyDescent="0.25">
      <c r="A812" s="130" t="s">
        <v>2094</v>
      </c>
      <c r="B812" s="130" t="s">
        <v>2095</v>
      </c>
      <c r="C812" s="130" t="s">
        <v>159</v>
      </c>
      <c r="D812" s="130" t="s">
        <v>159</v>
      </c>
      <c r="E812" s="130" t="s">
        <v>2094</v>
      </c>
      <c r="F812" s="130" t="s">
        <v>2095</v>
      </c>
      <c r="G812" s="130" t="s">
        <v>137</v>
      </c>
      <c r="I812" s="130" t="s">
        <v>2086</v>
      </c>
      <c r="J812" s="130" t="s">
        <v>159</v>
      </c>
      <c r="K812" s="130" t="s">
        <v>2094</v>
      </c>
      <c r="L812" s="130" t="s">
        <v>1883</v>
      </c>
      <c r="M812" s="128">
        <v>9</v>
      </c>
      <c r="N812" s="128">
        <f t="shared" si="12"/>
        <v>-2</v>
      </c>
      <c r="O812" s="130" t="s">
        <v>159</v>
      </c>
      <c r="P812" s="130" t="s">
        <v>159</v>
      </c>
      <c r="Q812" s="130" t="s">
        <v>160</v>
      </c>
      <c r="R812" s="128">
        <v>0</v>
      </c>
      <c r="S812" s="130" t="s">
        <v>2087</v>
      </c>
    </row>
    <row r="813" spans="1:19" x14ac:dyDescent="0.25">
      <c r="A813" s="130" t="s">
        <v>2096</v>
      </c>
      <c r="B813" s="130" t="s">
        <v>2097</v>
      </c>
      <c r="C813" s="130" t="s">
        <v>159</v>
      </c>
      <c r="D813" s="130" t="s">
        <v>159</v>
      </c>
      <c r="E813" s="130" t="s">
        <v>2098</v>
      </c>
      <c r="F813" s="130" t="s">
        <v>2099</v>
      </c>
      <c r="G813" s="130" t="s">
        <v>137</v>
      </c>
      <c r="I813" s="130" t="s">
        <v>2086</v>
      </c>
      <c r="J813" s="130" t="s">
        <v>159</v>
      </c>
      <c r="K813" s="130" t="s">
        <v>2098</v>
      </c>
      <c r="L813" s="130" t="s">
        <v>1883</v>
      </c>
      <c r="M813" s="128">
        <v>9</v>
      </c>
      <c r="N813" s="128">
        <f t="shared" si="12"/>
        <v>-2</v>
      </c>
      <c r="O813" s="130" t="s">
        <v>159</v>
      </c>
      <c r="P813" s="130" t="s">
        <v>159</v>
      </c>
      <c r="Q813" s="130" t="s">
        <v>160</v>
      </c>
      <c r="R813" s="128">
        <v>0</v>
      </c>
      <c r="S813" s="130" t="s">
        <v>2087</v>
      </c>
    </row>
    <row r="814" spans="1:19" x14ac:dyDescent="0.25">
      <c r="A814" s="130" t="s">
        <v>2100</v>
      </c>
      <c r="B814" s="130" t="s">
        <v>2101</v>
      </c>
      <c r="C814" s="130" t="s">
        <v>159</v>
      </c>
      <c r="D814" s="130" t="s">
        <v>159</v>
      </c>
      <c r="E814" s="130" t="s">
        <v>2098</v>
      </c>
      <c r="F814" s="130" t="s">
        <v>2099</v>
      </c>
      <c r="G814" s="130" t="s">
        <v>137</v>
      </c>
      <c r="I814" s="130" t="s">
        <v>2086</v>
      </c>
      <c r="J814" s="130" t="s">
        <v>159</v>
      </c>
      <c r="K814" s="130" t="s">
        <v>2098</v>
      </c>
      <c r="L814" s="130" t="s">
        <v>1883</v>
      </c>
      <c r="M814" s="128">
        <v>9</v>
      </c>
      <c r="N814" s="128">
        <f t="shared" si="12"/>
        <v>-2</v>
      </c>
      <c r="O814" s="130" t="s">
        <v>159</v>
      </c>
      <c r="P814" s="130" t="s">
        <v>159</v>
      </c>
      <c r="Q814" s="130" t="s">
        <v>160</v>
      </c>
      <c r="R814" s="128">
        <v>0</v>
      </c>
      <c r="S814" s="130" t="s">
        <v>2087</v>
      </c>
    </row>
    <row r="815" spans="1:19" x14ac:dyDescent="0.25">
      <c r="A815" s="130" t="s">
        <v>2102</v>
      </c>
      <c r="B815" s="130" t="s">
        <v>2103</v>
      </c>
      <c r="C815" s="130" t="s">
        <v>159</v>
      </c>
      <c r="D815" s="130" t="s">
        <v>159</v>
      </c>
      <c r="E815" s="130" t="s">
        <v>2098</v>
      </c>
      <c r="F815" s="130" t="s">
        <v>2099</v>
      </c>
      <c r="G815" s="130" t="s">
        <v>137</v>
      </c>
      <c r="I815" s="130" t="s">
        <v>2086</v>
      </c>
      <c r="J815" s="130" t="s">
        <v>159</v>
      </c>
      <c r="K815" s="130" t="s">
        <v>2098</v>
      </c>
      <c r="L815" s="130" t="s">
        <v>1883</v>
      </c>
      <c r="M815" s="128">
        <v>9</v>
      </c>
      <c r="N815" s="128">
        <f t="shared" si="12"/>
        <v>-2</v>
      </c>
      <c r="O815" s="130" t="s">
        <v>159</v>
      </c>
      <c r="P815" s="130" t="s">
        <v>159</v>
      </c>
      <c r="Q815" s="130" t="s">
        <v>160</v>
      </c>
      <c r="R815" s="128">
        <v>0</v>
      </c>
      <c r="S815" s="130" t="s">
        <v>2087</v>
      </c>
    </row>
    <row r="816" spans="1:19" x14ac:dyDescent="0.25">
      <c r="A816" s="130" t="s">
        <v>2104</v>
      </c>
      <c r="B816" s="130" t="s">
        <v>2105</v>
      </c>
      <c r="C816" s="130" t="s">
        <v>159</v>
      </c>
      <c r="D816" s="130" t="s">
        <v>159</v>
      </c>
      <c r="E816" s="130" t="s">
        <v>2098</v>
      </c>
      <c r="F816" s="130" t="s">
        <v>2099</v>
      </c>
      <c r="G816" s="130" t="s">
        <v>137</v>
      </c>
      <c r="I816" s="130" t="s">
        <v>2086</v>
      </c>
      <c r="J816" s="130" t="s">
        <v>159</v>
      </c>
      <c r="K816" s="130" t="s">
        <v>2098</v>
      </c>
      <c r="L816" s="130" t="s">
        <v>1883</v>
      </c>
      <c r="M816" s="128">
        <v>9</v>
      </c>
      <c r="N816" s="128">
        <f t="shared" si="12"/>
        <v>-2</v>
      </c>
      <c r="O816" s="130" t="s">
        <v>159</v>
      </c>
      <c r="P816" s="130" t="s">
        <v>159</v>
      </c>
      <c r="Q816" s="130" t="s">
        <v>160</v>
      </c>
      <c r="R816" s="128">
        <v>0</v>
      </c>
      <c r="S816" s="130" t="s">
        <v>2087</v>
      </c>
    </row>
    <row r="817" spans="1:19" x14ac:dyDescent="0.25">
      <c r="A817" s="130" t="s">
        <v>2106</v>
      </c>
      <c r="B817" s="130" t="s">
        <v>2107</v>
      </c>
      <c r="C817" s="130" t="s">
        <v>134</v>
      </c>
      <c r="D817" s="130" t="s">
        <v>134</v>
      </c>
      <c r="E817" s="130" t="s">
        <v>2098</v>
      </c>
      <c r="F817" s="130" t="s">
        <v>2099</v>
      </c>
      <c r="G817" s="130" t="s">
        <v>137</v>
      </c>
      <c r="I817" s="130" t="s">
        <v>2086</v>
      </c>
      <c r="J817" s="130" t="s">
        <v>159</v>
      </c>
      <c r="K817" s="130" t="s">
        <v>2098</v>
      </c>
      <c r="L817" s="130" t="s">
        <v>1883</v>
      </c>
      <c r="M817" s="128">
        <v>9</v>
      </c>
      <c r="N817" s="128">
        <f t="shared" si="12"/>
        <v>-2</v>
      </c>
      <c r="O817" s="130" t="s">
        <v>159</v>
      </c>
      <c r="P817" s="130" t="s">
        <v>159</v>
      </c>
      <c r="Q817" s="130" t="s">
        <v>160</v>
      </c>
      <c r="R817" s="128">
        <v>0</v>
      </c>
      <c r="S817" s="130" t="s">
        <v>2087</v>
      </c>
    </row>
    <row r="818" spans="1:19" x14ac:dyDescent="0.25">
      <c r="A818" s="130" t="s">
        <v>2108</v>
      </c>
      <c r="B818" s="130" t="s">
        <v>2109</v>
      </c>
      <c r="C818" s="130" t="s">
        <v>159</v>
      </c>
      <c r="D818" s="130" t="s">
        <v>159</v>
      </c>
      <c r="E818" s="130" t="s">
        <v>2098</v>
      </c>
      <c r="F818" s="130" t="s">
        <v>2099</v>
      </c>
      <c r="G818" s="130" t="s">
        <v>137</v>
      </c>
      <c r="I818" s="130" t="s">
        <v>2086</v>
      </c>
      <c r="J818" s="130" t="s">
        <v>159</v>
      </c>
      <c r="K818" s="130" t="s">
        <v>2098</v>
      </c>
      <c r="L818" s="130" t="s">
        <v>1883</v>
      </c>
      <c r="M818" s="128">
        <v>9</v>
      </c>
      <c r="N818" s="128">
        <f t="shared" si="12"/>
        <v>-2</v>
      </c>
      <c r="O818" s="130" t="s">
        <v>159</v>
      </c>
      <c r="P818" s="130" t="s">
        <v>159</v>
      </c>
      <c r="Q818" s="130" t="s">
        <v>160</v>
      </c>
      <c r="R818" s="128">
        <v>0</v>
      </c>
      <c r="S818" s="130" t="s">
        <v>2087</v>
      </c>
    </row>
    <row r="819" spans="1:19" x14ac:dyDescent="0.25">
      <c r="A819" s="130" t="s">
        <v>2098</v>
      </c>
      <c r="B819" s="130" t="s">
        <v>2110</v>
      </c>
      <c r="C819" s="130" t="s">
        <v>159</v>
      </c>
      <c r="D819" s="130" t="s">
        <v>159</v>
      </c>
      <c r="E819" s="130" t="s">
        <v>2098</v>
      </c>
      <c r="F819" s="130" t="s">
        <v>2099</v>
      </c>
      <c r="G819" s="130" t="s">
        <v>137</v>
      </c>
      <c r="I819" s="130" t="s">
        <v>2086</v>
      </c>
      <c r="J819" s="130" t="s">
        <v>159</v>
      </c>
      <c r="K819" s="130" t="s">
        <v>2098</v>
      </c>
      <c r="L819" s="130" t="s">
        <v>1883</v>
      </c>
      <c r="M819" s="128">
        <v>9</v>
      </c>
      <c r="N819" s="128">
        <f t="shared" si="12"/>
        <v>-2</v>
      </c>
      <c r="O819" s="130" t="s">
        <v>159</v>
      </c>
      <c r="P819" s="130" t="s">
        <v>159</v>
      </c>
      <c r="Q819" s="130" t="s">
        <v>160</v>
      </c>
      <c r="R819" s="128">
        <v>0</v>
      </c>
      <c r="S819" s="130" t="s">
        <v>2087</v>
      </c>
    </row>
    <row r="820" spans="1:19" x14ac:dyDescent="0.25">
      <c r="A820" s="130" t="s">
        <v>2111</v>
      </c>
      <c r="B820" s="130" t="s">
        <v>2112</v>
      </c>
      <c r="C820" s="130" t="s">
        <v>159</v>
      </c>
      <c r="D820" s="130" t="s">
        <v>159</v>
      </c>
      <c r="E820" s="130" t="s">
        <v>2098</v>
      </c>
      <c r="F820" s="130" t="s">
        <v>2099</v>
      </c>
      <c r="G820" s="130" t="s">
        <v>137</v>
      </c>
      <c r="I820" s="130" t="s">
        <v>2086</v>
      </c>
      <c r="J820" s="130" t="s">
        <v>159</v>
      </c>
      <c r="K820" s="130" t="s">
        <v>2098</v>
      </c>
      <c r="L820" s="130" t="s">
        <v>1883</v>
      </c>
      <c r="M820" s="128">
        <v>9</v>
      </c>
      <c r="N820" s="128">
        <f t="shared" si="12"/>
        <v>-2</v>
      </c>
      <c r="O820" s="130" t="s">
        <v>159</v>
      </c>
      <c r="P820" s="130" t="s">
        <v>159</v>
      </c>
      <c r="Q820" s="130" t="s">
        <v>160</v>
      </c>
      <c r="R820" s="128">
        <v>0</v>
      </c>
      <c r="S820" s="130" t="s">
        <v>2087</v>
      </c>
    </row>
    <row r="821" spans="1:19" x14ac:dyDescent="0.25">
      <c r="A821" s="130" t="s">
        <v>2113</v>
      </c>
      <c r="B821" s="130" t="s">
        <v>2114</v>
      </c>
      <c r="C821" s="130" t="s">
        <v>159</v>
      </c>
      <c r="D821" s="130" t="s">
        <v>159</v>
      </c>
      <c r="E821" s="130" t="s">
        <v>2098</v>
      </c>
      <c r="F821" s="130" t="s">
        <v>2099</v>
      </c>
      <c r="G821" s="130" t="s">
        <v>137</v>
      </c>
      <c r="I821" s="130" t="s">
        <v>2086</v>
      </c>
      <c r="J821" s="130" t="s">
        <v>159</v>
      </c>
      <c r="K821" s="130" t="s">
        <v>2098</v>
      </c>
      <c r="L821" s="130" t="s">
        <v>1883</v>
      </c>
      <c r="M821" s="128">
        <v>9</v>
      </c>
      <c r="N821" s="128">
        <f t="shared" si="12"/>
        <v>-2</v>
      </c>
      <c r="O821" s="130" t="s">
        <v>159</v>
      </c>
      <c r="P821" s="130" t="s">
        <v>159</v>
      </c>
      <c r="Q821" s="130" t="s">
        <v>160</v>
      </c>
      <c r="R821" s="128">
        <v>0</v>
      </c>
      <c r="S821" s="130" t="s">
        <v>2087</v>
      </c>
    </row>
    <row r="822" spans="1:19" x14ac:dyDescent="0.25">
      <c r="A822" s="130" t="s">
        <v>2115</v>
      </c>
      <c r="B822" s="130" t="s">
        <v>2116</v>
      </c>
      <c r="C822" s="130" t="s">
        <v>159</v>
      </c>
      <c r="D822" s="130" t="s">
        <v>159</v>
      </c>
      <c r="E822" s="130" t="s">
        <v>2115</v>
      </c>
      <c r="F822" s="130" t="s">
        <v>2116</v>
      </c>
      <c r="G822" s="130" t="s">
        <v>137</v>
      </c>
      <c r="I822" s="130" t="s">
        <v>2086</v>
      </c>
      <c r="J822" s="130" t="s">
        <v>159</v>
      </c>
      <c r="K822" s="130" t="s">
        <v>2115</v>
      </c>
      <c r="L822" s="130" t="s">
        <v>1883</v>
      </c>
      <c r="M822" s="128">
        <v>9</v>
      </c>
      <c r="N822" s="128">
        <f t="shared" si="12"/>
        <v>-2</v>
      </c>
      <c r="O822" s="130" t="s">
        <v>159</v>
      </c>
      <c r="P822" s="130" t="s">
        <v>159</v>
      </c>
      <c r="Q822" s="130" t="s">
        <v>160</v>
      </c>
      <c r="R822" s="128">
        <v>0</v>
      </c>
      <c r="S822" s="130" t="s">
        <v>2087</v>
      </c>
    </row>
    <row r="823" spans="1:19" x14ac:dyDescent="0.25">
      <c r="A823" s="130" t="s">
        <v>2117</v>
      </c>
      <c r="B823" s="130" t="s">
        <v>2118</v>
      </c>
      <c r="C823" s="130" t="s">
        <v>159</v>
      </c>
      <c r="D823" s="130" t="s">
        <v>159</v>
      </c>
      <c r="E823" s="130" t="s">
        <v>2117</v>
      </c>
      <c r="F823" s="130" t="s">
        <v>2118</v>
      </c>
      <c r="G823" s="130" t="s">
        <v>137</v>
      </c>
      <c r="I823" s="130" t="s">
        <v>2086</v>
      </c>
      <c r="J823" s="130" t="s">
        <v>159</v>
      </c>
      <c r="K823" s="130" t="s">
        <v>2117</v>
      </c>
      <c r="L823" s="130" t="s">
        <v>1883</v>
      </c>
      <c r="M823" s="128">
        <v>9</v>
      </c>
      <c r="N823" s="128">
        <f t="shared" si="12"/>
        <v>-2</v>
      </c>
      <c r="O823" s="130" t="s">
        <v>159</v>
      </c>
      <c r="P823" s="130" t="s">
        <v>159</v>
      </c>
      <c r="Q823" s="130" t="s">
        <v>160</v>
      </c>
      <c r="R823" s="128">
        <v>0</v>
      </c>
      <c r="S823" s="130" t="s">
        <v>2087</v>
      </c>
    </row>
    <row r="824" spans="1:19" x14ac:dyDescent="0.25">
      <c r="A824" s="130" t="s">
        <v>2119</v>
      </c>
      <c r="B824" s="130" t="s">
        <v>2120</v>
      </c>
      <c r="C824" s="130" t="s">
        <v>159</v>
      </c>
      <c r="D824" s="130" t="s">
        <v>159</v>
      </c>
      <c r="E824" s="130" t="s">
        <v>2121</v>
      </c>
      <c r="F824" s="130" t="s">
        <v>2122</v>
      </c>
      <c r="G824" s="130" t="s">
        <v>137</v>
      </c>
      <c r="I824" s="130" t="s">
        <v>2086</v>
      </c>
      <c r="J824" s="130" t="s">
        <v>159</v>
      </c>
      <c r="K824" s="130" t="s">
        <v>2121</v>
      </c>
      <c r="L824" s="130" t="s">
        <v>1883</v>
      </c>
      <c r="M824" s="128">
        <v>9</v>
      </c>
      <c r="N824" s="128">
        <f t="shared" si="12"/>
        <v>-2</v>
      </c>
      <c r="O824" s="130" t="s">
        <v>159</v>
      </c>
      <c r="P824" s="130" t="s">
        <v>159</v>
      </c>
      <c r="Q824" s="130" t="s">
        <v>160</v>
      </c>
      <c r="R824" s="128">
        <v>0</v>
      </c>
      <c r="S824" s="130" t="s">
        <v>2087</v>
      </c>
    </row>
    <row r="825" spans="1:19" x14ac:dyDescent="0.25">
      <c r="A825" s="130" t="s">
        <v>2123</v>
      </c>
      <c r="B825" s="130" t="s">
        <v>2124</v>
      </c>
      <c r="C825" s="130" t="s">
        <v>159</v>
      </c>
      <c r="D825" s="130" t="s">
        <v>159</v>
      </c>
      <c r="E825" s="130" t="s">
        <v>2121</v>
      </c>
      <c r="F825" s="130" t="s">
        <v>2122</v>
      </c>
      <c r="G825" s="130" t="s">
        <v>137</v>
      </c>
      <c r="I825" s="130" t="s">
        <v>2086</v>
      </c>
      <c r="J825" s="130" t="s">
        <v>159</v>
      </c>
      <c r="K825" s="130" t="s">
        <v>2121</v>
      </c>
      <c r="L825" s="130" t="s">
        <v>1883</v>
      </c>
      <c r="M825" s="128">
        <v>9</v>
      </c>
      <c r="N825" s="128">
        <f t="shared" si="12"/>
        <v>-2</v>
      </c>
      <c r="O825" s="130" t="s">
        <v>159</v>
      </c>
      <c r="P825" s="130" t="s">
        <v>159</v>
      </c>
      <c r="Q825" s="130" t="s">
        <v>160</v>
      </c>
      <c r="R825" s="128">
        <v>0</v>
      </c>
      <c r="S825" s="130" t="s">
        <v>2087</v>
      </c>
    </row>
    <row r="826" spans="1:19" x14ac:dyDescent="0.25">
      <c r="A826" s="130" t="s">
        <v>2125</v>
      </c>
      <c r="B826" s="130" t="s">
        <v>2126</v>
      </c>
      <c r="C826" s="130" t="s">
        <v>159</v>
      </c>
      <c r="D826" s="130" t="s">
        <v>159</v>
      </c>
      <c r="E826" s="130" t="s">
        <v>2121</v>
      </c>
      <c r="F826" s="130" t="s">
        <v>2122</v>
      </c>
      <c r="G826" s="130" t="s">
        <v>137</v>
      </c>
      <c r="I826" s="130" t="s">
        <v>2086</v>
      </c>
      <c r="J826" s="130" t="s">
        <v>159</v>
      </c>
      <c r="K826" s="130" t="s">
        <v>2121</v>
      </c>
      <c r="L826" s="130" t="s">
        <v>1883</v>
      </c>
      <c r="M826" s="128">
        <v>9</v>
      </c>
      <c r="N826" s="128">
        <f t="shared" si="12"/>
        <v>-2</v>
      </c>
      <c r="O826" s="130" t="s">
        <v>159</v>
      </c>
      <c r="P826" s="130" t="s">
        <v>159</v>
      </c>
      <c r="Q826" s="130" t="s">
        <v>160</v>
      </c>
      <c r="R826" s="128">
        <v>0</v>
      </c>
      <c r="S826" s="130" t="s">
        <v>2087</v>
      </c>
    </row>
    <row r="827" spans="1:19" x14ac:dyDescent="0.25">
      <c r="A827" s="130" t="s">
        <v>2127</v>
      </c>
      <c r="B827" s="130" t="s">
        <v>2128</v>
      </c>
      <c r="C827" s="130" t="s">
        <v>159</v>
      </c>
      <c r="D827" s="130" t="s">
        <v>159</v>
      </c>
      <c r="E827" s="130" t="s">
        <v>2121</v>
      </c>
      <c r="F827" s="130" t="s">
        <v>2122</v>
      </c>
      <c r="G827" s="130" t="s">
        <v>137</v>
      </c>
      <c r="I827" s="130" t="s">
        <v>2086</v>
      </c>
      <c r="J827" s="130" t="s">
        <v>159</v>
      </c>
      <c r="K827" s="130" t="s">
        <v>2121</v>
      </c>
      <c r="L827" s="130" t="s">
        <v>1883</v>
      </c>
      <c r="M827" s="128">
        <v>9</v>
      </c>
      <c r="N827" s="128">
        <f t="shared" si="12"/>
        <v>-2</v>
      </c>
      <c r="O827" s="130" t="s">
        <v>159</v>
      </c>
      <c r="P827" s="130" t="s">
        <v>159</v>
      </c>
      <c r="Q827" s="130" t="s">
        <v>160</v>
      </c>
      <c r="R827" s="128">
        <v>0</v>
      </c>
      <c r="S827" s="130" t="s">
        <v>2087</v>
      </c>
    </row>
    <row r="828" spans="1:19" x14ac:dyDescent="0.25">
      <c r="A828" s="130" t="s">
        <v>2129</v>
      </c>
      <c r="B828" s="130" t="s">
        <v>2130</v>
      </c>
      <c r="C828" s="130" t="s">
        <v>159</v>
      </c>
      <c r="D828" s="130" t="s">
        <v>159</v>
      </c>
      <c r="E828" s="130" t="s">
        <v>2131</v>
      </c>
      <c r="F828" s="130" t="s">
        <v>2132</v>
      </c>
      <c r="G828" s="130" t="s">
        <v>137</v>
      </c>
      <c r="I828" s="130" t="s">
        <v>2086</v>
      </c>
      <c r="J828" s="130" t="s">
        <v>159</v>
      </c>
      <c r="K828" s="130" t="s">
        <v>2131</v>
      </c>
      <c r="L828" s="130" t="s">
        <v>1883</v>
      </c>
      <c r="M828" s="128">
        <v>9</v>
      </c>
      <c r="N828" s="128">
        <f t="shared" si="12"/>
        <v>-2</v>
      </c>
      <c r="O828" s="130" t="s">
        <v>159</v>
      </c>
      <c r="P828" s="130" t="s">
        <v>159</v>
      </c>
      <c r="Q828" s="130" t="s">
        <v>160</v>
      </c>
      <c r="R828" s="128">
        <v>0</v>
      </c>
      <c r="S828" s="130" t="s">
        <v>2087</v>
      </c>
    </row>
    <row r="829" spans="1:19" x14ac:dyDescent="0.25">
      <c r="A829" s="130" t="s">
        <v>2133</v>
      </c>
      <c r="B829" s="130" t="s">
        <v>2134</v>
      </c>
      <c r="C829" s="130" t="s">
        <v>159</v>
      </c>
      <c r="D829" s="130" t="s">
        <v>159</v>
      </c>
      <c r="E829" s="130" t="s">
        <v>2131</v>
      </c>
      <c r="F829" s="130" t="s">
        <v>2132</v>
      </c>
      <c r="G829" s="130" t="s">
        <v>137</v>
      </c>
      <c r="I829" s="130" t="s">
        <v>2086</v>
      </c>
      <c r="J829" s="130" t="s">
        <v>159</v>
      </c>
      <c r="K829" s="130" t="s">
        <v>2131</v>
      </c>
      <c r="L829" s="130" t="s">
        <v>1883</v>
      </c>
      <c r="M829" s="128">
        <v>9</v>
      </c>
      <c r="N829" s="128">
        <f t="shared" si="12"/>
        <v>-2</v>
      </c>
      <c r="O829" s="130" t="s">
        <v>159</v>
      </c>
      <c r="P829" s="130" t="s">
        <v>159</v>
      </c>
      <c r="Q829" s="130" t="s">
        <v>160</v>
      </c>
      <c r="R829" s="128">
        <v>0</v>
      </c>
      <c r="S829" s="130" t="s">
        <v>2087</v>
      </c>
    </row>
    <row r="830" spans="1:19" x14ac:dyDescent="0.25">
      <c r="A830" s="130" t="s">
        <v>2135</v>
      </c>
      <c r="B830" s="130" t="s">
        <v>2136</v>
      </c>
      <c r="C830" s="130" t="s">
        <v>159</v>
      </c>
      <c r="D830" s="130" t="s">
        <v>159</v>
      </c>
      <c r="E830" s="130" t="s">
        <v>2131</v>
      </c>
      <c r="F830" s="130" t="s">
        <v>2132</v>
      </c>
      <c r="G830" s="130" t="s">
        <v>137</v>
      </c>
      <c r="I830" s="130" t="s">
        <v>2086</v>
      </c>
      <c r="J830" s="130" t="s">
        <v>159</v>
      </c>
      <c r="K830" s="130" t="s">
        <v>2131</v>
      </c>
      <c r="L830" s="130" t="s">
        <v>1883</v>
      </c>
      <c r="M830" s="128">
        <v>9</v>
      </c>
      <c r="N830" s="128">
        <f t="shared" si="12"/>
        <v>-2</v>
      </c>
      <c r="O830" s="130" t="s">
        <v>159</v>
      </c>
      <c r="P830" s="130" t="s">
        <v>159</v>
      </c>
      <c r="Q830" s="130" t="s">
        <v>160</v>
      </c>
      <c r="R830" s="128">
        <v>0</v>
      </c>
      <c r="S830" s="130" t="s">
        <v>2087</v>
      </c>
    </row>
    <row r="831" spans="1:19" x14ac:dyDescent="0.25">
      <c r="A831" s="130" t="s">
        <v>2137</v>
      </c>
      <c r="B831" s="130" t="s">
        <v>2138</v>
      </c>
      <c r="C831" s="130" t="s">
        <v>159</v>
      </c>
      <c r="D831" s="130" t="s">
        <v>159</v>
      </c>
      <c r="E831" s="130" t="s">
        <v>2131</v>
      </c>
      <c r="F831" s="130" t="s">
        <v>2132</v>
      </c>
      <c r="G831" s="130" t="s">
        <v>137</v>
      </c>
      <c r="I831" s="130" t="s">
        <v>2086</v>
      </c>
      <c r="J831" s="130" t="s">
        <v>159</v>
      </c>
      <c r="K831" s="130" t="s">
        <v>2131</v>
      </c>
      <c r="L831" s="130" t="s">
        <v>1883</v>
      </c>
      <c r="M831" s="128">
        <v>9</v>
      </c>
      <c r="N831" s="128">
        <f t="shared" si="12"/>
        <v>-2</v>
      </c>
      <c r="O831" s="130" t="s">
        <v>159</v>
      </c>
      <c r="P831" s="130" t="s">
        <v>159</v>
      </c>
      <c r="Q831" s="130" t="s">
        <v>160</v>
      </c>
      <c r="R831" s="128">
        <v>0</v>
      </c>
      <c r="S831" s="130" t="s">
        <v>2087</v>
      </c>
    </row>
    <row r="832" spans="1:19" x14ac:dyDescent="0.25">
      <c r="A832" s="130" t="s">
        <v>2139</v>
      </c>
      <c r="B832" s="130" t="s">
        <v>2140</v>
      </c>
      <c r="C832" s="130" t="s">
        <v>159</v>
      </c>
      <c r="D832" s="130" t="s">
        <v>159</v>
      </c>
      <c r="E832" s="130" t="s">
        <v>2131</v>
      </c>
      <c r="F832" s="130" t="s">
        <v>2132</v>
      </c>
      <c r="G832" s="130" t="s">
        <v>137</v>
      </c>
      <c r="I832" s="130" t="s">
        <v>2086</v>
      </c>
      <c r="J832" s="130" t="s">
        <v>159</v>
      </c>
      <c r="K832" s="130" t="s">
        <v>2131</v>
      </c>
      <c r="L832" s="130" t="s">
        <v>1883</v>
      </c>
      <c r="M832" s="128">
        <v>9</v>
      </c>
      <c r="N832" s="128">
        <f t="shared" si="12"/>
        <v>-2</v>
      </c>
      <c r="O832" s="130" t="s">
        <v>159</v>
      </c>
      <c r="P832" s="130" t="s">
        <v>159</v>
      </c>
      <c r="Q832" s="130" t="s">
        <v>160</v>
      </c>
      <c r="R832" s="128">
        <v>0</v>
      </c>
      <c r="S832" s="130" t="s">
        <v>2087</v>
      </c>
    </row>
    <row r="833" spans="1:19" x14ac:dyDescent="0.25">
      <c r="A833" s="130" t="s">
        <v>2141</v>
      </c>
      <c r="B833" s="130" t="s">
        <v>2142</v>
      </c>
      <c r="C833" s="130" t="s">
        <v>159</v>
      </c>
      <c r="D833" s="130" t="s">
        <v>159</v>
      </c>
      <c r="E833" s="130" t="s">
        <v>2131</v>
      </c>
      <c r="F833" s="130" t="s">
        <v>2132</v>
      </c>
      <c r="G833" s="130" t="s">
        <v>137</v>
      </c>
      <c r="I833" s="130" t="s">
        <v>2086</v>
      </c>
      <c r="J833" s="130" t="s">
        <v>159</v>
      </c>
      <c r="K833" s="130" t="s">
        <v>2131</v>
      </c>
      <c r="L833" s="130" t="s">
        <v>1883</v>
      </c>
      <c r="M833" s="128">
        <v>9</v>
      </c>
      <c r="N833" s="128">
        <f t="shared" si="12"/>
        <v>-2</v>
      </c>
      <c r="O833" s="130" t="s">
        <v>159</v>
      </c>
      <c r="P833" s="130" t="s">
        <v>159</v>
      </c>
      <c r="Q833" s="130" t="s">
        <v>160</v>
      </c>
      <c r="R833" s="128">
        <v>0</v>
      </c>
      <c r="S833" s="130" t="s">
        <v>2087</v>
      </c>
    </row>
    <row r="834" spans="1:19" x14ac:dyDescent="0.25">
      <c r="A834" s="130" t="s">
        <v>2143</v>
      </c>
      <c r="B834" s="130" t="s">
        <v>2144</v>
      </c>
      <c r="C834" s="130" t="s">
        <v>159</v>
      </c>
      <c r="D834" s="130" t="s">
        <v>159</v>
      </c>
      <c r="E834" s="130" t="s">
        <v>2143</v>
      </c>
      <c r="F834" s="130" t="s">
        <v>2144</v>
      </c>
      <c r="G834" s="130" t="s">
        <v>137</v>
      </c>
      <c r="I834" s="130" t="s">
        <v>2086</v>
      </c>
      <c r="J834" s="130" t="s">
        <v>159</v>
      </c>
      <c r="K834" s="130" t="s">
        <v>2143</v>
      </c>
      <c r="L834" s="130" t="s">
        <v>1883</v>
      </c>
      <c r="M834" s="128">
        <v>9</v>
      </c>
      <c r="N834" s="128">
        <f t="shared" si="12"/>
        <v>-2</v>
      </c>
      <c r="O834" s="130" t="s">
        <v>159</v>
      </c>
      <c r="P834" s="130" t="s">
        <v>159</v>
      </c>
      <c r="Q834" s="130" t="s">
        <v>160</v>
      </c>
      <c r="R834" s="128">
        <v>0</v>
      </c>
      <c r="S834" s="130" t="s">
        <v>2087</v>
      </c>
    </row>
    <row r="835" spans="1:19" x14ac:dyDescent="0.25">
      <c r="A835" s="130" t="s">
        <v>2145</v>
      </c>
      <c r="B835" s="130" t="s">
        <v>2146</v>
      </c>
      <c r="C835" s="130" t="s">
        <v>159</v>
      </c>
      <c r="D835" s="130" t="s">
        <v>159</v>
      </c>
      <c r="E835" s="130" t="s">
        <v>2145</v>
      </c>
      <c r="F835" s="130" t="s">
        <v>2146</v>
      </c>
      <c r="G835" s="130" t="s">
        <v>137</v>
      </c>
      <c r="I835" s="130" t="s">
        <v>2086</v>
      </c>
      <c r="J835" s="130" t="s">
        <v>159</v>
      </c>
      <c r="K835" s="130" t="s">
        <v>2145</v>
      </c>
      <c r="L835" s="130" t="s">
        <v>1883</v>
      </c>
      <c r="M835" s="128">
        <v>9</v>
      </c>
      <c r="N835" s="128">
        <f t="shared" ref="N835:N898" si="13">M835-L835</f>
        <v>-2</v>
      </c>
      <c r="O835" s="130" t="s">
        <v>159</v>
      </c>
      <c r="P835" s="130" t="s">
        <v>159</v>
      </c>
      <c r="Q835" s="130" t="s">
        <v>160</v>
      </c>
      <c r="R835" s="128">
        <v>0</v>
      </c>
      <c r="S835" s="130" t="s">
        <v>2087</v>
      </c>
    </row>
    <row r="836" spans="1:19" x14ac:dyDescent="0.25">
      <c r="A836" s="130" t="s">
        <v>2147</v>
      </c>
      <c r="B836" s="130" t="s">
        <v>2148</v>
      </c>
      <c r="C836" s="130" t="s">
        <v>159</v>
      </c>
      <c r="D836" s="130" t="s">
        <v>159</v>
      </c>
      <c r="E836" s="130" t="s">
        <v>2147</v>
      </c>
      <c r="F836" s="130" t="s">
        <v>2148</v>
      </c>
      <c r="G836" s="130" t="s">
        <v>137</v>
      </c>
      <c r="I836" s="130" t="s">
        <v>2086</v>
      </c>
      <c r="J836" s="130" t="s">
        <v>159</v>
      </c>
      <c r="K836" s="130" t="s">
        <v>2147</v>
      </c>
      <c r="L836" s="130" t="s">
        <v>1883</v>
      </c>
      <c r="M836" s="128">
        <v>9</v>
      </c>
      <c r="N836" s="128">
        <f t="shared" si="13"/>
        <v>-2</v>
      </c>
      <c r="O836" s="130" t="s">
        <v>159</v>
      </c>
      <c r="P836" s="130" t="s">
        <v>159</v>
      </c>
      <c r="Q836" s="130" t="s">
        <v>160</v>
      </c>
      <c r="R836" s="128">
        <v>0</v>
      </c>
      <c r="S836" s="130" t="s">
        <v>2087</v>
      </c>
    </row>
    <row r="837" spans="1:19" x14ac:dyDescent="0.25">
      <c r="A837" s="130" t="s">
        <v>2149</v>
      </c>
      <c r="B837" s="130" t="s">
        <v>2150</v>
      </c>
      <c r="C837" s="130" t="s">
        <v>159</v>
      </c>
      <c r="D837" s="130" t="s">
        <v>159</v>
      </c>
      <c r="E837" s="130" t="s">
        <v>2151</v>
      </c>
      <c r="F837" s="130" t="s">
        <v>2152</v>
      </c>
      <c r="G837" s="130" t="s">
        <v>137</v>
      </c>
      <c r="I837" s="130" t="s">
        <v>2086</v>
      </c>
      <c r="J837" s="130" t="s">
        <v>159</v>
      </c>
      <c r="K837" s="130" t="s">
        <v>2151</v>
      </c>
      <c r="L837" s="130" t="s">
        <v>1883</v>
      </c>
      <c r="M837" s="128">
        <v>9</v>
      </c>
      <c r="N837" s="128">
        <f t="shared" si="13"/>
        <v>-2</v>
      </c>
      <c r="O837" s="130" t="s">
        <v>159</v>
      </c>
      <c r="P837" s="130" t="s">
        <v>159</v>
      </c>
      <c r="Q837" s="130" t="s">
        <v>160</v>
      </c>
      <c r="R837" s="128">
        <v>0</v>
      </c>
      <c r="S837" s="130" t="s">
        <v>2087</v>
      </c>
    </row>
    <row r="838" spans="1:19" x14ac:dyDescent="0.25">
      <c r="A838" s="130" t="s">
        <v>2153</v>
      </c>
      <c r="B838" s="130" t="s">
        <v>2154</v>
      </c>
      <c r="C838" s="130" t="s">
        <v>159</v>
      </c>
      <c r="D838" s="130" t="s">
        <v>159</v>
      </c>
      <c r="E838" s="130" t="s">
        <v>2155</v>
      </c>
      <c r="F838" s="130" t="s">
        <v>2156</v>
      </c>
      <c r="G838" s="130" t="s">
        <v>137</v>
      </c>
      <c r="I838" s="130" t="s">
        <v>2086</v>
      </c>
      <c r="J838" s="130" t="s">
        <v>159</v>
      </c>
      <c r="K838" s="130" t="s">
        <v>2155</v>
      </c>
      <c r="L838" s="130" t="s">
        <v>1883</v>
      </c>
      <c r="M838" s="128">
        <v>9</v>
      </c>
      <c r="N838" s="128">
        <f t="shared" si="13"/>
        <v>-2</v>
      </c>
      <c r="O838" s="130" t="s">
        <v>159</v>
      </c>
      <c r="P838" s="130" t="s">
        <v>159</v>
      </c>
      <c r="Q838" s="130" t="s">
        <v>160</v>
      </c>
      <c r="R838" s="128">
        <v>0</v>
      </c>
      <c r="S838" s="130" t="s">
        <v>2087</v>
      </c>
    </row>
    <row r="839" spans="1:19" x14ac:dyDescent="0.25">
      <c r="A839" s="130" t="s">
        <v>2157</v>
      </c>
      <c r="B839" s="130" t="s">
        <v>2158</v>
      </c>
      <c r="C839" s="130" t="s">
        <v>159</v>
      </c>
      <c r="D839" s="130" t="s">
        <v>159</v>
      </c>
      <c r="E839" s="130" t="s">
        <v>2157</v>
      </c>
      <c r="F839" s="130" t="s">
        <v>2158</v>
      </c>
      <c r="G839" s="130" t="s">
        <v>137</v>
      </c>
      <c r="I839" s="130" t="s">
        <v>2086</v>
      </c>
      <c r="J839" s="130" t="s">
        <v>159</v>
      </c>
      <c r="K839" s="130" t="s">
        <v>2157</v>
      </c>
      <c r="L839" s="130" t="s">
        <v>1883</v>
      </c>
      <c r="M839" s="128">
        <v>9</v>
      </c>
      <c r="N839" s="128">
        <f t="shared" si="13"/>
        <v>-2</v>
      </c>
      <c r="O839" s="130" t="s">
        <v>159</v>
      </c>
      <c r="P839" s="130" t="s">
        <v>159</v>
      </c>
      <c r="Q839" s="130" t="s">
        <v>160</v>
      </c>
      <c r="R839" s="128">
        <v>0</v>
      </c>
      <c r="S839" s="130" t="s">
        <v>2087</v>
      </c>
    </row>
    <row r="840" spans="1:19" x14ac:dyDescent="0.25">
      <c r="A840" s="130" t="s">
        <v>2159</v>
      </c>
      <c r="B840" s="130" t="s">
        <v>2160</v>
      </c>
      <c r="C840" s="130" t="s">
        <v>159</v>
      </c>
      <c r="D840" s="130" t="s">
        <v>159</v>
      </c>
      <c r="E840" s="130" t="s">
        <v>2159</v>
      </c>
      <c r="F840" s="130" t="s">
        <v>2160</v>
      </c>
      <c r="G840" s="130" t="s">
        <v>137</v>
      </c>
      <c r="I840" s="130" t="s">
        <v>2086</v>
      </c>
      <c r="J840" s="130" t="s">
        <v>159</v>
      </c>
      <c r="K840" s="130" t="s">
        <v>2159</v>
      </c>
      <c r="L840" s="130" t="s">
        <v>1883</v>
      </c>
      <c r="M840" s="128">
        <v>9</v>
      </c>
      <c r="N840" s="128">
        <f t="shared" si="13"/>
        <v>-2</v>
      </c>
      <c r="O840" s="130" t="s">
        <v>159</v>
      </c>
      <c r="P840" s="130" t="s">
        <v>159</v>
      </c>
      <c r="Q840" s="130" t="s">
        <v>160</v>
      </c>
      <c r="R840" s="128">
        <v>0</v>
      </c>
      <c r="S840" s="130" t="s">
        <v>2087</v>
      </c>
    </row>
    <row r="841" spans="1:19" x14ac:dyDescent="0.25">
      <c r="A841" s="130" t="s">
        <v>2161</v>
      </c>
      <c r="B841" s="130" t="s">
        <v>2162</v>
      </c>
      <c r="C841" s="130" t="s">
        <v>159</v>
      </c>
      <c r="D841" s="130" t="s">
        <v>159</v>
      </c>
      <c r="E841" s="130" t="s">
        <v>2163</v>
      </c>
      <c r="F841" s="130" t="s">
        <v>2164</v>
      </c>
      <c r="G841" s="130" t="s">
        <v>137</v>
      </c>
      <c r="I841" s="130" t="s">
        <v>2086</v>
      </c>
      <c r="J841" s="130" t="s">
        <v>159</v>
      </c>
      <c r="K841" s="130" t="s">
        <v>2163</v>
      </c>
      <c r="L841" s="130" t="s">
        <v>1883</v>
      </c>
      <c r="M841" s="128">
        <v>9</v>
      </c>
      <c r="N841" s="128">
        <f t="shared" si="13"/>
        <v>-2</v>
      </c>
      <c r="O841" s="130" t="s">
        <v>159</v>
      </c>
      <c r="P841" s="130" t="s">
        <v>159</v>
      </c>
      <c r="Q841" s="130" t="s">
        <v>160</v>
      </c>
      <c r="R841" s="128">
        <v>0</v>
      </c>
      <c r="S841" s="130" t="s">
        <v>2087</v>
      </c>
    </row>
    <row r="842" spans="1:19" x14ac:dyDescent="0.25">
      <c r="A842" s="130" t="s">
        <v>2165</v>
      </c>
      <c r="B842" s="130" t="s">
        <v>2166</v>
      </c>
      <c r="C842" s="130" t="s">
        <v>159</v>
      </c>
      <c r="D842" s="130" t="s">
        <v>159</v>
      </c>
      <c r="E842" s="130" t="s">
        <v>2165</v>
      </c>
      <c r="F842" s="130" t="s">
        <v>2166</v>
      </c>
      <c r="G842" s="130" t="s">
        <v>137</v>
      </c>
      <c r="I842" s="130" t="s">
        <v>2086</v>
      </c>
      <c r="J842" s="130" t="s">
        <v>159</v>
      </c>
      <c r="K842" s="130" t="s">
        <v>2165</v>
      </c>
      <c r="L842" s="130" t="s">
        <v>1883</v>
      </c>
      <c r="M842" s="128">
        <v>9</v>
      </c>
      <c r="N842" s="128">
        <f t="shared" si="13"/>
        <v>-2</v>
      </c>
      <c r="O842" s="130" t="s">
        <v>159</v>
      </c>
      <c r="P842" s="130" t="s">
        <v>159</v>
      </c>
      <c r="Q842" s="130" t="s">
        <v>160</v>
      </c>
      <c r="R842" s="128">
        <v>0</v>
      </c>
      <c r="S842" s="130" t="s">
        <v>2087</v>
      </c>
    </row>
    <row r="843" spans="1:19" x14ac:dyDescent="0.25">
      <c r="A843" s="130" t="s">
        <v>2167</v>
      </c>
      <c r="B843" s="130" t="s">
        <v>2168</v>
      </c>
      <c r="C843" s="130" t="s">
        <v>134</v>
      </c>
      <c r="D843" s="130" t="s">
        <v>134</v>
      </c>
      <c r="E843" s="130" t="s">
        <v>2169</v>
      </c>
      <c r="F843" s="130" t="s">
        <v>2170</v>
      </c>
      <c r="G843" s="130" t="s">
        <v>137</v>
      </c>
      <c r="I843" s="130" t="s">
        <v>2086</v>
      </c>
      <c r="J843" s="130" t="s">
        <v>159</v>
      </c>
      <c r="K843" s="130" t="s">
        <v>2169</v>
      </c>
      <c r="L843" s="130" t="s">
        <v>1883</v>
      </c>
      <c r="M843" s="128">
        <v>9</v>
      </c>
      <c r="N843" s="128">
        <f t="shared" si="13"/>
        <v>-2</v>
      </c>
      <c r="O843" s="130" t="s">
        <v>134</v>
      </c>
      <c r="P843" s="130" t="s">
        <v>134</v>
      </c>
      <c r="Q843" s="130" t="s">
        <v>1883</v>
      </c>
      <c r="R843" s="128">
        <v>9</v>
      </c>
      <c r="S843" s="130" t="s">
        <v>2087</v>
      </c>
    </row>
    <row r="844" spans="1:19" x14ac:dyDescent="0.25">
      <c r="A844" s="130" t="s">
        <v>2171</v>
      </c>
      <c r="B844" s="130" t="s">
        <v>2172</v>
      </c>
      <c r="C844" s="130" t="s">
        <v>134</v>
      </c>
      <c r="D844" s="130" t="s">
        <v>134</v>
      </c>
      <c r="E844" s="130" t="s">
        <v>2169</v>
      </c>
      <c r="F844" s="130" t="s">
        <v>2170</v>
      </c>
      <c r="G844" s="130" t="s">
        <v>137</v>
      </c>
      <c r="I844" s="130" t="s">
        <v>2086</v>
      </c>
      <c r="J844" s="130" t="s">
        <v>159</v>
      </c>
      <c r="K844" s="130" t="s">
        <v>2169</v>
      </c>
      <c r="L844" s="130" t="s">
        <v>1883</v>
      </c>
      <c r="M844" s="128">
        <v>9</v>
      </c>
      <c r="N844" s="128">
        <f t="shared" si="13"/>
        <v>-2</v>
      </c>
      <c r="O844" s="130" t="s">
        <v>134</v>
      </c>
      <c r="P844" s="130" t="s">
        <v>134</v>
      </c>
      <c r="Q844" s="130" t="s">
        <v>1883</v>
      </c>
      <c r="R844" s="128">
        <v>9</v>
      </c>
      <c r="S844" s="130" t="s">
        <v>2087</v>
      </c>
    </row>
    <row r="845" spans="1:19" x14ac:dyDescent="0.25">
      <c r="A845" s="130" t="s">
        <v>2173</v>
      </c>
      <c r="B845" s="130" t="s">
        <v>2174</v>
      </c>
      <c r="C845" s="130" t="s">
        <v>134</v>
      </c>
      <c r="D845" s="130" t="s">
        <v>134</v>
      </c>
      <c r="E845" s="130" t="s">
        <v>2169</v>
      </c>
      <c r="F845" s="130" t="s">
        <v>2170</v>
      </c>
      <c r="G845" s="130" t="s">
        <v>137</v>
      </c>
      <c r="I845" s="130" t="s">
        <v>2086</v>
      </c>
      <c r="J845" s="130" t="s">
        <v>159</v>
      </c>
      <c r="K845" s="130" t="s">
        <v>2169</v>
      </c>
      <c r="L845" s="130" t="s">
        <v>1883</v>
      </c>
      <c r="M845" s="128">
        <v>9</v>
      </c>
      <c r="N845" s="128">
        <f t="shared" si="13"/>
        <v>-2</v>
      </c>
      <c r="O845" s="130" t="s">
        <v>134</v>
      </c>
      <c r="P845" s="130" t="s">
        <v>134</v>
      </c>
      <c r="Q845" s="130" t="s">
        <v>1883</v>
      </c>
      <c r="R845" s="128">
        <v>9</v>
      </c>
      <c r="S845" s="130" t="s">
        <v>2087</v>
      </c>
    </row>
    <row r="846" spans="1:19" x14ac:dyDescent="0.25">
      <c r="A846" s="130" t="s">
        <v>2175</v>
      </c>
      <c r="B846" s="130" t="s">
        <v>2176</v>
      </c>
      <c r="C846" s="130" t="s">
        <v>134</v>
      </c>
      <c r="D846" s="130" t="s">
        <v>134</v>
      </c>
      <c r="E846" s="130" t="s">
        <v>2169</v>
      </c>
      <c r="F846" s="130" t="s">
        <v>2170</v>
      </c>
      <c r="G846" s="130" t="s">
        <v>137</v>
      </c>
      <c r="I846" s="130" t="s">
        <v>2086</v>
      </c>
      <c r="J846" s="130" t="s">
        <v>159</v>
      </c>
      <c r="K846" s="130" t="s">
        <v>2169</v>
      </c>
      <c r="L846" s="130" t="s">
        <v>1883</v>
      </c>
      <c r="M846" s="128">
        <v>9</v>
      </c>
      <c r="N846" s="128">
        <f t="shared" si="13"/>
        <v>-2</v>
      </c>
      <c r="O846" s="130" t="s">
        <v>134</v>
      </c>
      <c r="P846" s="130" t="s">
        <v>134</v>
      </c>
      <c r="Q846" s="130" t="s">
        <v>1883</v>
      </c>
      <c r="R846" s="128">
        <v>9</v>
      </c>
      <c r="S846" s="130" t="s">
        <v>2087</v>
      </c>
    </row>
    <row r="847" spans="1:19" x14ac:dyDescent="0.25">
      <c r="A847" s="130" t="s">
        <v>2177</v>
      </c>
      <c r="B847" s="130" t="s">
        <v>2178</v>
      </c>
      <c r="C847" s="130" t="s">
        <v>134</v>
      </c>
      <c r="D847" s="130" t="s">
        <v>134</v>
      </c>
      <c r="E847" s="130" t="s">
        <v>2177</v>
      </c>
      <c r="F847" s="130" t="s">
        <v>2178</v>
      </c>
      <c r="G847" s="130" t="s">
        <v>137</v>
      </c>
      <c r="I847" s="130" t="s">
        <v>2086</v>
      </c>
      <c r="J847" s="130" t="s">
        <v>159</v>
      </c>
      <c r="K847" s="130" t="s">
        <v>2177</v>
      </c>
      <c r="L847" s="130" t="s">
        <v>1883</v>
      </c>
      <c r="M847" s="128">
        <v>9</v>
      </c>
      <c r="N847" s="128">
        <f t="shared" si="13"/>
        <v>-2</v>
      </c>
      <c r="O847" s="130" t="s">
        <v>134</v>
      </c>
      <c r="P847" s="130" t="s">
        <v>134</v>
      </c>
      <c r="Q847" s="130" t="s">
        <v>1883</v>
      </c>
      <c r="R847" s="128">
        <v>9</v>
      </c>
      <c r="S847" s="130" t="s">
        <v>2087</v>
      </c>
    </row>
    <row r="848" spans="1:19" x14ac:dyDescent="0.25">
      <c r="A848" s="130" t="s">
        <v>2179</v>
      </c>
      <c r="B848" s="130" t="s">
        <v>2180</v>
      </c>
      <c r="C848" s="130" t="s">
        <v>134</v>
      </c>
      <c r="D848" s="130" t="s">
        <v>134</v>
      </c>
      <c r="E848" s="130" t="s">
        <v>2179</v>
      </c>
      <c r="F848" s="130" t="s">
        <v>2180</v>
      </c>
      <c r="G848" s="130" t="s">
        <v>137</v>
      </c>
      <c r="I848" s="130" t="s">
        <v>2086</v>
      </c>
      <c r="J848" s="130" t="s">
        <v>159</v>
      </c>
      <c r="K848" s="130" t="s">
        <v>2179</v>
      </c>
      <c r="L848" s="130" t="s">
        <v>1883</v>
      </c>
      <c r="M848" s="128">
        <v>9</v>
      </c>
      <c r="N848" s="128">
        <f t="shared" si="13"/>
        <v>-2</v>
      </c>
      <c r="O848" s="130" t="s">
        <v>134</v>
      </c>
      <c r="P848" s="130" t="s">
        <v>134</v>
      </c>
      <c r="Q848" s="130" t="s">
        <v>1883</v>
      </c>
      <c r="R848" s="128">
        <v>9</v>
      </c>
      <c r="S848" s="130" t="s">
        <v>2087</v>
      </c>
    </row>
    <row r="849" spans="1:19" x14ac:dyDescent="0.25">
      <c r="A849" s="130" t="s">
        <v>2181</v>
      </c>
      <c r="B849" s="130" t="s">
        <v>2182</v>
      </c>
      <c r="C849" s="130" t="s">
        <v>134</v>
      </c>
      <c r="D849" s="130" t="s">
        <v>134</v>
      </c>
      <c r="E849" s="130" t="s">
        <v>2181</v>
      </c>
      <c r="F849" s="130" t="s">
        <v>2182</v>
      </c>
      <c r="G849" s="130" t="s">
        <v>137</v>
      </c>
      <c r="I849" s="130" t="s">
        <v>2086</v>
      </c>
      <c r="J849" s="130" t="s">
        <v>159</v>
      </c>
      <c r="K849" s="130" t="s">
        <v>2181</v>
      </c>
      <c r="L849" s="130" t="s">
        <v>1883</v>
      </c>
      <c r="M849" s="128">
        <v>9</v>
      </c>
      <c r="N849" s="128">
        <f t="shared" si="13"/>
        <v>-2</v>
      </c>
      <c r="O849" s="130" t="s">
        <v>134</v>
      </c>
      <c r="P849" s="130" t="s">
        <v>134</v>
      </c>
      <c r="Q849" s="130" t="s">
        <v>1883</v>
      </c>
      <c r="R849" s="128">
        <v>9</v>
      </c>
      <c r="S849" s="130" t="s">
        <v>2087</v>
      </c>
    </row>
    <row r="850" spans="1:19" x14ac:dyDescent="0.25">
      <c r="A850" s="130" t="s">
        <v>2183</v>
      </c>
      <c r="B850" s="130" t="s">
        <v>2184</v>
      </c>
      <c r="C850" s="130" t="s">
        <v>134</v>
      </c>
      <c r="D850" s="130" t="s">
        <v>134</v>
      </c>
      <c r="E850" s="130" t="s">
        <v>2183</v>
      </c>
      <c r="F850" s="130" t="s">
        <v>2184</v>
      </c>
      <c r="G850" s="130" t="s">
        <v>137</v>
      </c>
      <c r="I850" s="130" t="s">
        <v>2086</v>
      </c>
      <c r="J850" s="130" t="s">
        <v>159</v>
      </c>
      <c r="K850" s="130" t="s">
        <v>2183</v>
      </c>
      <c r="L850" s="130" t="s">
        <v>1883</v>
      </c>
      <c r="M850" s="128">
        <v>9</v>
      </c>
      <c r="N850" s="128">
        <f t="shared" si="13"/>
        <v>-2</v>
      </c>
      <c r="O850" s="130" t="s">
        <v>134</v>
      </c>
      <c r="P850" s="130" t="s">
        <v>134</v>
      </c>
      <c r="Q850" s="130" t="s">
        <v>1883</v>
      </c>
      <c r="R850" s="128">
        <v>9</v>
      </c>
      <c r="S850" s="130" t="s">
        <v>2087</v>
      </c>
    </row>
    <row r="851" spans="1:19" x14ac:dyDescent="0.25">
      <c r="A851" s="130" t="s">
        <v>2185</v>
      </c>
      <c r="B851" s="130" t="s">
        <v>2186</v>
      </c>
      <c r="C851" s="130" t="s">
        <v>134</v>
      </c>
      <c r="D851" s="130" t="s">
        <v>134</v>
      </c>
      <c r="E851" s="130" t="s">
        <v>2185</v>
      </c>
      <c r="F851" s="130" t="s">
        <v>2186</v>
      </c>
      <c r="G851" s="130" t="s">
        <v>137</v>
      </c>
      <c r="I851" s="130" t="s">
        <v>2086</v>
      </c>
      <c r="J851" s="130" t="s">
        <v>159</v>
      </c>
      <c r="K851" s="130" t="s">
        <v>2185</v>
      </c>
      <c r="L851" s="130" t="s">
        <v>1883</v>
      </c>
      <c r="M851" s="128">
        <v>9</v>
      </c>
      <c r="N851" s="128">
        <f t="shared" si="13"/>
        <v>-2</v>
      </c>
      <c r="O851" s="130" t="s">
        <v>134</v>
      </c>
      <c r="P851" s="130" t="s">
        <v>134</v>
      </c>
      <c r="Q851" s="130" t="s">
        <v>1883</v>
      </c>
      <c r="R851" s="128">
        <v>9</v>
      </c>
      <c r="S851" s="130" t="s">
        <v>2087</v>
      </c>
    </row>
    <row r="852" spans="1:19" x14ac:dyDescent="0.25">
      <c r="A852" s="130" t="s">
        <v>2187</v>
      </c>
      <c r="B852" s="130" t="s">
        <v>2188</v>
      </c>
      <c r="C852" s="130" t="s">
        <v>134</v>
      </c>
      <c r="D852" s="130" t="s">
        <v>134</v>
      </c>
      <c r="E852" s="130" t="s">
        <v>2189</v>
      </c>
      <c r="F852" s="130" t="s">
        <v>2190</v>
      </c>
      <c r="G852" s="130" t="s">
        <v>137</v>
      </c>
      <c r="I852" s="130" t="s">
        <v>2086</v>
      </c>
      <c r="J852" s="130" t="s">
        <v>159</v>
      </c>
      <c r="K852" s="130" t="s">
        <v>2189</v>
      </c>
      <c r="L852" s="130" t="s">
        <v>1883</v>
      </c>
      <c r="M852" s="128">
        <v>9</v>
      </c>
      <c r="N852" s="128">
        <f t="shared" si="13"/>
        <v>-2</v>
      </c>
      <c r="O852" s="130" t="s">
        <v>134</v>
      </c>
      <c r="P852" s="130" t="s">
        <v>134</v>
      </c>
      <c r="Q852" s="130" t="s">
        <v>1883</v>
      </c>
      <c r="R852" s="128">
        <v>9</v>
      </c>
      <c r="S852" s="130" t="s">
        <v>2087</v>
      </c>
    </row>
    <row r="853" spans="1:19" x14ac:dyDescent="0.25">
      <c r="A853" s="130" t="s">
        <v>2189</v>
      </c>
      <c r="B853" s="130" t="s">
        <v>2191</v>
      </c>
      <c r="C853" s="130" t="s">
        <v>134</v>
      </c>
      <c r="D853" s="130" t="s">
        <v>134</v>
      </c>
      <c r="E853" s="130" t="s">
        <v>2189</v>
      </c>
      <c r="F853" s="130" t="s">
        <v>2190</v>
      </c>
      <c r="G853" s="130" t="s">
        <v>137</v>
      </c>
      <c r="I853" s="130" t="s">
        <v>2086</v>
      </c>
      <c r="J853" s="130" t="s">
        <v>159</v>
      </c>
      <c r="K853" s="130" t="s">
        <v>2189</v>
      </c>
      <c r="L853" s="130" t="s">
        <v>1883</v>
      </c>
      <c r="M853" s="128">
        <v>9</v>
      </c>
      <c r="N853" s="128">
        <f t="shared" si="13"/>
        <v>-2</v>
      </c>
      <c r="O853" s="130" t="s">
        <v>134</v>
      </c>
      <c r="P853" s="130" t="s">
        <v>134</v>
      </c>
      <c r="Q853" s="130" t="s">
        <v>1883</v>
      </c>
      <c r="R853" s="128">
        <v>9</v>
      </c>
      <c r="S853" s="130" t="s">
        <v>2087</v>
      </c>
    </row>
    <row r="854" spans="1:19" x14ac:dyDescent="0.25">
      <c r="A854" s="130" t="s">
        <v>2192</v>
      </c>
      <c r="B854" s="130" t="s">
        <v>2193</v>
      </c>
      <c r="C854" s="130" t="s">
        <v>134</v>
      </c>
      <c r="D854" s="130" t="s">
        <v>134</v>
      </c>
      <c r="E854" s="130" t="s">
        <v>2189</v>
      </c>
      <c r="F854" s="130" t="s">
        <v>2190</v>
      </c>
      <c r="G854" s="130" t="s">
        <v>137</v>
      </c>
      <c r="I854" s="130" t="s">
        <v>2086</v>
      </c>
      <c r="J854" s="130" t="s">
        <v>159</v>
      </c>
      <c r="K854" s="130" t="s">
        <v>2189</v>
      </c>
      <c r="L854" s="130" t="s">
        <v>1883</v>
      </c>
      <c r="M854" s="128">
        <v>9</v>
      </c>
      <c r="N854" s="128">
        <f t="shared" si="13"/>
        <v>-2</v>
      </c>
      <c r="O854" s="130" t="s">
        <v>134</v>
      </c>
      <c r="P854" s="130" t="s">
        <v>134</v>
      </c>
      <c r="Q854" s="130" t="s">
        <v>1883</v>
      </c>
      <c r="R854" s="128">
        <v>9</v>
      </c>
      <c r="S854" s="130" t="s">
        <v>2087</v>
      </c>
    </row>
    <row r="855" spans="1:19" x14ac:dyDescent="0.25">
      <c r="A855" s="130" t="s">
        <v>2194</v>
      </c>
      <c r="B855" s="130" t="s">
        <v>2195</v>
      </c>
      <c r="C855" s="130" t="s">
        <v>159</v>
      </c>
      <c r="D855" s="130" t="s">
        <v>159</v>
      </c>
      <c r="E855" s="130" t="s">
        <v>2189</v>
      </c>
      <c r="F855" s="130" t="s">
        <v>2190</v>
      </c>
      <c r="G855" s="130" t="s">
        <v>137</v>
      </c>
      <c r="I855" s="130" t="s">
        <v>2086</v>
      </c>
      <c r="J855" s="130" t="s">
        <v>159</v>
      </c>
      <c r="K855" s="130" t="s">
        <v>2189</v>
      </c>
      <c r="L855" s="130" t="s">
        <v>1883</v>
      </c>
      <c r="M855" s="128">
        <v>9</v>
      </c>
      <c r="N855" s="128">
        <f t="shared" si="13"/>
        <v>-2</v>
      </c>
      <c r="O855" s="130" t="s">
        <v>159</v>
      </c>
      <c r="P855" s="130" t="s">
        <v>159</v>
      </c>
      <c r="Q855" s="130" t="s">
        <v>160</v>
      </c>
      <c r="R855" s="128">
        <v>0</v>
      </c>
      <c r="S855" s="130" t="s">
        <v>2087</v>
      </c>
    </row>
    <row r="856" spans="1:19" x14ac:dyDescent="0.25">
      <c r="A856" s="130" t="s">
        <v>2196</v>
      </c>
      <c r="B856" s="130" t="s">
        <v>2197</v>
      </c>
      <c r="C856" s="130" t="s">
        <v>159</v>
      </c>
      <c r="D856" s="130" t="s">
        <v>159</v>
      </c>
      <c r="E856" s="130" t="s">
        <v>2196</v>
      </c>
      <c r="F856" s="130" t="s">
        <v>2197</v>
      </c>
      <c r="G856" s="130" t="s">
        <v>137</v>
      </c>
      <c r="I856" s="130" t="s">
        <v>2086</v>
      </c>
      <c r="J856" s="130" t="s">
        <v>159</v>
      </c>
      <c r="K856" s="130" t="s">
        <v>2196</v>
      </c>
      <c r="L856" s="130" t="s">
        <v>1883</v>
      </c>
      <c r="M856" s="128">
        <v>9</v>
      </c>
      <c r="N856" s="128">
        <f t="shared" si="13"/>
        <v>-2</v>
      </c>
      <c r="O856" s="130" t="s">
        <v>159</v>
      </c>
      <c r="P856" s="130" t="s">
        <v>159</v>
      </c>
      <c r="Q856" s="130" t="s">
        <v>160</v>
      </c>
      <c r="R856" s="128">
        <v>0</v>
      </c>
      <c r="S856" s="130" t="s">
        <v>2087</v>
      </c>
    </row>
    <row r="857" spans="1:19" x14ac:dyDescent="0.25">
      <c r="A857" s="130" t="s">
        <v>2198</v>
      </c>
      <c r="B857" s="130" t="s">
        <v>2199</v>
      </c>
      <c r="C857" s="130" t="s">
        <v>134</v>
      </c>
      <c r="D857" s="130" t="s">
        <v>134</v>
      </c>
      <c r="E857" s="130" t="s">
        <v>2200</v>
      </c>
      <c r="F857" s="130" t="s">
        <v>2201</v>
      </c>
      <c r="G857" s="130" t="s">
        <v>137</v>
      </c>
      <c r="I857" s="130" t="s">
        <v>2086</v>
      </c>
      <c r="J857" s="130" t="s">
        <v>159</v>
      </c>
      <c r="K857" s="130" t="s">
        <v>2200</v>
      </c>
      <c r="L857" s="130" t="s">
        <v>1883</v>
      </c>
      <c r="M857" s="128">
        <v>9</v>
      </c>
      <c r="N857" s="128">
        <f t="shared" si="13"/>
        <v>-2</v>
      </c>
      <c r="O857" s="130" t="s">
        <v>134</v>
      </c>
      <c r="P857" s="130" t="s">
        <v>134</v>
      </c>
      <c r="Q857" s="130" t="s">
        <v>1883</v>
      </c>
      <c r="R857" s="128">
        <v>9</v>
      </c>
      <c r="S857" s="130" t="s">
        <v>2087</v>
      </c>
    </row>
    <row r="858" spans="1:19" x14ac:dyDescent="0.25">
      <c r="A858" s="130" t="s">
        <v>2202</v>
      </c>
      <c r="B858" s="130" t="s">
        <v>2203</v>
      </c>
      <c r="C858" s="130" t="s">
        <v>134</v>
      </c>
      <c r="D858" s="130" t="s">
        <v>134</v>
      </c>
      <c r="E858" s="130" t="s">
        <v>2200</v>
      </c>
      <c r="F858" s="130" t="s">
        <v>2201</v>
      </c>
      <c r="G858" s="130" t="s">
        <v>137</v>
      </c>
      <c r="I858" s="130" t="s">
        <v>2086</v>
      </c>
      <c r="J858" s="130" t="s">
        <v>159</v>
      </c>
      <c r="K858" s="130" t="s">
        <v>2200</v>
      </c>
      <c r="L858" s="130" t="s">
        <v>1883</v>
      </c>
      <c r="M858" s="128">
        <v>9</v>
      </c>
      <c r="N858" s="128">
        <f t="shared" si="13"/>
        <v>-2</v>
      </c>
      <c r="O858" s="130" t="s">
        <v>134</v>
      </c>
      <c r="P858" s="130" t="s">
        <v>134</v>
      </c>
      <c r="Q858" s="130" t="s">
        <v>1883</v>
      </c>
      <c r="R858" s="128">
        <v>9</v>
      </c>
      <c r="S858" s="130" t="s">
        <v>2087</v>
      </c>
    </row>
    <row r="859" spans="1:19" x14ac:dyDescent="0.25">
      <c r="A859" s="130" t="s">
        <v>2204</v>
      </c>
      <c r="B859" s="130" t="s">
        <v>2205</v>
      </c>
      <c r="C859" s="130" t="s">
        <v>134</v>
      </c>
      <c r="D859" s="130" t="s">
        <v>134</v>
      </c>
      <c r="E859" s="130" t="s">
        <v>2200</v>
      </c>
      <c r="F859" s="130" t="s">
        <v>2201</v>
      </c>
      <c r="G859" s="130" t="s">
        <v>137</v>
      </c>
      <c r="I859" s="130" t="s">
        <v>2086</v>
      </c>
      <c r="J859" s="130" t="s">
        <v>159</v>
      </c>
      <c r="K859" s="130" t="s">
        <v>2200</v>
      </c>
      <c r="L859" s="130" t="s">
        <v>1883</v>
      </c>
      <c r="M859" s="128">
        <v>9</v>
      </c>
      <c r="N859" s="128">
        <f t="shared" si="13"/>
        <v>-2</v>
      </c>
      <c r="O859" s="130" t="s">
        <v>134</v>
      </c>
      <c r="P859" s="130" t="s">
        <v>134</v>
      </c>
      <c r="Q859" s="130" t="s">
        <v>1883</v>
      </c>
      <c r="R859" s="128">
        <v>9</v>
      </c>
      <c r="S859" s="130" t="s">
        <v>2087</v>
      </c>
    </row>
    <row r="860" spans="1:19" x14ac:dyDescent="0.25">
      <c r="A860" s="130" t="s">
        <v>2206</v>
      </c>
      <c r="B860" s="130" t="s">
        <v>2207</v>
      </c>
      <c r="C860" s="130" t="s">
        <v>134</v>
      </c>
      <c r="D860" s="130" t="s">
        <v>134</v>
      </c>
      <c r="E860" s="130" t="s">
        <v>2200</v>
      </c>
      <c r="F860" s="130" t="s">
        <v>2201</v>
      </c>
      <c r="G860" s="130" t="s">
        <v>137</v>
      </c>
      <c r="I860" s="130" t="s">
        <v>2086</v>
      </c>
      <c r="J860" s="130" t="s">
        <v>159</v>
      </c>
      <c r="K860" s="130" t="s">
        <v>2200</v>
      </c>
      <c r="L860" s="130" t="s">
        <v>1883</v>
      </c>
      <c r="M860" s="128">
        <v>9</v>
      </c>
      <c r="N860" s="128">
        <f t="shared" si="13"/>
        <v>-2</v>
      </c>
      <c r="O860" s="130" t="s">
        <v>134</v>
      </c>
      <c r="P860" s="130" t="s">
        <v>134</v>
      </c>
      <c r="Q860" s="130" t="s">
        <v>1883</v>
      </c>
      <c r="R860" s="128">
        <v>9</v>
      </c>
      <c r="S860" s="130" t="s">
        <v>2087</v>
      </c>
    </row>
    <row r="861" spans="1:19" x14ac:dyDescent="0.25">
      <c r="A861" s="130" t="s">
        <v>2208</v>
      </c>
      <c r="B861" s="130" t="s">
        <v>2209</v>
      </c>
      <c r="C861" s="130" t="s">
        <v>134</v>
      </c>
      <c r="D861" s="130" t="s">
        <v>134</v>
      </c>
      <c r="E861" s="130" t="s">
        <v>2200</v>
      </c>
      <c r="F861" s="130" t="s">
        <v>2201</v>
      </c>
      <c r="G861" s="130" t="s">
        <v>137</v>
      </c>
      <c r="I861" s="130" t="s">
        <v>2086</v>
      </c>
      <c r="J861" s="130" t="s">
        <v>159</v>
      </c>
      <c r="K861" s="130" t="s">
        <v>2200</v>
      </c>
      <c r="L861" s="130" t="s">
        <v>1883</v>
      </c>
      <c r="M861" s="128">
        <v>9</v>
      </c>
      <c r="N861" s="128">
        <f t="shared" si="13"/>
        <v>-2</v>
      </c>
      <c r="O861" s="130" t="s">
        <v>134</v>
      </c>
      <c r="P861" s="130" t="s">
        <v>134</v>
      </c>
      <c r="Q861" s="130" t="s">
        <v>1883</v>
      </c>
      <c r="R861" s="128">
        <v>9</v>
      </c>
      <c r="S861" s="130" t="s">
        <v>2087</v>
      </c>
    </row>
    <row r="862" spans="1:19" x14ac:dyDescent="0.25">
      <c r="A862" s="130" t="s">
        <v>2210</v>
      </c>
      <c r="B862" s="130" t="s">
        <v>2211</v>
      </c>
      <c r="C862" s="130" t="s">
        <v>134</v>
      </c>
      <c r="D862" s="130" t="s">
        <v>134</v>
      </c>
      <c r="E862" s="130" t="s">
        <v>2200</v>
      </c>
      <c r="F862" s="130" t="s">
        <v>2201</v>
      </c>
      <c r="G862" s="130" t="s">
        <v>137</v>
      </c>
      <c r="I862" s="130" t="s">
        <v>2086</v>
      </c>
      <c r="J862" s="130" t="s">
        <v>159</v>
      </c>
      <c r="K862" s="130" t="s">
        <v>2200</v>
      </c>
      <c r="L862" s="130" t="s">
        <v>1883</v>
      </c>
      <c r="M862" s="128">
        <v>9</v>
      </c>
      <c r="N862" s="128">
        <f t="shared" si="13"/>
        <v>-2</v>
      </c>
      <c r="O862" s="130" t="s">
        <v>134</v>
      </c>
      <c r="P862" s="130" t="s">
        <v>134</v>
      </c>
      <c r="Q862" s="130" t="s">
        <v>1883</v>
      </c>
      <c r="R862" s="128">
        <v>9</v>
      </c>
      <c r="S862" s="130" t="s">
        <v>2087</v>
      </c>
    </row>
    <row r="863" spans="1:19" x14ac:dyDescent="0.25">
      <c r="A863" s="130" t="s">
        <v>2212</v>
      </c>
      <c r="B863" s="130" t="s">
        <v>2213</v>
      </c>
      <c r="C863" s="130" t="s">
        <v>134</v>
      </c>
      <c r="D863" s="130" t="s">
        <v>134</v>
      </c>
      <c r="E863" s="130" t="s">
        <v>2214</v>
      </c>
      <c r="F863" s="130" t="s">
        <v>2215</v>
      </c>
      <c r="G863" s="130" t="s">
        <v>137</v>
      </c>
      <c r="I863" s="130" t="s">
        <v>2086</v>
      </c>
      <c r="J863" s="130" t="s">
        <v>159</v>
      </c>
      <c r="K863" s="130" t="s">
        <v>2214</v>
      </c>
      <c r="L863" s="130" t="s">
        <v>1883</v>
      </c>
      <c r="M863" s="128">
        <v>9</v>
      </c>
      <c r="N863" s="128">
        <f t="shared" si="13"/>
        <v>-2</v>
      </c>
      <c r="O863" s="130" t="s">
        <v>134</v>
      </c>
      <c r="P863" s="130" t="s">
        <v>134</v>
      </c>
      <c r="Q863" s="130" t="s">
        <v>1883</v>
      </c>
      <c r="R863" s="128">
        <v>9</v>
      </c>
      <c r="S863" s="130" t="s">
        <v>2087</v>
      </c>
    </row>
    <row r="864" spans="1:19" x14ac:dyDescent="0.25">
      <c r="A864" s="130" t="s">
        <v>2216</v>
      </c>
      <c r="B864" s="130" t="s">
        <v>2217</v>
      </c>
      <c r="C864" s="130" t="s">
        <v>860</v>
      </c>
      <c r="D864" s="130" t="s">
        <v>860</v>
      </c>
      <c r="E864" s="130" t="s">
        <v>2218</v>
      </c>
      <c r="F864" s="130" t="s">
        <v>2219</v>
      </c>
      <c r="G864" s="130" t="s">
        <v>137</v>
      </c>
      <c r="I864" s="130" t="s">
        <v>1703</v>
      </c>
      <c r="J864" s="130" t="s">
        <v>159</v>
      </c>
      <c r="K864" s="130" t="s">
        <v>2218</v>
      </c>
      <c r="L864" s="130" t="s">
        <v>554</v>
      </c>
      <c r="M864" s="128">
        <v>10</v>
      </c>
      <c r="N864" s="128">
        <f t="shared" si="13"/>
        <v>1</v>
      </c>
      <c r="O864" s="130" t="s">
        <v>860</v>
      </c>
      <c r="P864" s="130" t="s">
        <v>860</v>
      </c>
      <c r="Q864" s="130" t="s">
        <v>160</v>
      </c>
      <c r="R864" s="128">
        <v>0</v>
      </c>
      <c r="S864" s="130" t="s">
        <v>2220</v>
      </c>
    </row>
    <row r="865" spans="1:19" x14ac:dyDescent="0.25">
      <c r="A865" s="130" t="s">
        <v>2221</v>
      </c>
      <c r="B865" s="130" t="s">
        <v>2222</v>
      </c>
      <c r="C865" s="130" t="s">
        <v>860</v>
      </c>
      <c r="D865" s="130" t="s">
        <v>860</v>
      </c>
      <c r="E865" s="130" t="s">
        <v>2218</v>
      </c>
      <c r="F865" s="130" t="s">
        <v>2219</v>
      </c>
      <c r="G865" s="130" t="s">
        <v>137</v>
      </c>
      <c r="I865" s="130" t="s">
        <v>1703</v>
      </c>
      <c r="J865" s="130" t="s">
        <v>159</v>
      </c>
      <c r="K865" s="130" t="s">
        <v>2218</v>
      </c>
      <c r="L865" s="130" t="s">
        <v>554</v>
      </c>
      <c r="M865" s="128">
        <v>10</v>
      </c>
      <c r="N865" s="128">
        <f t="shared" si="13"/>
        <v>1</v>
      </c>
      <c r="O865" s="130" t="s">
        <v>860</v>
      </c>
      <c r="P865" s="130" t="s">
        <v>860</v>
      </c>
      <c r="Q865" s="130" t="s">
        <v>160</v>
      </c>
      <c r="R865" s="128">
        <v>0</v>
      </c>
      <c r="S865" s="130" t="s">
        <v>2220</v>
      </c>
    </row>
    <row r="866" spans="1:19" x14ac:dyDescent="0.25">
      <c r="A866" s="130" t="s">
        <v>2223</v>
      </c>
      <c r="B866" s="130" t="s">
        <v>2224</v>
      </c>
      <c r="C866" s="130" t="s">
        <v>860</v>
      </c>
      <c r="D866" s="130" t="s">
        <v>860</v>
      </c>
      <c r="E866" s="130" t="s">
        <v>2218</v>
      </c>
      <c r="F866" s="130" t="s">
        <v>2219</v>
      </c>
      <c r="G866" s="130" t="s">
        <v>137</v>
      </c>
      <c r="I866" s="130" t="s">
        <v>1703</v>
      </c>
      <c r="J866" s="130" t="s">
        <v>159</v>
      </c>
      <c r="K866" s="130" t="s">
        <v>2218</v>
      </c>
      <c r="L866" s="130" t="s">
        <v>554</v>
      </c>
      <c r="M866" s="128">
        <v>10</v>
      </c>
      <c r="N866" s="128">
        <f t="shared" si="13"/>
        <v>1</v>
      </c>
      <c r="O866" s="130" t="s">
        <v>860</v>
      </c>
      <c r="P866" s="130" t="s">
        <v>860</v>
      </c>
      <c r="Q866" s="130" t="s">
        <v>160</v>
      </c>
      <c r="R866" s="128">
        <v>0</v>
      </c>
      <c r="S866" s="130" t="s">
        <v>2220</v>
      </c>
    </row>
    <row r="867" spans="1:19" x14ac:dyDescent="0.25">
      <c r="A867" s="130" t="s">
        <v>2225</v>
      </c>
      <c r="B867" s="130" t="s">
        <v>2226</v>
      </c>
      <c r="C867" s="130" t="s">
        <v>860</v>
      </c>
      <c r="D867" s="130" t="s">
        <v>860</v>
      </c>
      <c r="E867" s="130" t="s">
        <v>2225</v>
      </c>
      <c r="F867" s="130" t="s">
        <v>2226</v>
      </c>
      <c r="G867" s="130" t="s">
        <v>137</v>
      </c>
      <c r="I867" s="130" t="s">
        <v>1703</v>
      </c>
      <c r="J867" s="130" t="s">
        <v>159</v>
      </c>
      <c r="K867" s="130" t="s">
        <v>2225</v>
      </c>
      <c r="L867" s="130" t="s">
        <v>554</v>
      </c>
      <c r="M867" s="128">
        <v>10</v>
      </c>
      <c r="N867" s="128">
        <f t="shared" si="13"/>
        <v>1</v>
      </c>
      <c r="O867" s="130" t="s">
        <v>860</v>
      </c>
      <c r="P867" s="130" t="s">
        <v>860</v>
      </c>
      <c r="Q867" s="130" t="s">
        <v>160</v>
      </c>
      <c r="R867" s="128">
        <v>0</v>
      </c>
      <c r="S867" s="130" t="s">
        <v>2220</v>
      </c>
    </row>
    <row r="868" spans="1:19" x14ac:dyDescent="0.25">
      <c r="A868" s="130" t="s">
        <v>2227</v>
      </c>
      <c r="B868" s="130" t="s">
        <v>2228</v>
      </c>
      <c r="C868" s="130" t="s">
        <v>860</v>
      </c>
      <c r="D868" s="130" t="s">
        <v>860</v>
      </c>
      <c r="E868" s="130" t="s">
        <v>2227</v>
      </c>
      <c r="F868" s="130" t="s">
        <v>2228</v>
      </c>
      <c r="G868" s="130" t="s">
        <v>137</v>
      </c>
      <c r="I868" s="130" t="s">
        <v>1703</v>
      </c>
      <c r="J868" s="130" t="s">
        <v>159</v>
      </c>
      <c r="K868" s="130" t="s">
        <v>2227</v>
      </c>
      <c r="L868" s="130" t="s">
        <v>554</v>
      </c>
      <c r="M868" s="128">
        <v>10</v>
      </c>
      <c r="N868" s="128">
        <f t="shared" si="13"/>
        <v>1</v>
      </c>
      <c r="O868" s="130" t="s">
        <v>860</v>
      </c>
      <c r="P868" s="130" t="s">
        <v>860</v>
      </c>
      <c r="Q868" s="130" t="s">
        <v>160</v>
      </c>
      <c r="R868" s="128">
        <v>0</v>
      </c>
      <c r="S868" s="130" t="s">
        <v>2220</v>
      </c>
    </row>
    <row r="869" spans="1:19" x14ac:dyDescent="0.25">
      <c r="A869" s="130" t="s">
        <v>2229</v>
      </c>
      <c r="B869" s="130" t="s">
        <v>2230</v>
      </c>
      <c r="C869" s="130" t="s">
        <v>860</v>
      </c>
      <c r="D869" s="130" t="s">
        <v>860</v>
      </c>
      <c r="E869" s="130" t="s">
        <v>2229</v>
      </c>
      <c r="F869" s="130" t="s">
        <v>2230</v>
      </c>
      <c r="G869" s="130" t="s">
        <v>137</v>
      </c>
      <c r="I869" s="130" t="s">
        <v>1703</v>
      </c>
      <c r="J869" s="130" t="s">
        <v>159</v>
      </c>
      <c r="K869" s="130" t="s">
        <v>2229</v>
      </c>
      <c r="L869" s="130" t="s">
        <v>554</v>
      </c>
      <c r="M869" s="128">
        <v>10</v>
      </c>
      <c r="N869" s="128">
        <f t="shared" si="13"/>
        <v>1</v>
      </c>
      <c r="O869" s="130" t="s">
        <v>860</v>
      </c>
      <c r="P869" s="130" t="s">
        <v>860</v>
      </c>
      <c r="Q869" s="130" t="s">
        <v>160</v>
      </c>
      <c r="R869" s="128">
        <v>0</v>
      </c>
      <c r="S869" s="130" t="s">
        <v>2220</v>
      </c>
    </row>
    <row r="870" spans="1:19" x14ac:dyDescent="0.25">
      <c r="A870" s="130" t="s">
        <v>2231</v>
      </c>
      <c r="B870" s="130" t="s">
        <v>2232</v>
      </c>
      <c r="C870" s="130" t="s">
        <v>860</v>
      </c>
      <c r="D870" s="130" t="s">
        <v>860</v>
      </c>
      <c r="E870" s="130" t="s">
        <v>2231</v>
      </c>
      <c r="F870" s="130" t="s">
        <v>2232</v>
      </c>
      <c r="G870" s="130" t="s">
        <v>137</v>
      </c>
      <c r="I870" s="130" t="s">
        <v>1703</v>
      </c>
      <c r="J870" s="130" t="s">
        <v>159</v>
      </c>
      <c r="K870" s="130" t="s">
        <v>2231</v>
      </c>
      <c r="L870" s="130" t="s">
        <v>554</v>
      </c>
      <c r="M870" s="128">
        <v>10</v>
      </c>
      <c r="N870" s="128">
        <f t="shared" si="13"/>
        <v>1</v>
      </c>
      <c r="O870" s="130" t="s">
        <v>860</v>
      </c>
      <c r="P870" s="130" t="s">
        <v>860</v>
      </c>
      <c r="Q870" s="130" t="s">
        <v>160</v>
      </c>
      <c r="R870" s="128">
        <v>0</v>
      </c>
      <c r="S870" s="130" t="s">
        <v>2220</v>
      </c>
    </row>
    <row r="871" spans="1:19" x14ac:dyDescent="0.25">
      <c r="A871" s="130" t="s">
        <v>2233</v>
      </c>
      <c r="B871" s="130" t="s">
        <v>2234</v>
      </c>
      <c r="C871" s="130" t="s">
        <v>860</v>
      </c>
      <c r="D871" s="130" t="s">
        <v>860</v>
      </c>
      <c r="E871" s="130" t="s">
        <v>2235</v>
      </c>
      <c r="F871" s="130" t="s">
        <v>2236</v>
      </c>
      <c r="G871" s="130" t="s">
        <v>137</v>
      </c>
      <c r="I871" s="130" t="s">
        <v>1703</v>
      </c>
      <c r="J871" s="130" t="s">
        <v>159</v>
      </c>
      <c r="K871" s="130" t="s">
        <v>2235</v>
      </c>
      <c r="L871" s="130" t="s">
        <v>554</v>
      </c>
      <c r="M871" s="128">
        <v>10</v>
      </c>
      <c r="N871" s="128">
        <f t="shared" si="13"/>
        <v>1</v>
      </c>
      <c r="O871" s="130" t="s">
        <v>860</v>
      </c>
      <c r="P871" s="130" t="s">
        <v>860</v>
      </c>
      <c r="Q871" s="130" t="s">
        <v>160</v>
      </c>
      <c r="R871" s="128">
        <v>0</v>
      </c>
      <c r="S871" s="130" t="s">
        <v>2220</v>
      </c>
    </row>
    <row r="872" spans="1:19" x14ac:dyDescent="0.25">
      <c r="A872" s="130" t="s">
        <v>2237</v>
      </c>
      <c r="B872" s="130" t="s">
        <v>2238</v>
      </c>
      <c r="C872" s="130" t="s">
        <v>860</v>
      </c>
      <c r="D872" s="130" t="s">
        <v>860</v>
      </c>
      <c r="E872" s="130" t="s">
        <v>2237</v>
      </c>
      <c r="F872" s="130" t="s">
        <v>2238</v>
      </c>
      <c r="G872" s="130" t="s">
        <v>137</v>
      </c>
      <c r="I872" s="130" t="s">
        <v>1703</v>
      </c>
      <c r="J872" s="130" t="s">
        <v>159</v>
      </c>
      <c r="K872" s="130" t="s">
        <v>2237</v>
      </c>
      <c r="L872" s="130" t="s">
        <v>554</v>
      </c>
      <c r="M872" s="128">
        <v>10</v>
      </c>
      <c r="N872" s="128">
        <f t="shared" si="13"/>
        <v>1</v>
      </c>
      <c r="O872" s="130" t="s">
        <v>860</v>
      </c>
      <c r="P872" s="130" t="s">
        <v>860</v>
      </c>
      <c r="Q872" s="130" t="s">
        <v>160</v>
      </c>
      <c r="R872" s="128">
        <v>0</v>
      </c>
      <c r="S872" s="130" t="s">
        <v>2220</v>
      </c>
    </row>
    <row r="873" spans="1:19" x14ac:dyDescent="0.25">
      <c r="A873" s="130" t="s">
        <v>2239</v>
      </c>
      <c r="B873" s="130" t="s">
        <v>2240</v>
      </c>
      <c r="C873" s="130" t="s">
        <v>134</v>
      </c>
      <c r="D873" s="130" t="s">
        <v>134</v>
      </c>
      <c r="E873" s="130" t="s">
        <v>2241</v>
      </c>
      <c r="F873" s="130" t="s">
        <v>2242</v>
      </c>
      <c r="G873" s="130" t="s">
        <v>137</v>
      </c>
      <c r="I873" s="130" t="s">
        <v>1703</v>
      </c>
      <c r="J873" s="130" t="s">
        <v>159</v>
      </c>
      <c r="K873" s="130" t="s">
        <v>2241</v>
      </c>
      <c r="L873" s="130" t="s">
        <v>543</v>
      </c>
      <c r="M873" s="128">
        <v>8</v>
      </c>
      <c r="N873" s="128">
        <f t="shared" si="13"/>
        <v>0</v>
      </c>
      <c r="O873" s="130" t="s">
        <v>134</v>
      </c>
      <c r="P873" s="130" t="s">
        <v>134</v>
      </c>
      <c r="Q873" s="130" t="s">
        <v>543</v>
      </c>
      <c r="R873" s="128">
        <v>8</v>
      </c>
      <c r="S873" s="130" t="s">
        <v>2243</v>
      </c>
    </row>
    <row r="874" spans="1:19" x14ac:dyDescent="0.25">
      <c r="A874" s="130" t="s">
        <v>2244</v>
      </c>
      <c r="B874" s="130" t="s">
        <v>2245</v>
      </c>
      <c r="C874" s="130" t="s">
        <v>1020</v>
      </c>
      <c r="D874" s="130" t="s">
        <v>1020</v>
      </c>
      <c r="E874" s="130" t="s">
        <v>2241</v>
      </c>
      <c r="F874" s="130" t="s">
        <v>2242</v>
      </c>
      <c r="G874" s="130" t="s">
        <v>159</v>
      </c>
      <c r="I874" s="130" t="s">
        <v>1703</v>
      </c>
      <c r="J874" s="130" t="s">
        <v>159</v>
      </c>
      <c r="K874" s="130" t="s">
        <v>2241</v>
      </c>
      <c r="L874" s="130" t="s">
        <v>543</v>
      </c>
      <c r="M874" s="128">
        <v>0</v>
      </c>
      <c r="N874" s="128">
        <f t="shared" si="13"/>
        <v>-8</v>
      </c>
      <c r="O874" s="130" t="s">
        <v>1020</v>
      </c>
      <c r="P874" s="130" t="s">
        <v>1020</v>
      </c>
      <c r="Q874" s="130" t="s">
        <v>543</v>
      </c>
      <c r="R874" s="128">
        <v>0</v>
      </c>
      <c r="S874" s="130" t="s">
        <v>2243</v>
      </c>
    </row>
    <row r="875" spans="1:19" x14ac:dyDescent="0.25">
      <c r="A875" s="130" t="s">
        <v>2246</v>
      </c>
      <c r="B875" s="130" t="s">
        <v>2247</v>
      </c>
      <c r="C875" s="130" t="s">
        <v>134</v>
      </c>
      <c r="D875" s="130" t="s">
        <v>134</v>
      </c>
      <c r="E875" s="130" t="s">
        <v>2246</v>
      </c>
      <c r="F875" s="130" t="s">
        <v>2247</v>
      </c>
      <c r="G875" s="130" t="s">
        <v>159</v>
      </c>
      <c r="I875" s="130" t="s">
        <v>1703</v>
      </c>
      <c r="J875" s="130" t="s">
        <v>159</v>
      </c>
      <c r="K875" s="130" t="s">
        <v>2246</v>
      </c>
      <c r="L875" s="130" t="s">
        <v>543</v>
      </c>
      <c r="M875" s="128">
        <v>8</v>
      </c>
      <c r="N875" s="128">
        <f t="shared" si="13"/>
        <v>0</v>
      </c>
      <c r="O875" s="130" t="s">
        <v>134</v>
      </c>
      <c r="P875" s="130" t="s">
        <v>134</v>
      </c>
      <c r="Q875" s="130" t="s">
        <v>543</v>
      </c>
      <c r="R875" s="128">
        <v>8</v>
      </c>
      <c r="S875" s="130" t="s">
        <v>2243</v>
      </c>
    </row>
    <row r="876" spans="1:19" x14ac:dyDescent="0.25">
      <c r="A876" s="130" t="s">
        <v>2248</v>
      </c>
      <c r="B876" s="130" t="s">
        <v>2249</v>
      </c>
      <c r="C876" s="130" t="s">
        <v>134</v>
      </c>
      <c r="D876" s="130" t="s">
        <v>134</v>
      </c>
      <c r="E876" s="130" t="s">
        <v>2248</v>
      </c>
      <c r="F876" s="130" t="s">
        <v>2249</v>
      </c>
      <c r="G876" s="130" t="s">
        <v>159</v>
      </c>
      <c r="I876" s="130" t="s">
        <v>1703</v>
      </c>
      <c r="J876" s="130" t="s">
        <v>159</v>
      </c>
      <c r="K876" s="130" t="s">
        <v>2248</v>
      </c>
      <c r="L876" s="130" t="s">
        <v>543</v>
      </c>
      <c r="M876" s="128">
        <v>8</v>
      </c>
      <c r="N876" s="128">
        <f t="shared" si="13"/>
        <v>0</v>
      </c>
      <c r="O876" s="130" t="s">
        <v>134</v>
      </c>
      <c r="P876" s="130" t="s">
        <v>134</v>
      </c>
      <c r="Q876" s="130" t="s">
        <v>543</v>
      </c>
      <c r="R876" s="128">
        <v>8</v>
      </c>
      <c r="S876" s="130" t="s">
        <v>2243</v>
      </c>
    </row>
    <row r="877" spans="1:19" x14ac:dyDescent="0.25">
      <c r="A877" s="130" t="s">
        <v>2250</v>
      </c>
      <c r="B877" s="130" t="s">
        <v>2251</v>
      </c>
      <c r="C877" s="130" t="s">
        <v>134</v>
      </c>
      <c r="D877" s="130" t="s">
        <v>134</v>
      </c>
      <c r="E877" s="130" t="s">
        <v>2250</v>
      </c>
      <c r="F877" s="130" t="s">
        <v>2251</v>
      </c>
      <c r="G877" s="130" t="s">
        <v>159</v>
      </c>
      <c r="I877" s="130" t="s">
        <v>1703</v>
      </c>
      <c r="J877" s="130" t="s">
        <v>159</v>
      </c>
      <c r="K877" s="130" t="s">
        <v>2250</v>
      </c>
      <c r="L877" s="130" t="s">
        <v>543</v>
      </c>
      <c r="M877" s="128">
        <v>8</v>
      </c>
      <c r="N877" s="128">
        <f t="shared" si="13"/>
        <v>0</v>
      </c>
      <c r="O877" s="130" t="s">
        <v>134</v>
      </c>
      <c r="P877" s="130" t="s">
        <v>134</v>
      </c>
      <c r="Q877" s="130" t="s">
        <v>543</v>
      </c>
      <c r="R877" s="128">
        <v>8</v>
      </c>
      <c r="S877" s="130" t="s">
        <v>2243</v>
      </c>
    </row>
    <row r="878" spans="1:19" x14ac:dyDescent="0.25">
      <c r="A878" s="130" t="s">
        <v>2252</v>
      </c>
      <c r="B878" s="130" t="s">
        <v>2253</v>
      </c>
      <c r="C878" s="130" t="s">
        <v>134</v>
      </c>
      <c r="D878" s="130" t="s">
        <v>134</v>
      </c>
      <c r="E878" s="130" t="s">
        <v>2252</v>
      </c>
      <c r="F878" s="130" t="s">
        <v>2253</v>
      </c>
      <c r="G878" s="130" t="s">
        <v>159</v>
      </c>
      <c r="I878" s="130" t="s">
        <v>1703</v>
      </c>
      <c r="J878" s="130" t="s">
        <v>159</v>
      </c>
      <c r="K878" s="130" t="s">
        <v>2252</v>
      </c>
      <c r="L878" s="130" t="s">
        <v>543</v>
      </c>
      <c r="M878" s="128">
        <v>8</v>
      </c>
      <c r="N878" s="128">
        <f t="shared" si="13"/>
        <v>0</v>
      </c>
      <c r="O878" s="130" t="s">
        <v>134</v>
      </c>
      <c r="P878" s="130" t="s">
        <v>134</v>
      </c>
      <c r="Q878" s="130" t="s">
        <v>543</v>
      </c>
      <c r="R878" s="128">
        <v>8</v>
      </c>
      <c r="S878" s="130" t="s">
        <v>2243</v>
      </c>
    </row>
    <row r="879" spans="1:19" x14ac:dyDescent="0.25">
      <c r="A879" s="130" t="s">
        <v>2254</v>
      </c>
      <c r="B879" s="130" t="s">
        <v>2255</v>
      </c>
      <c r="C879" s="130" t="s">
        <v>134</v>
      </c>
      <c r="D879" s="130" t="s">
        <v>134</v>
      </c>
      <c r="E879" s="130" t="s">
        <v>2254</v>
      </c>
      <c r="F879" s="130" t="s">
        <v>2255</v>
      </c>
      <c r="G879" s="130" t="s">
        <v>159</v>
      </c>
      <c r="I879" s="130" t="s">
        <v>1703</v>
      </c>
      <c r="J879" s="130" t="s">
        <v>159</v>
      </c>
      <c r="K879" s="130" t="s">
        <v>2254</v>
      </c>
      <c r="L879" s="130" t="s">
        <v>543</v>
      </c>
      <c r="M879" s="128">
        <v>8</v>
      </c>
      <c r="N879" s="128">
        <f t="shared" si="13"/>
        <v>0</v>
      </c>
      <c r="O879" s="130" t="s">
        <v>134</v>
      </c>
      <c r="P879" s="130" t="s">
        <v>134</v>
      </c>
      <c r="Q879" s="130" t="s">
        <v>543</v>
      </c>
      <c r="R879" s="128">
        <v>8</v>
      </c>
      <c r="S879" s="130" t="s">
        <v>2243</v>
      </c>
    </row>
    <row r="880" spans="1:19" x14ac:dyDescent="0.25">
      <c r="A880" s="130" t="s">
        <v>2256</v>
      </c>
      <c r="B880" s="130" t="s">
        <v>2257</v>
      </c>
      <c r="C880" s="130" t="s">
        <v>134</v>
      </c>
      <c r="D880" s="130" t="s">
        <v>134</v>
      </c>
      <c r="E880" s="130" t="s">
        <v>2256</v>
      </c>
      <c r="F880" s="130" t="s">
        <v>2257</v>
      </c>
      <c r="G880" s="130" t="s">
        <v>159</v>
      </c>
      <c r="I880" s="130" t="s">
        <v>1703</v>
      </c>
      <c r="J880" s="130" t="s">
        <v>159</v>
      </c>
      <c r="K880" s="130" t="s">
        <v>2256</v>
      </c>
      <c r="L880" s="130" t="s">
        <v>543</v>
      </c>
      <c r="M880" s="128">
        <v>8</v>
      </c>
      <c r="N880" s="128">
        <f t="shared" si="13"/>
        <v>0</v>
      </c>
      <c r="O880" s="130" t="s">
        <v>134</v>
      </c>
      <c r="P880" s="130" t="s">
        <v>134</v>
      </c>
      <c r="Q880" s="130" t="s">
        <v>543</v>
      </c>
      <c r="R880" s="128">
        <v>8</v>
      </c>
      <c r="S880" s="130" t="s">
        <v>2243</v>
      </c>
    </row>
    <row r="881" spans="1:19" x14ac:dyDescent="0.25">
      <c r="A881" s="130" t="s">
        <v>2258</v>
      </c>
      <c r="B881" s="130" t="s">
        <v>2259</v>
      </c>
      <c r="C881" s="130" t="s">
        <v>134</v>
      </c>
      <c r="D881" s="130" t="s">
        <v>134</v>
      </c>
      <c r="E881" s="130" t="s">
        <v>2258</v>
      </c>
      <c r="F881" s="130" t="s">
        <v>2259</v>
      </c>
      <c r="G881" s="130" t="s">
        <v>159</v>
      </c>
      <c r="I881" s="130" t="s">
        <v>1703</v>
      </c>
      <c r="J881" s="130" t="s">
        <v>159</v>
      </c>
      <c r="K881" s="130" t="s">
        <v>2258</v>
      </c>
      <c r="L881" s="130" t="s">
        <v>543</v>
      </c>
      <c r="M881" s="128">
        <v>8</v>
      </c>
      <c r="N881" s="128">
        <f t="shared" si="13"/>
        <v>0</v>
      </c>
      <c r="O881" s="130" t="s">
        <v>134</v>
      </c>
      <c r="P881" s="130" t="s">
        <v>134</v>
      </c>
      <c r="Q881" s="130" t="s">
        <v>543</v>
      </c>
      <c r="R881" s="128">
        <v>8</v>
      </c>
      <c r="S881" s="130" t="s">
        <v>2243</v>
      </c>
    </row>
    <row r="882" spans="1:19" x14ac:dyDescent="0.25">
      <c r="A882" s="130" t="s">
        <v>2260</v>
      </c>
      <c r="B882" s="130" t="s">
        <v>2261</v>
      </c>
      <c r="C882" s="130" t="s">
        <v>134</v>
      </c>
      <c r="D882" s="130" t="s">
        <v>134</v>
      </c>
      <c r="E882" s="130" t="s">
        <v>2260</v>
      </c>
      <c r="F882" s="130" t="s">
        <v>2261</v>
      </c>
      <c r="G882" s="130" t="s">
        <v>159</v>
      </c>
      <c r="I882" s="130" t="s">
        <v>1703</v>
      </c>
      <c r="J882" s="130" t="s">
        <v>159</v>
      </c>
      <c r="K882" s="130" t="s">
        <v>2260</v>
      </c>
      <c r="L882" s="130" t="s">
        <v>543</v>
      </c>
      <c r="M882" s="128">
        <v>8</v>
      </c>
      <c r="N882" s="128">
        <f t="shared" si="13"/>
        <v>0</v>
      </c>
      <c r="O882" s="130" t="s">
        <v>134</v>
      </c>
      <c r="P882" s="130" t="s">
        <v>134</v>
      </c>
      <c r="Q882" s="130" t="s">
        <v>543</v>
      </c>
      <c r="R882" s="128">
        <v>8</v>
      </c>
      <c r="S882" s="130" t="s">
        <v>2243</v>
      </c>
    </row>
    <row r="883" spans="1:19" x14ac:dyDescent="0.25">
      <c r="A883" s="130" t="s">
        <v>2262</v>
      </c>
      <c r="B883" s="130" t="s">
        <v>2263</v>
      </c>
      <c r="C883" s="130" t="s">
        <v>134</v>
      </c>
      <c r="D883" s="130" t="s">
        <v>134</v>
      </c>
      <c r="E883" s="130" t="s">
        <v>2262</v>
      </c>
      <c r="F883" s="130" t="s">
        <v>2263</v>
      </c>
      <c r="G883" s="130" t="s">
        <v>159</v>
      </c>
      <c r="I883" s="130" t="s">
        <v>1703</v>
      </c>
      <c r="J883" s="130" t="s">
        <v>159</v>
      </c>
      <c r="K883" s="130" t="s">
        <v>2262</v>
      </c>
      <c r="L883" s="130" t="s">
        <v>543</v>
      </c>
      <c r="M883" s="128">
        <v>8</v>
      </c>
      <c r="N883" s="128">
        <f t="shared" si="13"/>
        <v>0</v>
      </c>
      <c r="O883" s="130" t="s">
        <v>134</v>
      </c>
      <c r="P883" s="130" t="s">
        <v>134</v>
      </c>
      <c r="Q883" s="130" t="s">
        <v>543</v>
      </c>
      <c r="R883" s="128">
        <v>8</v>
      </c>
      <c r="S883" s="130" t="s">
        <v>2243</v>
      </c>
    </row>
    <row r="884" spans="1:19" x14ac:dyDescent="0.25">
      <c r="A884" s="130" t="s">
        <v>2264</v>
      </c>
      <c r="B884" s="130" t="s">
        <v>2265</v>
      </c>
      <c r="C884" s="130" t="s">
        <v>134</v>
      </c>
      <c r="D884" s="130" t="s">
        <v>134</v>
      </c>
      <c r="E884" s="130" t="s">
        <v>2264</v>
      </c>
      <c r="F884" s="130" t="s">
        <v>2265</v>
      </c>
      <c r="G884" s="130" t="s">
        <v>159</v>
      </c>
      <c r="I884" s="130" t="s">
        <v>1703</v>
      </c>
      <c r="J884" s="130" t="s">
        <v>159</v>
      </c>
      <c r="K884" s="130" t="s">
        <v>2264</v>
      </c>
      <c r="L884" s="130" t="s">
        <v>543</v>
      </c>
      <c r="M884" s="128">
        <v>8</v>
      </c>
      <c r="N884" s="128">
        <f t="shared" si="13"/>
        <v>0</v>
      </c>
      <c r="O884" s="130" t="s">
        <v>134</v>
      </c>
      <c r="P884" s="130" t="s">
        <v>134</v>
      </c>
      <c r="Q884" s="130" t="s">
        <v>543</v>
      </c>
      <c r="R884" s="128">
        <v>8</v>
      </c>
      <c r="S884" s="130" t="s">
        <v>2243</v>
      </c>
    </row>
    <row r="885" spans="1:19" x14ac:dyDescent="0.25">
      <c r="A885" s="130" t="s">
        <v>2266</v>
      </c>
      <c r="B885" s="130" t="s">
        <v>2267</v>
      </c>
      <c r="C885" s="130" t="s">
        <v>134</v>
      </c>
      <c r="D885" s="130" t="s">
        <v>134</v>
      </c>
      <c r="E885" s="130" t="s">
        <v>2268</v>
      </c>
      <c r="F885" s="130" t="s">
        <v>2269</v>
      </c>
      <c r="G885" s="130" t="s">
        <v>137</v>
      </c>
      <c r="I885" s="130" t="s">
        <v>416</v>
      </c>
      <c r="J885" s="130" t="s">
        <v>159</v>
      </c>
      <c r="K885" s="130" t="s">
        <v>2268</v>
      </c>
      <c r="L885" s="130" t="s">
        <v>139</v>
      </c>
      <c r="M885" s="128">
        <v>8</v>
      </c>
      <c r="N885" s="128">
        <f t="shared" si="13"/>
        <v>-2</v>
      </c>
      <c r="O885" s="130" t="s">
        <v>159</v>
      </c>
      <c r="P885" s="130" t="s">
        <v>159</v>
      </c>
      <c r="Q885" s="130" t="s">
        <v>160</v>
      </c>
      <c r="R885" s="128">
        <v>0</v>
      </c>
      <c r="S885" s="130" t="s">
        <v>752</v>
      </c>
    </row>
    <row r="886" spans="1:19" x14ac:dyDescent="0.25">
      <c r="A886" s="130" t="s">
        <v>2270</v>
      </c>
      <c r="B886" s="130" t="s">
        <v>2271</v>
      </c>
      <c r="C886" s="130" t="s">
        <v>159</v>
      </c>
      <c r="D886" s="130" t="s">
        <v>159</v>
      </c>
      <c r="E886" s="130" t="s">
        <v>2268</v>
      </c>
      <c r="F886" s="130" t="s">
        <v>2269</v>
      </c>
      <c r="G886" s="130" t="s">
        <v>137</v>
      </c>
      <c r="I886" s="130" t="s">
        <v>416</v>
      </c>
      <c r="J886" s="130" t="s">
        <v>159</v>
      </c>
      <c r="K886" s="130" t="s">
        <v>2268</v>
      </c>
      <c r="L886" s="130" t="s">
        <v>139</v>
      </c>
      <c r="M886" s="128">
        <v>8</v>
      </c>
      <c r="N886" s="128">
        <f t="shared" si="13"/>
        <v>-2</v>
      </c>
      <c r="O886" s="130" t="s">
        <v>159</v>
      </c>
      <c r="P886" s="130" t="s">
        <v>159</v>
      </c>
      <c r="Q886" s="130" t="s">
        <v>160</v>
      </c>
      <c r="R886" s="128">
        <v>0</v>
      </c>
      <c r="S886" s="130" t="s">
        <v>752</v>
      </c>
    </row>
    <row r="887" spans="1:19" x14ac:dyDescent="0.25">
      <c r="A887" s="130" t="s">
        <v>2272</v>
      </c>
      <c r="B887" s="130" t="s">
        <v>2273</v>
      </c>
      <c r="C887" s="130" t="s">
        <v>134</v>
      </c>
      <c r="D887" s="130" t="s">
        <v>134</v>
      </c>
      <c r="E887" s="130" t="s">
        <v>2272</v>
      </c>
      <c r="F887" s="130" t="s">
        <v>2273</v>
      </c>
      <c r="G887" s="130" t="s">
        <v>137</v>
      </c>
      <c r="I887" s="130" t="s">
        <v>416</v>
      </c>
      <c r="J887" s="130" t="s">
        <v>159</v>
      </c>
      <c r="K887" s="130" t="s">
        <v>2272</v>
      </c>
      <c r="L887" s="130" t="s">
        <v>139</v>
      </c>
      <c r="M887" s="128">
        <v>8</v>
      </c>
      <c r="N887" s="128">
        <f t="shared" si="13"/>
        <v>-2</v>
      </c>
      <c r="O887" s="130" t="s">
        <v>159</v>
      </c>
      <c r="P887" s="130" t="s">
        <v>159</v>
      </c>
      <c r="Q887" s="130" t="s">
        <v>160</v>
      </c>
      <c r="R887" s="128">
        <v>0</v>
      </c>
      <c r="S887" s="130" t="s">
        <v>752</v>
      </c>
    </row>
    <row r="888" spans="1:19" x14ac:dyDescent="0.25">
      <c r="A888" s="130" t="s">
        <v>2274</v>
      </c>
      <c r="B888" s="130" t="s">
        <v>2275</v>
      </c>
      <c r="C888" s="130" t="s">
        <v>159</v>
      </c>
      <c r="D888" s="130" t="s">
        <v>159</v>
      </c>
      <c r="E888" s="130" t="s">
        <v>2276</v>
      </c>
      <c r="F888" s="130" t="s">
        <v>2277</v>
      </c>
      <c r="G888" s="130" t="s">
        <v>137</v>
      </c>
      <c r="I888" s="130" t="s">
        <v>416</v>
      </c>
      <c r="J888" s="130" t="s">
        <v>159</v>
      </c>
      <c r="K888" s="130" t="s">
        <v>2276</v>
      </c>
      <c r="L888" s="130" t="s">
        <v>139</v>
      </c>
      <c r="M888" s="128">
        <v>8</v>
      </c>
      <c r="N888" s="128">
        <f t="shared" si="13"/>
        <v>-2</v>
      </c>
      <c r="O888" s="130" t="s">
        <v>159</v>
      </c>
      <c r="P888" s="130" t="s">
        <v>159</v>
      </c>
      <c r="Q888" s="130" t="s">
        <v>160</v>
      </c>
      <c r="R888" s="128">
        <v>0</v>
      </c>
      <c r="S888" s="130" t="s">
        <v>752</v>
      </c>
    </row>
    <row r="889" spans="1:19" x14ac:dyDescent="0.25">
      <c r="A889" s="130" t="s">
        <v>2278</v>
      </c>
      <c r="B889" s="130" t="s">
        <v>2279</v>
      </c>
      <c r="C889" s="130" t="s">
        <v>159</v>
      </c>
      <c r="D889" s="130" t="s">
        <v>159</v>
      </c>
      <c r="E889" s="130" t="s">
        <v>2276</v>
      </c>
      <c r="F889" s="130" t="s">
        <v>2277</v>
      </c>
      <c r="G889" s="130" t="s">
        <v>137</v>
      </c>
      <c r="I889" s="130" t="s">
        <v>416</v>
      </c>
      <c r="J889" s="130" t="s">
        <v>159</v>
      </c>
      <c r="K889" s="130" t="s">
        <v>2276</v>
      </c>
      <c r="L889" s="130" t="s">
        <v>139</v>
      </c>
      <c r="M889" s="128">
        <v>8</v>
      </c>
      <c r="N889" s="128">
        <f t="shared" si="13"/>
        <v>-2</v>
      </c>
      <c r="O889" s="130" t="s">
        <v>159</v>
      </c>
      <c r="P889" s="130" t="s">
        <v>159</v>
      </c>
      <c r="Q889" s="130" t="s">
        <v>160</v>
      </c>
      <c r="R889" s="128">
        <v>0</v>
      </c>
      <c r="S889" s="130" t="s">
        <v>752</v>
      </c>
    </row>
    <row r="890" spans="1:19" x14ac:dyDescent="0.25">
      <c r="A890" s="130" t="s">
        <v>2280</v>
      </c>
      <c r="B890" s="130" t="s">
        <v>2281</v>
      </c>
      <c r="C890" s="130" t="s">
        <v>134</v>
      </c>
      <c r="D890" s="130" t="s">
        <v>134</v>
      </c>
      <c r="E890" s="130" t="s">
        <v>2282</v>
      </c>
      <c r="F890" s="130" t="s">
        <v>2283</v>
      </c>
      <c r="G890" s="130" t="s">
        <v>137</v>
      </c>
      <c r="I890" s="130" t="s">
        <v>416</v>
      </c>
      <c r="J890" s="130" t="s">
        <v>159</v>
      </c>
      <c r="K890" s="130" t="s">
        <v>2282</v>
      </c>
      <c r="L890" s="130" t="s">
        <v>139</v>
      </c>
      <c r="M890" s="128">
        <v>8</v>
      </c>
      <c r="N890" s="128">
        <f t="shared" si="13"/>
        <v>-2</v>
      </c>
      <c r="O890" s="130" t="s">
        <v>159</v>
      </c>
      <c r="P890" s="130" t="s">
        <v>159</v>
      </c>
      <c r="Q890" s="130" t="s">
        <v>160</v>
      </c>
      <c r="R890" s="128">
        <v>0</v>
      </c>
      <c r="S890" s="130" t="s">
        <v>752</v>
      </c>
    </row>
    <row r="891" spans="1:19" x14ac:dyDescent="0.25">
      <c r="A891" s="130" t="s">
        <v>2284</v>
      </c>
      <c r="B891" s="130" t="s">
        <v>2285</v>
      </c>
      <c r="C891" s="130" t="s">
        <v>159</v>
      </c>
      <c r="D891" s="130" t="s">
        <v>159</v>
      </c>
      <c r="E891" s="130" t="s">
        <v>2282</v>
      </c>
      <c r="F891" s="130" t="s">
        <v>2283</v>
      </c>
      <c r="G891" s="130" t="s">
        <v>137</v>
      </c>
      <c r="H891" s="130" t="s">
        <v>159</v>
      </c>
      <c r="I891" s="130" t="s">
        <v>416</v>
      </c>
      <c r="J891" s="130" t="s">
        <v>159</v>
      </c>
      <c r="K891" s="130" t="s">
        <v>2282</v>
      </c>
      <c r="L891" s="130" t="s">
        <v>139</v>
      </c>
      <c r="M891" s="128">
        <v>8</v>
      </c>
      <c r="N891" s="128">
        <f t="shared" si="13"/>
        <v>-2</v>
      </c>
      <c r="O891" s="130" t="s">
        <v>159</v>
      </c>
      <c r="P891" s="130" t="s">
        <v>159</v>
      </c>
      <c r="Q891" s="130" t="s">
        <v>160</v>
      </c>
      <c r="R891" s="128">
        <v>0</v>
      </c>
      <c r="S891" s="130" t="s">
        <v>752</v>
      </c>
    </row>
    <row r="892" spans="1:19" x14ac:dyDescent="0.25">
      <c r="A892" s="130" t="s">
        <v>2286</v>
      </c>
      <c r="B892" s="130" t="s">
        <v>2287</v>
      </c>
      <c r="C892" s="130" t="s">
        <v>134</v>
      </c>
      <c r="D892" s="130" t="s">
        <v>134</v>
      </c>
      <c r="E892" s="130" t="s">
        <v>2282</v>
      </c>
      <c r="F892" s="130" t="s">
        <v>2283</v>
      </c>
      <c r="G892" s="130" t="s">
        <v>137</v>
      </c>
      <c r="I892" s="130" t="s">
        <v>416</v>
      </c>
      <c r="J892" s="130" t="s">
        <v>159</v>
      </c>
      <c r="K892" s="130" t="s">
        <v>2282</v>
      </c>
      <c r="L892" s="130" t="s">
        <v>139</v>
      </c>
      <c r="M892" s="128">
        <v>8</v>
      </c>
      <c r="N892" s="128">
        <f t="shared" si="13"/>
        <v>-2</v>
      </c>
      <c r="O892" s="130" t="s">
        <v>159</v>
      </c>
      <c r="P892" s="130" t="s">
        <v>159</v>
      </c>
      <c r="Q892" s="130" t="s">
        <v>160</v>
      </c>
      <c r="R892" s="128">
        <v>0</v>
      </c>
      <c r="S892" s="130" t="s">
        <v>752</v>
      </c>
    </row>
    <row r="893" spans="1:19" x14ac:dyDescent="0.25">
      <c r="A893" s="130" t="s">
        <v>2288</v>
      </c>
      <c r="B893" s="130" t="s">
        <v>2289</v>
      </c>
      <c r="C893" s="130" t="s">
        <v>134</v>
      </c>
      <c r="D893" s="130" t="s">
        <v>134</v>
      </c>
      <c r="E893" s="130" t="s">
        <v>2282</v>
      </c>
      <c r="F893" s="130" t="s">
        <v>2283</v>
      </c>
      <c r="G893" s="130" t="s">
        <v>137</v>
      </c>
      <c r="I893" s="130" t="s">
        <v>416</v>
      </c>
      <c r="J893" s="130" t="s">
        <v>159</v>
      </c>
      <c r="K893" s="130" t="s">
        <v>2282</v>
      </c>
      <c r="L893" s="130" t="s">
        <v>139</v>
      </c>
      <c r="M893" s="128">
        <v>8</v>
      </c>
      <c r="N893" s="128">
        <f t="shared" si="13"/>
        <v>-2</v>
      </c>
      <c r="O893" s="130" t="s">
        <v>159</v>
      </c>
      <c r="P893" s="130" t="s">
        <v>159</v>
      </c>
      <c r="Q893" s="130" t="s">
        <v>160</v>
      </c>
      <c r="R893" s="128">
        <v>0</v>
      </c>
      <c r="S893" s="130" t="s">
        <v>752</v>
      </c>
    </row>
    <row r="894" spans="1:19" x14ac:dyDescent="0.25">
      <c r="A894" s="130" t="s">
        <v>2290</v>
      </c>
      <c r="B894" s="130" t="s">
        <v>2291</v>
      </c>
      <c r="C894" s="130" t="s">
        <v>134</v>
      </c>
      <c r="D894" s="130" t="s">
        <v>134</v>
      </c>
      <c r="E894" s="130" t="s">
        <v>2282</v>
      </c>
      <c r="F894" s="130" t="s">
        <v>2283</v>
      </c>
      <c r="G894" s="130" t="s">
        <v>137</v>
      </c>
      <c r="I894" s="130" t="s">
        <v>416</v>
      </c>
      <c r="J894" s="130" t="s">
        <v>159</v>
      </c>
      <c r="K894" s="130" t="s">
        <v>2282</v>
      </c>
      <c r="L894" s="130" t="s">
        <v>139</v>
      </c>
      <c r="M894" s="128">
        <v>8</v>
      </c>
      <c r="N894" s="128">
        <f t="shared" si="13"/>
        <v>-2</v>
      </c>
      <c r="O894" s="130" t="s">
        <v>159</v>
      </c>
      <c r="P894" s="130" t="s">
        <v>159</v>
      </c>
      <c r="Q894" s="130" t="s">
        <v>160</v>
      </c>
      <c r="R894" s="128">
        <v>0</v>
      </c>
      <c r="S894" s="130" t="s">
        <v>752</v>
      </c>
    </row>
    <row r="895" spans="1:19" x14ac:dyDescent="0.25">
      <c r="A895" s="130" t="s">
        <v>2292</v>
      </c>
      <c r="B895" s="130" t="s">
        <v>2293</v>
      </c>
      <c r="C895" s="130" t="s">
        <v>134</v>
      </c>
      <c r="D895" s="130" t="s">
        <v>134</v>
      </c>
      <c r="E895" s="130" t="s">
        <v>2282</v>
      </c>
      <c r="F895" s="130" t="s">
        <v>2283</v>
      </c>
      <c r="G895" s="130" t="s">
        <v>137</v>
      </c>
      <c r="I895" s="130" t="s">
        <v>416</v>
      </c>
      <c r="J895" s="130" t="s">
        <v>159</v>
      </c>
      <c r="K895" s="130" t="s">
        <v>2282</v>
      </c>
      <c r="L895" s="130" t="s">
        <v>139</v>
      </c>
      <c r="M895" s="128">
        <v>8</v>
      </c>
      <c r="N895" s="128">
        <f t="shared" si="13"/>
        <v>-2</v>
      </c>
      <c r="O895" s="130" t="s">
        <v>159</v>
      </c>
      <c r="P895" s="130" t="s">
        <v>159</v>
      </c>
      <c r="Q895" s="130" t="s">
        <v>160</v>
      </c>
      <c r="R895" s="128">
        <v>0</v>
      </c>
      <c r="S895" s="130" t="s">
        <v>752</v>
      </c>
    </row>
    <row r="896" spans="1:19" x14ac:dyDescent="0.25">
      <c r="A896" s="130" t="s">
        <v>2294</v>
      </c>
      <c r="B896" s="130" t="s">
        <v>2295</v>
      </c>
      <c r="C896" s="130" t="s">
        <v>134</v>
      </c>
      <c r="D896" s="130" t="s">
        <v>134</v>
      </c>
      <c r="E896" s="130" t="s">
        <v>2282</v>
      </c>
      <c r="F896" s="130" t="s">
        <v>2283</v>
      </c>
      <c r="G896" s="130" t="s">
        <v>137</v>
      </c>
      <c r="I896" s="130" t="s">
        <v>416</v>
      </c>
      <c r="J896" s="130" t="s">
        <v>159</v>
      </c>
      <c r="K896" s="130" t="s">
        <v>2282</v>
      </c>
      <c r="L896" s="130" t="s">
        <v>139</v>
      </c>
      <c r="M896" s="128">
        <v>8</v>
      </c>
      <c r="N896" s="128">
        <f t="shared" si="13"/>
        <v>-2</v>
      </c>
      <c r="O896" s="130" t="s">
        <v>159</v>
      </c>
      <c r="P896" s="130" t="s">
        <v>159</v>
      </c>
      <c r="Q896" s="130" t="s">
        <v>160</v>
      </c>
      <c r="R896" s="128">
        <v>0</v>
      </c>
      <c r="S896" s="130" t="s">
        <v>752</v>
      </c>
    </row>
    <row r="897" spans="1:19" x14ac:dyDescent="0.25">
      <c r="A897" s="130" t="s">
        <v>2296</v>
      </c>
      <c r="B897" s="130" t="s">
        <v>2297</v>
      </c>
      <c r="C897" s="130" t="s">
        <v>134</v>
      </c>
      <c r="D897" s="130" t="s">
        <v>134</v>
      </c>
      <c r="E897" s="130" t="s">
        <v>2282</v>
      </c>
      <c r="F897" s="130" t="s">
        <v>2283</v>
      </c>
      <c r="G897" s="130" t="s">
        <v>137</v>
      </c>
      <c r="I897" s="130" t="s">
        <v>416</v>
      </c>
      <c r="J897" s="130" t="s">
        <v>159</v>
      </c>
      <c r="K897" s="130" t="s">
        <v>2282</v>
      </c>
      <c r="L897" s="130" t="s">
        <v>139</v>
      </c>
      <c r="M897" s="128">
        <v>8</v>
      </c>
      <c r="N897" s="128">
        <f t="shared" si="13"/>
        <v>-2</v>
      </c>
      <c r="O897" s="130" t="s">
        <v>159</v>
      </c>
      <c r="P897" s="130" t="s">
        <v>159</v>
      </c>
      <c r="Q897" s="130" t="s">
        <v>160</v>
      </c>
      <c r="R897" s="128">
        <v>0</v>
      </c>
      <c r="S897" s="130" t="s">
        <v>752</v>
      </c>
    </row>
    <row r="898" spans="1:19" x14ac:dyDescent="0.25">
      <c r="A898" s="130" t="s">
        <v>2298</v>
      </c>
      <c r="B898" s="130" t="s">
        <v>2299</v>
      </c>
      <c r="C898" s="130" t="s">
        <v>134</v>
      </c>
      <c r="D898" s="130" t="s">
        <v>134</v>
      </c>
      <c r="E898" s="130" t="s">
        <v>2298</v>
      </c>
      <c r="F898" s="130" t="s">
        <v>2299</v>
      </c>
      <c r="G898" s="130" t="s">
        <v>137</v>
      </c>
      <c r="I898" s="130" t="s">
        <v>416</v>
      </c>
      <c r="J898" s="130" t="s">
        <v>159</v>
      </c>
      <c r="K898" s="130" t="s">
        <v>2298</v>
      </c>
      <c r="L898" s="130" t="s">
        <v>139</v>
      </c>
      <c r="M898" s="128">
        <v>8</v>
      </c>
      <c r="N898" s="128">
        <f t="shared" si="13"/>
        <v>-2</v>
      </c>
      <c r="O898" s="130" t="s">
        <v>134</v>
      </c>
      <c r="P898" s="130" t="s">
        <v>134</v>
      </c>
      <c r="Q898" s="130" t="s">
        <v>543</v>
      </c>
      <c r="R898" s="128">
        <v>8</v>
      </c>
      <c r="S898" s="130" t="s">
        <v>752</v>
      </c>
    </row>
    <row r="899" spans="1:19" x14ac:dyDescent="0.25">
      <c r="A899" s="130" t="s">
        <v>2300</v>
      </c>
      <c r="B899" s="130" t="s">
        <v>2301</v>
      </c>
      <c r="C899" s="130" t="s">
        <v>159</v>
      </c>
      <c r="D899" s="130" t="s">
        <v>159</v>
      </c>
      <c r="E899" s="130" t="s">
        <v>2302</v>
      </c>
      <c r="F899" s="130" t="s">
        <v>2303</v>
      </c>
      <c r="G899" s="130" t="s">
        <v>159</v>
      </c>
      <c r="I899" s="130" t="s">
        <v>1532</v>
      </c>
      <c r="J899" s="130" t="s">
        <v>159</v>
      </c>
      <c r="K899" s="130" t="s">
        <v>2302</v>
      </c>
      <c r="L899" s="130" t="s">
        <v>417</v>
      </c>
      <c r="M899" s="128">
        <v>8</v>
      </c>
      <c r="N899" s="128">
        <f t="shared" ref="N899:N962" si="14">M899-L899</f>
        <v>-4</v>
      </c>
      <c r="O899" s="130" t="s">
        <v>159</v>
      </c>
      <c r="P899" s="130" t="s">
        <v>159</v>
      </c>
      <c r="Q899" s="130" t="s">
        <v>160</v>
      </c>
      <c r="R899" s="128">
        <v>0</v>
      </c>
      <c r="S899" s="130" t="s">
        <v>2304</v>
      </c>
    </row>
    <row r="900" spans="1:19" x14ac:dyDescent="0.25">
      <c r="A900" s="130" t="s">
        <v>2305</v>
      </c>
      <c r="B900" s="130" t="s">
        <v>2306</v>
      </c>
      <c r="C900" s="130" t="s">
        <v>159</v>
      </c>
      <c r="D900" s="130" t="s">
        <v>159</v>
      </c>
      <c r="E900" s="130" t="s">
        <v>2302</v>
      </c>
      <c r="F900" s="130" t="s">
        <v>2303</v>
      </c>
      <c r="G900" s="130" t="s">
        <v>159</v>
      </c>
      <c r="I900" s="130" t="s">
        <v>1532</v>
      </c>
      <c r="J900" s="130" t="s">
        <v>159</v>
      </c>
      <c r="K900" s="130" t="s">
        <v>2302</v>
      </c>
      <c r="L900" s="130" t="s">
        <v>417</v>
      </c>
      <c r="M900" s="128">
        <v>8</v>
      </c>
      <c r="N900" s="128">
        <f t="shared" si="14"/>
        <v>-4</v>
      </c>
      <c r="O900" s="130" t="s">
        <v>159</v>
      </c>
      <c r="P900" s="130" t="s">
        <v>159</v>
      </c>
      <c r="Q900" s="130" t="s">
        <v>160</v>
      </c>
      <c r="R900" s="128">
        <v>0</v>
      </c>
      <c r="S900" s="130" t="s">
        <v>2304</v>
      </c>
    </row>
    <row r="901" spans="1:19" x14ac:dyDescent="0.25">
      <c r="A901" s="130" t="s">
        <v>2307</v>
      </c>
      <c r="B901" s="130" t="s">
        <v>2308</v>
      </c>
      <c r="C901" s="130" t="s">
        <v>159</v>
      </c>
      <c r="D901" s="130" t="s">
        <v>159</v>
      </c>
      <c r="E901" s="130" t="s">
        <v>2302</v>
      </c>
      <c r="F901" s="130" t="s">
        <v>2303</v>
      </c>
      <c r="G901" s="130" t="s">
        <v>159</v>
      </c>
      <c r="I901" s="130" t="s">
        <v>1532</v>
      </c>
      <c r="J901" s="130" t="s">
        <v>159</v>
      </c>
      <c r="K901" s="130" t="s">
        <v>2302</v>
      </c>
      <c r="L901" s="130" t="s">
        <v>417</v>
      </c>
      <c r="M901" s="128">
        <v>8</v>
      </c>
      <c r="N901" s="128">
        <f t="shared" si="14"/>
        <v>-4</v>
      </c>
      <c r="O901" s="130" t="s">
        <v>159</v>
      </c>
      <c r="P901" s="130" t="s">
        <v>159</v>
      </c>
      <c r="Q901" s="130" t="s">
        <v>160</v>
      </c>
      <c r="R901" s="128">
        <v>0</v>
      </c>
      <c r="S901" s="130" t="s">
        <v>2304</v>
      </c>
    </row>
    <row r="902" spans="1:19" x14ac:dyDescent="0.25">
      <c r="A902" s="130" t="s">
        <v>2309</v>
      </c>
      <c r="B902" s="130" t="s">
        <v>2310</v>
      </c>
      <c r="C902" s="130" t="s">
        <v>159</v>
      </c>
      <c r="D902" s="130" t="s">
        <v>159</v>
      </c>
      <c r="E902" s="130" t="s">
        <v>2302</v>
      </c>
      <c r="F902" s="130" t="s">
        <v>2303</v>
      </c>
      <c r="G902" s="130" t="s">
        <v>159</v>
      </c>
      <c r="I902" s="130" t="s">
        <v>1532</v>
      </c>
      <c r="J902" s="130" t="s">
        <v>159</v>
      </c>
      <c r="K902" s="130" t="s">
        <v>2302</v>
      </c>
      <c r="L902" s="130" t="s">
        <v>417</v>
      </c>
      <c r="M902" s="128">
        <v>8</v>
      </c>
      <c r="N902" s="128">
        <f t="shared" si="14"/>
        <v>-4</v>
      </c>
      <c r="O902" s="130" t="s">
        <v>159</v>
      </c>
      <c r="P902" s="130" t="s">
        <v>159</v>
      </c>
      <c r="Q902" s="130" t="s">
        <v>160</v>
      </c>
      <c r="R902" s="128">
        <v>0</v>
      </c>
      <c r="S902" s="130" t="s">
        <v>2304</v>
      </c>
    </row>
    <row r="903" spans="1:19" x14ac:dyDescent="0.25">
      <c r="A903" s="130" t="s">
        <v>2311</v>
      </c>
      <c r="B903" s="130" t="s">
        <v>2312</v>
      </c>
      <c r="C903" s="130" t="s">
        <v>159</v>
      </c>
      <c r="D903" s="130" t="s">
        <v>159</v>
      </c>
      <c r="E903" s="130" t="s">
        <v>2302</v>
      </c>
      <c r="F903" s="130" t="s">
        <v>2303</v>
      </c>
      <c r="G903" s="130" t="s">
        <v>159</v>
      </c>
      <c r="I903" s="130" t="s">
        <v>1532</v>
      </c>
      <c r="J903" s="130" t="s">
        <v>159</v>
      </c>
      <c r="K903" s="130" t="s">
        <v>2302</v>
      </c>
      <c r="L903" s="130" t="s">
        <v>417</v>
      </c>
      <c r="M903" s="128">
        <v>8</v>
      </c>
      <c r="N903" s="128">
        <f t="shared" si="14"/>
        <v>-4</v>
      </c>
      <c r="O903" s="130" t="s">
        <v>159</v>
      </c>
      <c r="P903" s="130" t="s">
        <v>159</v>
      </c>
      <c r="Q903" s="130" t="s">
        <v>160</v>
      </c>
      <c r="R903" s="128">
        <v>0</v>
      </c>
      <c r="S903" s="130" t="s">
        <v>2304</v>
      </c>
    </row>
    <row r="904" spans="1:19" x14ac:dyDescent="0.25">
      <c r="A904" s="130" t="s">
        <v>2313</v>
      </c>
      <c r="B904" s="130" t="s">
        <v>2314</v>
      </c>
      <c r="C904" s="130" t="s">
        <v>159</v>
      </c>
      <c r="D904" s="130" t="s">
        <v>159</v>
      </c>
      <c r="E904" s="130" t="s">
        <v>2302</v>
      </c>
      <c r="F904" s="130" t="s">
        <v>2303</v>
      </c>
      <c r="G904" s="130" t="s">
        <v>159</v>
      </c>
      <c r="I904" s="130" t="s">
        <v>1532</v>
      </c>
      <c r="J904" s="130" t="s">
        <v>159</v>
      </c>
      <c r="K904" s="130" t="s">
        <v>2302</v>
      </c>
      <c r="L904" s="130" t="s">
        <v>417</v>
      </c>
      <c r="M904" s="128">
        <v>8</v>
      </c>
      <c r="N904" s="128">
        <f t="shared" si="14"/>
        <v>-4</v>
      </c>
      <c r="O904" s="130" t="s">
        <v>159</v>
      </c>
      <c r="P904" s="130" t="s">
        <v>159</v>
      </c>
      <c r="Q904" s="130" t="s">
        <v>160</v>
      </c>
      <c r="R904" s="128">
        <v>0</v>
      </c>
      <c r="S904" s="130" t="s">
        <v>2304</v>
      </c>
    </row>
    <row r="905" spans="1:19" x14ac:dyDescent="0.25">
      <c r="A905" s="130" t="s">
        <v>2315</v>
      </c>
      <c r="B905" s="130" t="s">
        <v>2316</v>
      </c>
      <c r="C905" s="130" t="s">
        <v>159</v>
      </c>
      <c r="D905" s="130" t="s">
        <v>159</v>
      </c>
      <c r="E905" s="130" t="s">
        <v>2315</v>
      </c>
      <c r="F905" s="130" t="s">
        <v>2316</v>
      </c>
      <c r="G905" s="130" t="s">
        <v>159</v>
      </c>
      <c r="I905" s="130" t="s">
        <v>1532</v>
      </c>
      <c r="J905" s="130" t="s">
        <v>159</v>
      </c>
      <c r="K905" s="130" t="s">
        <v>2315</v>
      </c>
      <c r="L905" s="130" t="s">
        <v>417</v>
      </c>
      <c r="M905" s="128">
        <v>8</v>
      </c>
      <c r="N905" s="128">
        <f t="shared" si="14"/>
        <v>-4</v>
      </c>
      <c r="O905" s="130" t="s">
        <v>159</v>
      </c>
      <c r="P905" s="130" t="s">
        <v>159</v>
      </c>
      <c r="Q905" s="130" t="s">
        <v>160</v>
      </c>
      <c r="R905" s="128">
        <v>0</v>
      </c>
      <c r="S905" s="130" t="s">
        <v>2304</v>
      </c>
    </row>
    <row r="906" spans="1:19" x14ac:dyDescent="0.25">
      <c r="A906" s="130" t="s">
        <v>2317</v>
      </c>
      <c r="B906" s="130" t="s">
        <v>2318</v>
      </c>
      <c r="C906" s="130" t="s">
        <v>134</v>
      </c>
      <c r="D906" s="130" t="s">
        <v>134</v>
      </c>
      <c r="E906" s="130" t="s">
        <v>2319</v>
      </c>
      <c r="F906" s="130" t="s">
        <v>2320</v>
      </c>
      <c r="G906" s="130" t="s">
        <v>137</v>
      </c>
      <c r="I906" s="130" t="s">
        <v>2086</v>
      </c>
      <c r="J906" s="130" t="s">
        <v>159</v>
      </c>
      <c r="K906" s="130" t="s">
        <v>2319</v>
      </c>
      <c r="L906" s="130" t="s">
        <v>417</v>
      </c>
      <c r="M906" s="128">
        <v>0</v>
      </c>
      <c r="N906" s="128">
        <f t="shared" si="14"/>
        <v>-12</v>
      </c>
      <c r="O906" s="130" t="s">
        <v>134</v>
      </c>
      <c r="P906" s="130" t="s">
        <v>134</v>
      </c>
      <c r="Q906" s="130" t="s">
        <v>417</v>
      </c>
      <c r="R906" s="128">
        <v>0</v>
      </c>
      <c r="S906" s="130" t="s">
        <v>2321</v>
      </c>
    </row>
    <row r="907" spans="1:19" x14ac:dyDescent="0.25">
      <c r="A907" s="130" t="s">
        <v>2322</v>
      </c>
      <c r="B907" s="130" t="s">
        <v>2323</v>
      </c>
      <c r="C907" s="130" t="s">
        <v>159</v>
      </c>
      <c r="D907" s="130" t="s">
        <v>159</v>
      </c>
      <c r="E907" s="130" t="s">
        <v>2319</v>
      </c>
      <c r="F907" s="130" t="s">
        <v>2320</v>
      </c>
      <c r="G907" s="130" t="s">
        <v>137</v>
      </c>
      <c r="I907" s="130" t="s">
        <v>2086</v>
      </c>
      <c r="J907" s="130" t="s">
        <v>159</v>
      </c>
      <c r="K907" s="130" t="s">
        <v>2319</v>
      </c>
      <c r="L907" s="130" t="s">
        <v>160</v>
      </c>
      <c r="M907" s="128">
        <v>0</v>
      </c>
      <c r="N907" s="128">
        <f t="shared" si="14"/>
        <v>0</v>
      </c>
      <c r="O907" s="130" t="s">
        <v>159</v>
      </c>
      <c r="P907" s="130" t="s">
        <v>159</v>
      </c>
      <c r="Q907" s="130" t="s">
        <v>160</v>
      </c>
      <c r="R907" s="128">
        <v>0</v>
      </c>
      <c r="S907" s="130" t="s">
        <v>2321</v>
      </c>
    </row>
    <row r="908" spans="1:19" x14ac:dyDescent="0.25">
      <c r="A908" s="130" t="s">
        <v>2324</v>
      </c>
      <c r="B908" s="130" t="s">
        <v>2325</v>
      </c>
      <c r="C908" s="130" t="s">
        <v>159</v>
      </c>
      <c r="D908" s="130" t="s">
        <v>159</v>
      </c>
      <c r="E908" s="130" t="s">
        <v>2319</v>
      </c>
      <c r="F908" s="130" t="s">
        <v>2320</v>
      </c>
      <c r="G908" s="130" t="s">
        <v>137</v>
      </c>
      <c r="I908" s="130" t="s">
        <v>2086</v>
      </c>
      <c r="J908" s="130" t="s">
        <v>159</v>
      </c>
      <c r="K908" s="130" t="s">
        <v>2319</v>
      </c>
      <c r="L908" s="130" t="s">
        <v>160</v>
      </c>
      <c r="M908" s="128">
        <v>0</v>
      </c>
      <c r="N908" s="128">
        <f t="shared" si="14"/>
        <v>0</v>
      </c>
      <c r="O908" s="130" t="s">
        <v>159</v>
      </c>
      <c r="P908" s="130" t="s">
        <v>159</v>
      </c>
      <c r="Q908" s="130" t="s">
        <v>160</v>
      </c>
      <c r="R908" s="128">
        <v>0</v>
      </c>
      <c r="S908" s="130" t="s">
        <v>2321</v>
      </c>
    </row>
    <row r="909" spans="1:19" x14ac:dyDescent="0.25">
      <c r="A909" s="130" t="s">
        <v>2326</v>
      </c>
      <c r="B909" s="130" t="s">
        <v>2327</v>
      </c>
      <c r="C909" s="130" t="s">
        <v>159</v>
      </c>
      <c r="D909" s="130" t="s">
        <v>159</v>
      </c>
      <c r="E909" s="130" t="s">
        <v>2319</v>
      </c>
      <c r="F909" s="130" t="s">
        <v>2320</v>
      </c>
      <c r="G909" s="130" t="s">
        <v>137</v>
      </c>
      <c r="I909" s="130" t="s">
        <v>2086</v>
      </c>
      <c r="J909" s="130" t="s">
        <v>159</v>
      </c>
      <c r="K909" s="130" t="s">
        <v>2319</v>
      </c>
      <c r="L909" s="130" t="s">
        <v>160</v>
      </c>
      <c r="M909" s="128">
        <v>0</v>
      </c>
      <c r="N909" s="128">
        <f t="shared" si="14"/>
        <v>0</v>
      </c>
      <c r="O909" s="130" t="s">
        <v>159</v>
      </c>
      <c r="P909" s="130" t="s">
        <v>159</v>
      </c>
      <c r="Q909" s="130" t="s">
        <v>160</v>
      </c>
      <c r="R909" s="128">
        <v>0</v>
      </c>
      <c r="S909" s="130" t="s">
        <v>2321</v>
      </c>
    </row>
    <row r="910" spans="1:19" x14ac:dyDescent="0.25">
      <c r="A910" s="130" t="s">
        <v>2328</v>
      </c>
      <c r="B910" s="130" t="s">
        <v>2329</v>
      </c>
      <c r="C910" s="130" t="s">
        <v>159</v>
      </c>
      <c r="D910" s="130" t="s">
        <v>159</v>
      </c>
      <c r="E910" s="130" t="s">
        <v>2319</v>
      </c>
      <c r="F910" s="130" t="s">
        <v>2320</v>
      </c>
      <c r="G910" s="130" t="s">
        <v>137</v>
      </c>
      <c r="I910" s="130" t="s">
        <v>2086</v>
      </c>
      <c r="J910" s="130" t="s">
        <v>159</v>
      </c>
      <c r="K910" s="130" t="s">
        <v>2319</v>
      </c>
      <c r="L910" s="130" t="s">
        <v>160</v>
      </c>
      <c r="M910" s="128">
        <v>0</v>
      </c>
      <c r="N910" s="128">
        <f t="shared" si="14"/>
        <v>0</v>
      </c>
      <c r="O910" s="130" t="s">
        <v>159</v>
      </c>
      <c r="P910" s="130" t="s">
        <v>159</v>
      </c>
      <c r="Q910" s="130" t="s">
        <v>160</v>
      </c>
      <c r="R910" s="128">
        <v>0</v>
      </c>
      <c r="S910" s="130" t="s">
        <v>2321</v>
      </c>
    </row>
    <row r="911" spans="1:19" x14ac:dyDescent="0.25">
      <c r="A911" s="130" t="s">
        <v>2330</v>
      </c>
      <c r="B911" s="130" t="s">
        <v>2331</v>
      </c>
      <c r="C911" s="130" t="s">
        <v>159</v>
      </c>
      <c r="D911" s="130" t="s">
        <v>159</v>
      </c>
      <c r="E911" s="130" t="s">
        <v>2319</v>
      </c>
      <c r="F911" s="130" t="s">
        <v>2320</v>
      </c>
      <c r="G911" s="130" t="s">
        <v>137</v>
      </c>
      <c r="I911" s="130" t="s">
        <v>2086</v>
      </c>
      <c r="J911" s="130" t="s">
        <v>159</v>
      </c>
      <c r="K911" s="130" t="s">
        <v>2319</v>
      </c>
      <c r="L911" s="130" t="s">
        <v>160</v>
      </c>
      <c r="M911" s="128">
        <v>0</v>
      </c>
      <c r="N911" s="128">
        <f t="shared" si="14"/>
        <v>0</v>
      </c>
      <c r="O911" s="130" t="s">
        <v>159</v>
      </c>
      <c r="P911" s="130" t="s">
        <v>159</v>
      </c>
      <c r="Q911" s="130" t="s">
        <v>160</v>
      </c>
      <c r="R911" s="128">
        <v>0</v>
      </c>
      <c r="S911" s="130" t="s">
        <v>2321</v>
      </c>
    </row>
    <row r="912" spans="1:19" x14ac:dyDescent="0.25">
      <c r="A912" s="130" t="s">
        <v>2332</v>
      </c>
      <c r="B912" s="130" t="s">
        <v>2333</v>
      </c>
      <c r="C912" s="130" t="s">
        <v>159</v>
      </c>
      <c r="D912" s="130" t="s">
        <v>159</v>
      </c>
      <c r="E912" s="130" t="s">
        <v>2319</v>
      </c>
      <c r="F912" s="130" t="s">
        <v>2320</v>
      </c>
      <c r="G912" s="130" t="s">
        <v>137</v>
      </c>
      <c r="I912" s="130" t="s">
        <v>2086</v>
      </c>
      <c r="J912" s="130" t="s">
        <v>159</v>
      </c>
      <c r="K912" s="130" t="s">
        <v>2319</v>
      </c>
      <c r="L912" s="130" t="s">
        <v>160</v>
      </c>
      <c r="M912" s="128">
        <v>0</v>
      </c>
      <c r="N912" s="128">
        <f t="shared" si="14"/>
        <v>0</v>
      </c>
      <c r="O912" s="130" t="s">
        <v>159</v>
      </c>
      <c r="P912" s="130" t="s">
        <v>159</v>
      </c>
      <c r="Q912" s="130" t="s">
        <v>160</v>
      </c>
      <c r="R912" s="128">
        <v>0</v>
      </c>
      <c r="S912" s="130" t="s">
        <v>2321</v>
      </c>
    </row>
    <row r="913" spans="1:19" x14ac:dyDescent="0.25">
      <c r="A913" s="130" t="s">
        <v>2319</v>
      </c>
      <c r="B913" s="130" t="s">
        <v>2334</v>
      </c>
      <c r="C913" s="130" t="s">
        <v>159</v>
      </c>
      <c r="D913" s="130" t="s">
        <v>159</v>
      </c>
      <c r="E913" s="130" t="s">
        <v>2335</v>
      </c>
      <c r="F913" s="130" t="s">
        <v>2334</v>
      </c>
      <c r="G913" s="130" t="s">
        <v>137</v>
      </c>
      <c r="I913" s="130" t="s">
        <v>2086</v>
      </c>
      <c r="J913" s="130" t="s">
        <v>159</v>
      </c>
      <c r="K913" s="130" t="s">
        <v>2319</v>
      </c>
      <c r="L913" s="130" t="s">
        <v>417</v>
      </c>
      <c r="M913" s="128">
        <v>0</v>
      </c>
      <c r="N913" s="128">
        <f t="shared" si="14"/>
        <v>-12</v>
      </c>
      <c r="O913" s="130" t="s">
        <v>159</v>
      </c>
      <c r="P913" s="130" t="s">
        <v>159</v>
      </c>
      <c r="Q913" s="130" t="s">
        <v>160</v>
      </c>
      <c r="R913" s="128">
        <v>0</v>
      </c>
      <c r="S913" s="130" t="s">
        <v>2321</v>
      </c>
    </row>
    <row r="914" spans="1:19" x14ac:dyDescent="0.25">
      <c r="A914" s="130" t="s">
        <v>2336</v>
      </c>
      <c r="B914" s="130" t="s">
        <v>2337</v>
      </c>
      <c r="C914" s="130" t="s">
        <v>159</v>
      </c>
      <c r="D914" s="130" t="s">
        <v>159</v>
      </c>
      <c r="E914" s="130" t="s">
        <v>2336</v>
      </c>
      <c r="F914" s="130" t="s">
        <v>2337</v>
      </c>
      <c r="G914" s="130" t="s">
        <v>137</v>
      </c>
      <c r="I914" s="130" t="s">
        <v>2086</v>
      </c>
      <c r="J914" s="130" t="s">
        <v>159</v>
      </c>
      <c r="K914" s="130" t="s">
        <v>2336</v>
      </c>
      <c r="L914" s="130" t="s">
        <v>417</v>
      </c>
      <c r="M914" s="128">
        <v>0</v>
      </c>
      <c r="N914" s="128">
        <f t="shared" si="14"/>
        <v>-12</v>
      </c>
      <c r="O914" s="130" t="s">
        <v>159</v>
      </c>
      <c r="P914" s="130" t="s">
        <v>159</v>
      </c>
      <c r="Q914" s="130" t="s">
        <v>160</v>
      </c>
      <c r="R914" s="128">
        <v>0</v>
      </c>
      <c r="S914" s="130" t="s">
        <v>2321</v>
      </c>
    </row>
    <row r="915" spans="1:19" x14ac:dyDescent="0.25">
      <c r="A915" s="130" t="s">
        <v>2338</v>
      </c>
      <c r="B915" s="130" t="s">
        <v>2339</v>
      </c>
      <c r="C915" s="130" t="s">
        <v>159</v>
      </c>
      <c r="D915" s="130" t="s">
        <v>159</v>
      </c>
      <c r="E915" s="130" t="s">
        <v>2338</v>
      </c>
      <c r="F915" s="130" t="s">
        <v>2339</v>
      </c>
      <c r="G915" s="130" t="s">
        <v>137</v>
      </c>
      <c r="I915" s="130" t="s">
        <v>2086</v>
      </c>
      <c r="J915" s="130" t="s">
        <v>159</v>
      </c>
      <c r="K915" s="130" t="s">
        <v>2338</v>
      </c>
      <c r="L915" s="130" t="s">
        <v>417</v>
      </c>
      <c r="M915" s="128">
        <v>0</v>
      </c>
      <c r="N915" s="128">
        <f t="shared" si="14"/>
        <v>-12</v>
      </c>
      <c r="O915" s="130" t="s">
        <v>159</v>
      </c>
      <c r="P915" s="130" t="s">
        <v>159</v>
      </c>
      <c r="Q915" s="130" t="s">
        <v>160</v>
      </c>
      <c r="R915" s="128">
        <v>0</v>
      </c>
      <c r="S915" s="130" t="s">
        <v>2321</v>
      </c>
    </row>
    <row r="916" spans="1:19" x14ac:dyDescent="0.25">
      <c r="A916" s="130" t="s">
        <v>2340</v>
      </c>
      <c r="B916" s="130" t="s">
        <v>2341</v>
      </c>
      <c r="C916" s="130" t="s">
        <v>159</v>
      </c>
      <c r="D916" s="130" t="s">
        <v>159</v>
      </c>
      <c r="E916" s="130" t="s">
        <v>2340</v>
      </c>
      <c r="F916" s="130" t="s">
        <v>2341</v>
      </c>
      <c r="G916" s="130" t="s">
        <v>137</v>
      </c>
      <c r="I916" s="130" t="s">
        <v>2086</v>
      </c>
      <c r="J916" s="130" t="s">
        <v>159</v>
      </c>
      <c r="K916" s="130" t="s">
        <v>2340</v>
      </c>
      <c r="L916" s="130" t="s">
        <v>417</v>
      </c>
      <c r="M916" s="128">
        <v>0</v>
      </c>
      <c r="N916" s="128">
        <f t="shared" si="14"/>
        <v>-12</v>
      </c>
      <c r="O916" s="130" t="s">
        <v>159</v>
      </c>
      <c r="P916" s="130" t="s">
        <v>159</v>
      </c>
      <c r="Q916" s="130" t="s">
        <v>160</v>
      </c>
      <c r="R916" s="128">
        <v>0</v>
      </c>
      <c r="S916" s="130" t="s">
        <v>2321</v>
      </c>
    </row>
    <row r="917" spans="1:19" x14ac:dyDescent="0.25">
      <c r="A917" s="130" t="s">
        <v>2342</v>
      </c>
      <c r="B917" s="130" t="s">
        <v>2343</v>
      </c>
      <c r="C917" s="130" t="s">
        <v>134</v>
      </c>
      <c r="D917" s="130" t="s">
        <v>134</v>
      </c>
      <c r="E917" s="130" t="s">
        <v>2344</v>
      </c>
      <c r="F917" s="130" t="s">
        <v>2345</v>
      </c>
      <c r="G917" s="130" t="s">
        <v>137</v>
      </c>
      <c r="I917" s="130" t="s">
        <v>1713</v>
      </c>
      <c r="J917" s="130" t="s">
        <v>159</v>
      </c>
      <c r="K917" s="130" t="s">
        <v>2344</v>
      </c>
      <c r="L917" s="130" t="s">
        <v>417</v>
      </c>
      <c r="M917" s="128">
        <v>8</v>
      </c>
      <c r="N917" s="128">
        <f t="shared" si="14"/>
        <v>-4</v>
      </c>
      <c r="O917" s="130" t="s">
        <v>159</v>
      </c>
      <c r="P917" s="130" t="s">
        <v>159</v>
      </c>
      <c r="Q917" s="130" t="s">
        <v>160</v>
      </c>
      <c r="R917" s="128">
        <v>0</v>
      </c>
      <c r="S917" s="130" t="s">
        <v>2304</v>
      </c>
    </row>
    <row r="918" spans="1:19" x14ac:dyDescent="0.25">
      <c r="A918" s="130" t="s">
        <v>2346</v>
      </c>
      <c r="B918" s="130" t="s">
        <v>2347</v>
      </c>
      <c r="C918" s="130" t="s">
        <v>134</v>
      </c>
      <c r="D918" s="130" t="s">
        <v>134</v>
      </c>
      <c r="E918" s="130" t="s">
        <v>2344</v>
      </c>
      <c r="F918" s="130" t="s">
        <v>2345</v>
      </c>
      <c r="G918" s="130" t="s">
        <v>137</v>
      </c>
      <c r="I918" s="130" t="s">
        <v>1713</v>
      </c>
      <c r="J918" s="130" t="s">
        <v>159</v>
      </c>
      <c r="K918" s="130" t="s">
        <v>2344</v>
      </c>
      <c r="L918" s="130" t="s">
        <v>417</v>
      </c>
      <c r="M918" s="128">
        <v>8</v>
      </c>
      <c r="N918" s="128">
        <f t="shared" si="14"/>
        <v>-4</v>
      </c>
      <c r="O918" s="130" t="s">
        <v>159</v>
      </c>
      <c r="P918" s="130" t="s">
        <v>159</v>
      </c>
      <c r="Q918" s="130" t="s">
        <v>160</v>
      </c>
      <c r="R918" s="128">
        <v>0</v>
      </c>
      <c r="S918" s="130" t="s">
        <v>2304</v>
      </c>
    </row>
    <row r="919" spans="1:19" x14ac:dyDescent="0.25">
      <c r="A919" s="130" t="s">
        <v>2348</v>
      </c>
      <c r="B919" s="130" t="s">
        <v>2349</v>
      </c>
      <c r="C919" s="130" t="s">
        <v>134</v>
      </c>
      <c r="D919" s="130" t="s">
        <v>134</v>
      </c>
      <c r="E919" s="130" t="s">
        <v>2344</v>
      </c>
      <c r="F919" s="130" t="s">
        <v>2345</v>
      </c>
      <c r="G919" s="130" t="s">
        <v>137</v>
      </c>
      <c r="I919" s="130" t="s">
        <v>1713</v>
      </c>
      <c r="J919" s="130" t="s">
        <v>159</v>
      </c>
      <c r="K919" s="130" t="s">
        <v>2344</v>
      </c>
      <c r="L919" s="130" t="s">
        <v>417</v>
      </c>
      <c r="M919" s="128">
        <v>8</v>
      </c>
      <c r="N919" s="128">
        <f t="shared" si="14"/>
        <v>-4</v>
      </c>
      <c r="O919" s="130" t="s">
        <v>159</v>
      </c>
      <c r="P919" s="130" t="s">
        <v>159</v>
      </c>
      <c r="Q919" s="130" t="s">
        <v>160</v>
      </c>
      <c r="R919" s="128">
        <v>0</v>
      </c>
      <c r="S919" s="130" t="s">
        <v>2304</v>
      </c>
    </row>
    <row r="920" spans="1:19" x14ac:dyDescent="0.25">
      <c r="A920" s="130" t="s">
        <v>2350</v>
      </c>
      <c r="B920" s="130" t="s">
        <v>2351</v>
      </c>
      <c r="C920" s="130" t="s">
        <v>134</v>
      </c>
      <c r="D920" s="130" t="s">
        <v>134</v>
      </c>
      <c r="E920" s="130" t="s">
        <v>2344</v>
      </c>
      <c r="F920" s="130" t="s">
        <v>2345</v>
      </c>
      <c r="G920" s="130" t="s">
        <v>137</v>
      </c>
      <c r="I920" s="130" t="s">
        <v>1713</v>
      </c>
      <c r="J920" s="130" t="s">
        <v>159</v>
      </c>
      <c r="K920" s="130" t="s">
        <v>2344</v>
      </c>
      <c r="L920" s="130" t="s">
        <v>417</v>
      </c>
      <c r="M920" s="128">
        <v>8</v>
      </c>
      <c r="N920" s="128">
        <f t="shared" si="14"/>
        <v>-4</v>
      </c>
      <c r="O920" s="130" t="s">
        <v>159</v>
      </c>
      <c r="P920" s="130" t="s">
        <v>159</v>
      </c>
      <c r="Q920" s="130" t="s">
        <v>160</v>
      </c>
      <c r="R920" s="128">
        <v>0</v>
      </c>
      <c r="S920" s="130" t="s">
        <v>2304</v>
      </c>
    </row>
    <row r="921" spans="1:19" x14ac:dyDescent="0.25">
      <c r="A921" s="130" t="s">
        <v>2352</v>
      </c>
      <c r="B921" s="130" t="s">
        <v>2353</v>
      </c>
      <c r="C921" s="130" t="s">
        <v>134</v>
      </c>
      <c r="D921" s="130" t="s">
        <v>134</v>
      </c>
      <c r="E921" s="130" t="s">
        <v>2344</v>
      </c>
      <c r="F921" s="130" t="s">
        <v>2345</v>
      </c>
      <c r="G921" s="130" t="s">
        <v>137</v>
      </c>
      <c r="I921" s="130" t="s">
        <v>1713</v>
      </c>
      <c r="J921" s="130" t="s">
        <v>159</v>
      </c>
      <c r="K921" s="130" t="s">
        <v>2344</v>
      </c>
      <c r="L921" s="130" t="s">
        <v>417</v>
      </c>
      <c r="M921" s="128">
        <v>8</v>
      </c>
      <c r="N921" s="128">
        <f t="shared" si="14"/>
        <v>-4</v>
      </c>
      <c r="O921" s="130" t="s">
        <v>134</v>
      </c>
      <c r="P921" s="130" t="s">
        <v>134</v>
      </c>
      <c r="Q921" s="130" t="s">
        <v>417</v>
      </c>
      <c r="R921" s="128">
        <v>8</v>
      </c>
      <c r="S921" s="130" t="s">
        <v>2304</v>
      </c>
    </row>
    <row r="922" spans="1:19" x14ac:dyDescent="0.25">
      <c r="A922" s="130" t="s">
        <v>2354</v>
      </c>
      <c r="B922" s="130" t="s">
        <v>2355</v>
      </c>
      <c r="C922" s="130" t="s">
        <v>134</v>
      </c>
      <c r="D922" s="130" t="s">
        <v>134</v>
      </c>
      <c r="E922" s="130" t="s">
        <v>2344</v>
      </c>
      <c r="F922" s="130" t="s">
        <v>2345</v>
      </c>
      <c r="G922" s="130" t="s">
        <v>137</v>
      </c>
      <c r="I922" s="130" t="s">
        <v>1713</v>
      </c>
      <c r="J922" s="130" t="s">
        <v>159</v>
      </c>
      <c r="K922" s="130" t="s">
        <v>2344</v>
      </c>
      <c r="L922" s="130" t="s">
        <v>417</v>
      </c>
      <c r="M922" s="128">
        <v>8</v>
      </c>
      <c r="N922" s="128">
        <f t="shared" si="14"/>
        <v>-4</v>
      </c>
      <c r="O922" s="130" t="s">
        <v>159</v>
      </c>
      <c r="P922" s="130" t="s">
        <v>159</v>
      </c>
      <c r="Q922" s="130" t="s">
        <v>160</v>
      </c>
      <c r="R922" s="128">
        <v>0</v>
      </c>
      <c r="S922" s="130" t="s">
        <v>2304</v>
      </c>
    </row>
    <row r="923" spans="1:19" x14ac:dyDescent="0.25">
      <c r="A923" s="130" t="s">
        <v>2356</v>
      </c>
      <c r="B923" s="130" t="s">
        <v>2357</v>
      </c>
      <c r="C923" s="130" t="s">
        <v>134</v>
      </c>
      <c r="D923" s="130" t="s">
        <v>134</v>
      </c>
      <c r="E923" s="130" t="s">
        <v>2344</v>
      </c>
      <c r="F923" s="130" t="s">
        <v>2345</v>
      </c>
      <c r="G923" s="130" t="s">
        <v>137</v>
      </c>
      <c r="I923" s="130" t="s">
        <v>1713</v>
      </c>
      <c r="J923" s="130" t="s">
        <v>159</v>
      </c>
      <c r="K923" s="130" t="s">
        <v>2344</v>
      </c>
      <c r="L923" s="130" t="s">
        <v>417</v>
      </c>
      <c r="M923" s="128">
        <v>8</v>
      </c>
      <c r="N923" s="128">
        <f t="shared" si="14"/>
        <v>-4</v>
      </c>
      <c r="O923" s="130" t="s">
        <v>159</v>
      </c>
      <c r="P923" s="130" t="s">
        <v>159</v>
      </c>
      <c r="Q923" s="130" t="s">
        <v>160</v>
      </c>
      <c r="R923" s="128">
        <v>0</v>
      </c>
      <c r="S923" s="130" t="s">
        <v>2304</v>
      </c>
    </row>
    <row r="924" spans="1:19" x14ac:dyDescent="0.25">
      <c r="A924" s="130" t="s">
        <v>2358</v>
      </c>
      <c r="B924" s="130" t="s">
        <v>2359</v>
      </c>
      <c r="C924" s="130" t="s">
        <v>134</v>
      </c>
      <c r="D924" s="127" t="s">
        <v>860</v>
      </c>
      <c r="E924" s="130" t="s">
        <v>2344</v>
      </c>
      <c r="F924" s="130" t="s">
        <v>2345</v>
      </c>
      <c r="G924" s="130" t="s">
        <v>137</v>
      </c>
      <c r="I924" s="130" t="s">
        <v>1713</v>
      </c>
      <c r="J924" s="130" t="s">
        <v>159</v>
      </c>
      <c r="K924" s="130" t="s">
        <v>2344</v>
      </c>
      <c r="L924" s="130" t="s">
        <v>417</v>
      </c>
      <c r="M924" s="128">
        <v>8</v>
      </c>
      <c r="N924" s="128">
        <f t="shared" si="14"/>
        <v>-4</v>
      </c>
      <c r="O924" s="130" t="s">
        <v>159</v>
      </c>
      <c r="P924" s="127" t="s">
        <v>860</v>
      </c>
      <c r="Q924" s="130" t="s">
        <v>160</v>
      </c>
      <c r="R924" s="128">
        <v>0</v>
      </c>
      <c r="S924" s="130" t="s">
        <v>2304</v>
      </c>
    </row>
    <row r="925" spans="1:19" x14ac:dyDescent="0.25">
      <c r="A925" s="130" t="s">
        <v>2360</v>
      </c>
      <c r="B925" s="130" t="s">
        <v>2361</v>
      </c>
      <c r="C925" s="130" t="s">
        <v>134</v>
      </c>
      <c r="D925" s="130" t="s">
        <v>134</v>
      </c>
      <c r="E925" s="130" t="s">
        <v>2344</v>
      </c>
      <c r="F925" s="130" t="s">
        <v>2345</v>
      </c>
      <c r="G925" s="130" t="s">
        <v>137</v>
      </c>
      <c r="I925" s="130" t="s">
        <v>1713</v>
      </c>
      <c r="J925" s="130" t="s">
        <v>159</v>
      </c>
      <c r="K925" s="130" t="s">
        <v>2344</v>
      </c>
      <c r="L925" s="130" t="s">
        <v>417</v>
      </c>
      <c r="M925" s="128">
        <v>8</v>
      </c>
      <c r="N925" s="128">
        <f t="shared" si="14"/>
        <v>-4</v>
      </c>
      <c r="O925" s="130" t="s">
        <v>159</v>
      </c>
      <c r="P925" s="130" t="s">
        <v>159</v>
      </c>
      <c r="Q925" s="130" t="s">
        <v>160</v>
      </c>
      <c r="R925" s="128">
        <v>0</v>
      </c>
      <c r="S925" s="130" t="s">
        <v>2304</v>
      </c>
    </row>
    <row r="926" spans="1:19" x14ac:dyDescent="0.25">
      <c r="A926" s="130" t="s">
        <v>2362</v>
      </c>
      <c r="B926" s="130" t="s">
        <v>2363</v>
      </c>
      <c r="C926" s="130" t="s">
        <v>134</v>
      </c>
      <c r="D926" s="130" t="s">
        <v>134</v>
      </c>
      <c r="E926" s="130" t="s">
        <v>2362</v>
      </c>
      <c r="F926" s="130" t="s">
        <v>2363</v>
      </c>
      <c r="G926" s="130" t="s">
        <v>137</v>
      </c>
      <c r="I926" s="130" t="s">
        <v>1532</v>
      </c>
      <c r="J926" s="130" t="s">
        <v>159</v>
      </c>
      <c r="K926" s="130" t="s">
        <v>2362</v>
      </c>
      <c r="L926" s="130" t="s">
        <v>417</v>
      </c>
      <c r="M926" s="128">
        <v>8</v>
      </c>
      <c r="N926" s="128">
        <f t="shared" si="14"/>
        <v>-4</v>
      </c>
      <c r="O926" s="130" t="s">
        <v>159</v>
      </c>
      <c r="P926" s="130" t="s">
        <v>159</v>
      </c>
      <c r="Q926" s="130" t="s">
        <v>160</v>
      </c>
      <c r="R926" s="128">
        <v>0</v>
      </c>
      <c r="S926" s="130" t="s">
        <v>2304</v>
      </c>
    </row>
    <row r="927" spans="1:19" x14ac:dyDescent="0.25">
      <c r="A927" s="130" t="s">
        <v>2364</v>
      </c>
      <c r="B927" s="130" t="s">
        <v>2365</v>
      </c>
      <c r="C927" s="130" t="s">
        <v>134</v>
      </c>
      <c r="D927" s="130" t="s">
        <v>134</v>
      </c>
      <c r="E927" s="130" t="s">
        <v>2366</v>
      </c>
      <c r="F927" s="130" t="s">
        <v>2367</v>
      </c>
      <c r="G927" s="130" t="s">
        <v>137</v>
      </c>
      <c r="I927" s="130" t="s">
        <v>1532</v>
      </c>
      <c r="J927" s="130" t="s">
        <v>159</v>
      </c>
      <c r="K927" s="130" t="s">
        <v>2366</v>
      </c>
      <c r="L927" s="130" t="s">
        <v>417</v>
      </c>
      <c r="M927" s="128">
        <v>8</v>
      </c>
      <c r="N927" s="128">
        <f t="shared" si="14"/>
        <v>-4</v>
      </c>
      <c r="O927" s="130" t="s">
        <v>159</v>
      </c>
      <c r="P927" s="130" t="s">
        <v>159</v>
      </c>
      <c r="Q927" s="130" t="s">
        <v>160</v>
      </c>
      <c r="R927" s="128">
        <v>0</v>
      </c>
      <c r="S927" s="130" t="s">
        <v>2304</v>
      </c>
    </row>
    <row r="928" spans="1:19" x14ac:dyDescent="0.25">
      <c r="A928" s="130" t="s">
        <v>2368</v>
      </c>
      <c r="B928" s="130" t="s">
        <v>2369</v>
      </c>
      <c r="C928" s="130" t="s">
        <v>134</v>
      </c>
      <c r="D928" s="130" t="s">
        <v>134</v>
      </c>
      <c r="E928" s="130" t="s">
        <v>2366</v>
      </c>
      <c r="F928" s="130" t="s">
        <v>2367</v>
      </c>
      <c r="G928" s="130" t="s">
        <v>137</v>
      </c>
      <c r="I928" s="130" t="s">
        <v>1532</v>
      </c>
      <c r="J928" s="130" t="s">
        <v>159</v>
      </c>
      <c r="K928" s="130" t="s">
        <v>2366</v>
      </c>
      <c r="L928" s="130" t="s">
        <v>417</v>
      </c>
      <c r="M928" s="128">
        <v>8</v>
      </c>
      <c r="N928" s="128">
        <f t="shared" si="14"/>
        <v>-4</v>
      </c>
      <c r="O928" s="130" t="s">
        <v>159</v>
      </c>
      <c r="P928" s="130" t="s">
        <v>159</v>
      </c>
      <c r="Q928" s="130" t="s">
        <v>160</v>
      </c>
      <c r="R928" s="128">
        <v>0</v>
      </c>
      <c r="S928" s="130" t="s">
        <v>2304</v>
      </c>
    </row>
    <row r="929" spans="1:19" x14ac:dyDescent="0.25">
      <c r="A929" s="130" t="s">
        <v>2370</v>
      </c>
      <c r="B929" s="130" t="s">
        <v>2371</v>
      </c>
      <c r="C929" s="130" t="s">
        <v>134</v>
      </c>
      <c r="D929" s="130" t="s">
        <v>134</v>
      </c>
      <c r="E929" s="130" t="s">
        <v>2366</v>
      </c>
      <c r="F929" s="130" t="s">
        <v>2367</v>
      </c>
      <c r="G929" s="130" t="s">
        <v>137</v>
      </c>
      <c r="I929" s="130" t="s">
        <v>1532</v>
      </c>
      <c r="J929" s="130" t="s">
        <v>159</v>
      </c>
      <c r="K929" s="130" t="s">
        <v>2366</v>
      </c>
      <c r="L929" s="130" t="s">
        <v>417</v>
      </c>
      <c r="M929" s="128">
        <v>8</v>
      </c>
      <c r="N929" s="128">
        <f t="shared" si="14"/>
        <v>-4</v>
      </c>
      <c r="O929" s="130" t="s">
        <v>159</v>
      </c>
      <c r="P929" s="130" t="s">
        <v>159</v>
      </c>
      <c r="Q929" s="130" t="s">
        <v>160</v>
      </c>
      <c r="R929" s="128">
        <v>0</v>
      </c>
      <c r="S929" s="130" t="s">
        <v>2304</v>
      </c>
    </row>
    <row r="930" spans="1:19" x14ac:dyDescent="0.25">
      <c r="A930" s="130" t="s">
        <v>2372</v>
      </c>
      <c r="B930" s="130" t="s">
        <v>2373</v>
      </c>
      <c r="C930" s="130" t="s">
        <v>134</v>
      </c>
      <c r="D930" s="130" t="s">
        <v>134</v>
      </c>
      <c r="E930" s="130" t="s">
        <v>2372</v>
      </c>
      <c r="F930" s="130" t="s">
        <v>2373</v>
      </c>
      <c r="G930" s="130" t="s">
        <v>137</v>
      </c>
      <c r="I930" s="130" t="s">
        <v>1713</v>
      </c>
      <c r="J930" s="130" t="s">
        <v>159</v>
      </c>
      <c r="K930" s="130" t="s">
        <v>2372</v>
      </c>
      <c r="L930" s="130" t="s">
        <v>417</v>
      </c>
      <c r="M930" s="128">
        <v>8</v>
      </c>
      <c r="N930" s="128">
        <f t="shared" si="14"/>
        <v>-4</v>
      </c>
      <c r="O930" s="130" t="s">
        <v>159</v>
      </c>
      <c r="P930" s="130" t="s">
        <v>159</v>
      </c>
      <c r="Q930" s="130" t="s">
        <v>160</v>
      </c>
      <c r="R930" s="128">
        <v>0</v>
      </c>
      <c r="S930" s="130" t="s">
        <v>2304</v>
      </c>
    </row>
    <row r="931" spans="1:19" x14ac:dyDescent="0.25">
      <c r="A931" s="130" t="s">
        <v>2374</v>
      </c>
      <c r="B931" s="130" t="s">
        <v>2375</v>
      </c>
      <c r="C931" s="130" t="s">
        <v>1020</v>
      </c>
      <c r="D931" s="130" t="s">
        <v>1020</v>
      </c>
      <c r="E931" s="130" t="s">
        <v>2374</v>
      </c>
      <c r="F931" s="130" t="s">
        <v>2375</v>
      </c>
      <c r="G931" s="130" t="s">
        <v>137</v>
      </c>
      <c r="H931" s="130" t="s">
        <v>159</v>
      </c>
      <c r="I931" s="130" t="s">
        <v>1713</v>
      </c>
      <c r="J931" s="130" t="s">
        <v>159</v>
      </c>
      <c r="K931" s="130" t="s">
        <v>2374</v>
      </c>
      <c r="L931" s="130" t="s">
        <v>160</v>
      </c>
      <c r="M931" s="128">
        <v>0</v>
      </c>
      <c r="N931" s="128">
        <f t="shared" si="14"/>
        <v>0</v>
      </c>
      <c r="O931" s="130" t="s">
        <v>1020</v>
      </c>
      <c r="P931" s="130" t="s">
        <v>1020</v>
      </c>
      <c r="Q931" s="130" t="s">
        <v>160</v>
      </c>
      <c r="R931" s="128">
        <v>0</v>
      </c>
      <c r="S931" s="130" t="s">
        <v>2375</v>
      </c>
    </row>
    <row r="932" spans="1:19" x14ac:dyDescent="0.25">
      <c r="A932" s="130" t="s">
        <v>2376</v>
      </c>
      <c r="B932" s="130" t="s">
        <v>2377</v>
      </c>
      <c r="C932" s="130" t="s">
        <v>1020</v>
      </c>
      <c r="D932" s="130" t="s">
        <v>1020</v>
      </c>
      <c r="E932" s="130" t="s">
        <v>2378</v>
      </c>
      <c r="F932" s="130" t="s">
        <v>2379</v>
      </c>
      <c r="G932" s="130" t="s">
        <v>137</v>
      </c>
      <c r="H932" s="130" t="s">
        <v>159</v>
      </c>
      <c r="I932" s="130" t="s">
        <v>1713</v>
      </c>
      <c r="J932" s="130" t="s">
        <v>159</v>
      </c>
      <c r="K932" s="130" t="s">
        <v>2378</v>
      </c>
      <c r="L932" s="130" t="s">
        <v>160</v>
      </c>
      <c r="M932" s="128">
        <v>0</v>
      </c>
      <c r="N932" s="128">
        <f t="shared" si="14"/>
        <v>0</v>
      </c>
      <c r="O932" s="130" t="s">
        <v>1020</v>
      </c>
      <c r="P932" s="130" t="s">
        <v>1020</v>
      </c>
      <c r="Q932" s="130" t="s">
        <v>160</v>
      </c>
      <c r="R932" s="128">
        <v>0</v>
      </c>
      <c r="S932" s="130" t="s">
        <v>2379</v>
      </c>
    </row>
    <row r="933" spans="1:19" x14ac:dyDescent="0.25">
      <c r="A933" s="130" t="s">
        <v>2380</v>
      </c>
      <c r="B933" s="130" t="s">
        <v>2381</v>
      </c>
      <c r="C933" s="130" t="s">
        <v>1020</v>
      </c>
      <c r="D933" s="130" t="s">
        <v>1020</v>
      </c>
      <c r="E933" s="130" t="s">
        <v>2378</v>
      </c>
      <c r="F933" s="130" t="s">
        <v>2379</v>
      </c>
      <c r="G933" s="130" t="s">
        <v>137</v>
      </c>
      <c r="H933" s="130" t="s">
        <v>159</v>
      </c>
      <c r="I933" s="130" t="s">
        <v>1713</v>
      </c>
      <c r="J933" s="130" t="s">
        <v>159</v>
      </c>
      <c r="K933" s="130" t="s">
        <v>2378</v>
      </c>
      <c r="L933" s="130" t="s">
        <v>160</v>
      </c>
      <c r="M933" s="128">
        <v>0</v>
      </c>
      <c r="N933" s="128">
        <f t="shared" si="14"/>
        <v>0</v>
      </c>
      <c r="O933" s="130" t="s">
        <v>1020</v>
      </c>
      <c r="P933" s="130" t="s">
        <v>1020</v>
      </c>
      <c r="Q933" s="130" t="s">
        <v>160</v>
      </c>
      <c r="R933" s="128">
        <v>0</v>
      </c>
      <c r="S933" s="130" t="s">
        <v>2379</v>
      </c>
    </row>
    <row r="934" spans="1:19" x14ac:dyDescent="0.25">
      <c r="A934" s="130" t="s">
        <v>2382</v>
      </c>
      <c r="B934" s="130" t="s">
        <v>2383</v>
      </c>
      <c r="C934" s="130" t="s">
        <v>1020</v>
      </c>
      <c r="D934" s="130" t="s">
        <v>1020</v>
      </c>
      <c r="E934" s="130" t="s">
        <v>2378</v>
      </c>
      <c r="F934" s="130" t="s">
        <v>2379</v>
      </c>
      <c r="G934" s="130" t="s">
        <v>137</v>
      </c>
      <c r="H934" s="130" t="s">
        <v>159</v>
      </c>
      <c r="I934" s="130" t="s">
        <v>1713</v>
      </c>
      <c r="J934" s="130" t="s">
        <v>159</v>
      </c>
      <c r="K934" s="130" t="s">
        <v>2378</v>
      </c>
      <c r="L934" s="130" t="s">
        <v>160</v>
      </c>
      <c r="M934" s="128">
        <v>0</v>
      </c>
      <c r="N934" s="128">
        <f t="shared" si="14"/>
        <v>0</v>
      </c>
      <c r="O934" s="130" t="s">
        <v>1020</v>
      </c>
      <c r="P934" s="130" t="s">
        <v>1020</v>
      </c>
      <c r="Q934" s="130" t="s">
        <v>160</v>
      </c>
      <c r="R934" s="128">
        <v>0</v>
      </c>
      <c r="S934" s="130" t="s">
        <v>2379</v>
      </c>
    </row>
    <row r="935" spans="1:19" x14ac:dyDescent="0.25">
      <c r="A935" s="130" t="s">
        <v>2384</v>
      </c>
      <c r="B935" s="130" t="s">
        <v>2385</v>
      </c>
      <c r="C935" s="130" t="s">
        <v>1020</v>
      </c>
      <c r="D935" s="130" t="s">
        <v>1020</v>
      </c>
      <c r="E935" s="130" t="s">
        <v>2386</v>
      </c>
      <c r="F935" s="130" t="s">
        <v>2387</v>
      </c>
      <c r="G935" s="130" t="s">
        <v>137</v>
      </c>
      <c r="H935" s="130" t="s">
        <v>159</v>
      </c>
      <c r="I935" s="130" t="s">
        <v>1713</v>
      </c>
      <c r="J935" s="130" t="s">
        <v>159</v>
      </c>
      <c r="K935" s="130" t="s">
        <v>2386</v>
      </c>
      <c r="L935" s="130" t="s">
        <v>160</v>
      </c>
      <c r="M935" s="128">
        <v>0</v>
      </c>
      <c r="N935" s="128">
        <f t="shared" si="14"/>
        <v>0</v>
      </c>
      <c r="O935" s="130" t="s">
        <v>1020</v>
      </c>
      <c r="P935" s="130" t="s">
        <v>1020</v>
      </c>
      <c r="Q935" s="130" t="s">
        <v>160</v>
      </c>
      <c r="R935" s="128">
        <v>0</v>
      </c>
      <c r="S935" s="130" t="s">
        <v>2387</v>
      </c>
    </row>
    <row r="936" spans="1:19" x14ac:dyDescent="0.25">
      <c r="A936" s="130" t="s">
        <v>2388</v>
      </c>
      <c r="B936" s="130" t="s">
        <v>2389</v>
      </c>
      <c r="C936" s="130" t="s">
        <v>1020</v>
      </c>
      <c r="D936" s="130" t="s">
        <v>1020</v>
      </c>
      <c r="E936" s="130" t="s">
        <v>2388</v>
      </c>
      <c r="F936" s="130" t="s">
        <v>2389</v>
      </c>
      <c r="G936" s="130" t="s">
        <v>137</v>
      </c>
      <c r="H936" s="130" t="s">
        <v>159</v>
      </c>
      <c r="I936" s="130" t="s">
        <v>1713</v>
      </c>
      <c r="J936" s="130" t="s">
        <v>159</v>
      </c>
      <c r="K936" s="130" t="s">
        <v>2388</v>
      </c>
      <c r="L936" s="130" t="s">
        <v>160</v>
      </c>
      <c r="M936" s="128">
        <v>0</v>
      </c>
      <c r="N936" s="128">
        <f t="shared" si="14"/>
        <v>0</v>
      </c>
      <c r="O936" s="130" t="s">
        <v>1020</v>
      </c>
      <c r="P936" s="130" t="s">
        <v>1020</v>
      </c>
      <c r="Q936" s="130" t="s">
        <v>160</v>
      </c>
      <c r="R936" s="128">
        <v>0</v>
      </c>
      <c r="S936" s="130" t="s">
        <v>2389</v>
      </c>
    </row>
    <row r="937" spans="1:19" x14ac:dyDescent="0.25">
      <c r="A937" s="130" t="s">
        <v>2390</v>
      </c>
      <c r="B937" s="130" t="s">
        <v>2391</v>
      </c>
      <c r="C937" s="130" t="s">
        <v>1020</v>
      </c>
      <c r="D937" s="130" t="s">
        <v>1020</v>
      </c>
      <c r="E937" s="130" t="s">
        <v>2390</v>
      </c>
      <c r="F937" s="130" t="s">
        <v>2391</v>
      </c>
      <c r="G937" s="130" t="s">
        <v>137</v>
      </c>
      <c r="H937" s="130" t="s">
        <v>159</v>
      </c>
      <c r="I937" s="130" t="s">
        <v>1713</v>
      </c>
      <c r="J937" s="130" t="s">
        <v>159</v>
      </c>
      <c r="K937" s="130" t="s">
        <v>2390</v>
      </c>
      <c r="L937" s="130" t="s">
        <v>160</v>
      </c>
      <c r="M937" s="128">
        <v>0</v>
      </c>
      <c r="N937" s="128">
        <f t="shared" si="14"/>
        <v>0</v>
      </c>
      <c r="O937" s="130" t="s">
        <v>1020</v>
      </c>
      <c r="P937" s="130" t="s">
        <v>1020</v>
      </c>
      <c r="Q937" s="130" t="s">
        <v>160</v>
      </c>
      <c r="R937" s="128">
        <v>0</v>
      </c>
      <c r="S937" s="130" t="s">
        <v>2391</v>
      </c>
    </row>
    <row r="938" spans="1:19" x14ac:dyDescent="0.25">
      <c r="A938" s="130" t="s">
        <v>2392</v>
      </c>
      <c r="B938" s="130" t="s">
        <v>2393</v>
      </c>
      <c r="C938" s="130" t="s">
        <v>1020</v>
      </c>
      <c r="D938" s="130" t="s">
        <v>1020</v>
      </c>
      <c r="E938" s="130" t="s">
        <v>2394</v>
      </c>
      <c r="F938" s="130" t="s">
        <v>2395</v>
      </c>
      <c r="G938" s="130" t="s">
        <v>137</v>
      </c>
      <c r="H938" s="130" t="s">
        <v>159</v>
      </c>
      <c r="I938" s="130" t="s">
        <v>1713</v>
      </c>
      <c r="J938" s="130" t="s">
        <v>159</v>
      </c>
      <c r="K938" s="130" t="s">
        <v>2394</v>
      </c>
      <c r="L938" s="130" t="s">
        <v>160</v>
      </c>
      <c r="M938" s="128">
        <v>0</v>
      </c>
      <c r="N938" s="128">
        <f t="shared" si="14"/>
        <v>0</v>
      </c>
      <c r="O938" s="130" t="s">
        <v>1020</v>
      </c>
      <c r="P938" s="130" t="s">
        <v>1020</v>
      </c>
      <c r="Q938" s="130" t="s">
        <v>160</v>
      </c>
      <c r="R938" s="128">
        <v>0</v>
      </c>
      <c r="S938" s="130" t="s">
        <v>2395</v>
      </c>
    </row>
    <row r="939" spans="1:19" x14ac:dyDescent="0.25">
      <c r="A939" s="130" t="s">
        <v>2386</v>
      </c>
      <c r="B939" s="130" t="s">
        <v>2387</v>
      </c>
      <c r="C939" s="130" t="s">
        <v>1020</v>
      </c>
      <c r="D939" s="130" t="s">
        <v>1020</v>
      </c>
      <c r="E939" s="130" t="s">
        <v>2396</v>
      </c>
      <c r="F939" s="130" t="s">
        <v>2397</v>
      </c>
      <c r="G939" s="130" t="s">
        <v>137</v>
      </c>
      <c r="H939" s="130" t="s">
        <v>159</v>
      </c>
      <c r="I939" s="130" t="s">
        <v>1713</v>
      </c>
      <c r="J939" s="130" t="s">
        <v>159</v>
      </c>
      <c r="K939" s="130" t="s">
        <v>2396</v>
      </c>
      <c r="L939" s="130" t="s">
        <v>160</v>
      </c>
      <c r="M939" s="128">
        <v>0</v>
      </c>
      <c r="N939" s="128">
        <f t="shared" si="14"/>
        <v>0</v>
      </c>
      <c r="O939" s="130" t="s">
        <v>1020</v>
      </c>
      <c r="P939" s="130" t="s">
        <v>1020</v>
      </c>
      <c r="Q939" s="130" t="s">
        <v>160</v>
      </c>
      <c r="R939" s="128">
        <v>0</v>
      </c>
      <c r="S939" s="130" t="s">
        <v>2397</v>
      </c>
    </row>
    <row r="940" spans="1:19" x14ac:dyDescent="0.25">
      <c r="A940" s="130" t="s">
        <v>2398</v>
      </c>
      <c r="B940" s="130" t="s">
        <v>2399</v>
      </c>
      <c r="C940" s="130" t="s">
        <v>1020</v>
      </c>
      <c r="D940" s="130" t="s">
        <v>1020</v>
      </c>
      <c r="E940" s="130" t="s">
        <v>2396</v>
      </c>
      <c r="F940" s="130" t="s">
        <v>2397</v>
      </c>
      <c r="G940" s="130" t="s">
        <v>137</v>
      </c>
      <c r="H940" s="130" t="s">
        <v>159</v>
      </c>
      <c r="I940" s="130" t="s">
        <v>1713</v>
      </c>
      <c r="J940" s="130" t="s">
        <v>159</v>
      </c>
      <c r="K940" s="130" t="s">
        <v>2396</v>
      </c>
      <c r="L940" s="130" t="s">
        <v>160</v>
      </c>
      <c r="M940" s="128">
        <v>0</v>
      </c>
      <c r="N940" s="128">
        <f t="shared" si="14"/>
        <v>0</v>
      </c>
      <c r="O940" s="130" t="s">
        <v>1020</v>
      </c>
      <c r="P940" s="130" t="s">
        <v>1020</v>
      </c>
      <c r="Q940" s="130" t="s">
        <v>160</v>
      </c>
      <c r="R940" s="128">
        <v>0</v>
      </c>
      <c r="S940" s="130" t="s">
        <v>2397</v>
      </c>
    </row>
    <row r="941" spans="1:19" x14ac:dyDescent="0.25">
      <c r="A941" s="130" t="s">
        <v>2400</v>
      </c>
      <c r="B941" s="130" t="s">
        <v>2401</v>
      </c>
      <c r="C941" s="130" t="s">
        <v>1020</v>
      </c>
      <c r="D941" s="130" t="s">
        <v>1020</v>
      </c>
      <c r="E941" s="130" t="s">
        <v>2396</v>
      </c>
      <c r="F941" s="130" t="s">
        <v>2397</v>
      </c>
      <c r="G941" s="130" t="s">
        <v>137</v>
      </c>
      <c r="H941" s="130" t="s">
        <v>159</v>
      </c>
      <c r="I941" s="130" t="s">
        <v>1713</v>
      </c>
      <c r="J941" s="130" t="s">
        <v>159</v>
      </c>
      <c r="K941" s="130" t="s">
        <v>2396</v>
      </c>
      <c r="L941" s="130" t="s">
        <v>160</v>
      </c>
      <c r="M941" s="128">
        <v>0</v>
      </c>
      <c r="N941" s="128">
        <f t="shared" si="14"/>
        <v>0</v>
      </c>
      <c r="O941" s="130" t="s">
        <v>1020</v>
      </c>
      <c r="P941" s="130" t="s">
        <v>1020</v>
      </c>
      <c r="Q941" s="130" t="s">
        <v>160</v>
      </c>
      <c r="R941" s="128">
        <v>0</v>
      </c>
      <c r="S941" s="130" t="s">
        <v>2397</v>
      </c>
    </row>
    <row r="942" spans="1:19" x14ac:dyDescent="0.25">
      <c r="A942" s="130" t="s">
        <v>2402</v>
      </c>
      <c r="B942" s="130" t="s">
        <v>2403</v>
      </c>
      <c r="C942" s="130" t="s">
        <v>1020</v>
      </c>
      <c r="D942" s="130" t="s">
        <v>1020</v>
      </c>
      <c r="E942" s="130" t="s">
        <v>2396</v>
      </c>
      <c r="F942" s="130" t="s">
        <v>2397</v>
      </c>
      <c r="G942" s="130" t="s">
        <v>137</v>
      </c>
      <c r="H942" s="130" t="s">
        <v>159</v>
      </c>
      <c r="I942" s="130" t="s">
        <v>1713</v>
      </c>
      <c r="J942" s="130" t="s">
        <v>159</v>
      </c>
      <c r="K942" s="130" t="s">
        <v>2396</v>
      </c>
      <c r="L942" s="130" t="s">
        <v>160</v>
      </c>
      <c r="M942" s="128">
        <v>0</v>
      </c>
      <c r="N942" s="128">
        <f t="shared" si="14"/>
        <v>0</v>
      </c>
      <c r="O942" s="130" t="s">
        <v>1020</v>
      </c>
      <c r="P942" s="130" t="s">
        <v>1020</v>
      </c>
      <c r="Q942" s="130" t="s">
        <v>160</v>
      </c>
      <c r="R942" s="128">
        <v>0</v>
      </c>
      <c r="S942" s="130" t="s">
        <v>2397</v>
      </c>
    </row>
    <row r="943" spans="1:19" x14ac:dyDescent="0.25">
      <c r="A943" s="130" t="s">
        <v>2404</v>
      </c>
      <c r="B943" s="130" t="s">
        <v>2405</v>
      </c>
      <c r="C943" s="130" t="s">
        <v>1020</v>
      </c>
      <c r="D943" s="130" t="s">
        <v>1020</v>
      </c>
      <c r="E943" s="130" t="s">
        <v>2396</v>
      </c>
      <c r="F943" s="130" t="s">
        <v>2397</v>
      </c>
      <c r="G943" s="130" t="s">
        <v>137</v>
      </c>
      <c r="H943" s="130" t="s">
        <v>159</v>
      </c>
      <c r="I943" s="130" t="s">
        <v>1713</v>
      </c>
      <c r="J943" s="130" t="s">
        <v>159</v>
      </c>
      <c r="K943" s="130" t="s">
        <v>2396</v>
      </c>
      <c r="L943" s="130" t="s">
        <v>160</v>
      </c>
      <c r="M943" s="128">
        <v>0</v>
      </c>
      <c r="N943" s="128">
        <f t="shared" si="14"/>
        <v>0</v>
      </c>
      <c r="O943" s="130" t="s">
        <v>1020</v>
      </c>
      <c r="P943" s="130" t="s">
        <v>1020</v>
      </c>
      <c r="Q943" s="130" t="s">
        <v>160</v>
      </c>
      <c r="R943" s="128">
        <v>0</v>
      </c>
      <c r="S943" s="130" t="s">
        <v>2397</v>
      </c>
    </row>
    <row r="944" spans="1:19" x14ac:dyDescent="0.25">
      <c r="A944" s="130" t="s">
        <v>2406</v>
      </c>
      <c r="B944" s="130" t="s">
        <v>2407</v>
      </c>
      <c r="C944" s="130" t="s">
        <v>1020</v>
      </c>
      <c r="D944" s="130" t="s">
        <v>1020</v>
      </c>
      <c r="E944" s="130" t="s">
        <v>2396</v>
      </c>
      <c r="F944" s="130" t="s">
        <v>2397</v>
      </c>
      <c r="G944" s="130" t="s">
        <v>137</v>
      </c>
      <c r="H944" s="130" t="s">
        <v>159</v>
      </c>
      <c r="I944" s="130" t="s">
        <v>1713</v>
      </c>
      <c r="J944" s="130" t="s">
        <v>159</v>
      </c>
      <c r="K944" s="130" t="s">
        <v>2396</v>
      </c>
      <c r="L944" s="130" t="s">
        <v>160</v>
      </c>
      <c r="M944" s="128">
        <v>0</v>
      </c>
      <c r="N944" s="128">
        <f t="shared" si="14"/>
        <v>0</v>
      </c>
      <c r="O944" s="130" t="s">
        <v>1020</v>
      </c>
      <c r="P944" s="130" t="s">
        <v>1020</v>
      </c>
      <c r="Q944" s="130" t="s">
        <v>160</v>
      </c>
      <c r="R944" s="128">
        <v>0</v>
      </c>
      <c r="S944" s="130" t="s">
        <v>2397</v>
      </c>
    </row>
    <row r="945" spans="1:19" x14ac:dyDescent="0.25">
      <c r="A945" s="130" t="s">
        <v>2408</v>
      </c>
      <c r="B945" s="130" t="s">
        <v>2409</v>
      </c>
      <c r="C945" s="130" t="s">
        <v>1020</v>
      </c>
      <c r="D945" s="130" t="s">
        <v>1020</v>
      </c>
      <c r="E945" s="130" t="s">
        <v>2396</v>
      </c>
      <c r="F945" s="130" t="s">
        <v>2397</v>
      </c>
      <c r="G945" s="130" t="s">
        <v>137</v>
      </c>
      <c r="H945" s="130" t="s">
        <v>159</v>
      </c>
      <c r="I945" s="130" t="s">
        <v>1713</v>
      </c>
      <c r="J945" s="130" t="s">
        <v>159</v>
      </c>
      <c r="K945" s="130" t="s">
        <v>2396</v>
      </c>
      <c r="L945" s="130" t="s">
        <v>160</v>
      </c>
      <c r="M945" s="128">
        <v>0</v>
      </c>
      <c r="N945" s="128">
        <f t="shared" si="14"/>
        <v>0</v>
      </c>
      <c r="O945" s="130" t="s">
        <v>1020</v>
      </c>
      <c r="P945" s="130" t="s">
        <v>1020</v>
      </c>
      <c r="Q945" s="130" t="s">
        <v>160</v>
      </c>
      <c r="R945" s="128">
        <v>0</v>
      </c>
      <c r="S945" s="130" t="s">
        <v>2397</v>
      </c>
    </row>
    <row r="946" spans="1:19" x14ac:dyDescent="0.25">
      <c r="A946" s="130" t="s">
        <v>2410</v>
      </c>
      <c r="B946" s="130" t="s">
        <v>2411</v>
      </c>
      <c r="C946" s="130" t="s">
        <v>1020</v>
      </c>
      <c r="D946" s="130" t="s">
        <v>1020</v>
      </c>
      <c r="E946" s="130" t="s">
        <v>2396</v>
      </c>
      <c r="F946" s="130" t="s">
        <v>2397</v>
      </c>
      <c r="G946" s="130" t="s">
        <v>137</v>
      </c>
      <c r="H946" s="130" t="s">
        <v>159</v>
      </c>
      <c r="I946" s="130" t="s">
        <v>1713</v>
      </c>
      <c r="J946" s="130" t="s">
        <v>159</v>
      </c>
      <c r="K946" s="130" t="s">
        <v>2396</v>
      </c>
      <c r="L946" s="130" t="s">
        <v>160</v>
      </c>
      <c r="M946" s="128">
        <v>0</v>
      </c>
      <c r="N946" s="128">
        <f t="shared" si="14"/>
        <v>0</v>
      </c>
      <c r="O946" s="130" t="s">
        <v>1020</v>
      </c>
      <c r="P946" s="130" t="s">
        <v>1020</v>
      </c>
      <c r="Q946" s="130" t="s">
        <v>160</v>
      </c>
      <c r="R946" s="128">
        <v>0</v>
      </c>
      <c r="S946" s="130" t="s">
        <v>2397</v>
      </c>
    </row>
    <row r="947" spans="1:19" x14ac:dyDescent="0.25">
      <c r="A947" s="130" t="s">
        <v>2412</v>
      </c>
      <c r="B947" s="130" t="s">
        <v>2413</v>
      </c>
      <c r="C947" s="130" t="s">
        <v>1020</v>
      </c>
      <c r="D947" s="130" t="s">
        <v>1020</v>
      </c>
      <c r="E947" s="130" t="s">
        <v>2396</v>
      </c>
      <c r="F947" s="130" t="s">
        <v>2397</v>
      </c>
      <c r="G947" s="130" t="s">
        <v>137</v>
      </c>
      <c r="H947" s="130" t="s">
        <v>159</v>
      </c>
      <c r="I947" s="130" t="s">
        <v>1713</v>
      </c>
      <c r="J947" s="130" t="s">
        <v>159</v>
      </c>
      <c r="K947" s="130" t="s">
        <v>2396</v>
      </c>
      <c r="L947" s="130" t="s">
        <v>160</v>
      </c>
      <c r="M947" s="128">
        <v>0</v>
      </c>
      <c r="N947" s="128">
        <f t="shared" si="14"/>
        <v>0</v>
      </c>
      <c r="O947" s="130" t="s">
        <v>1020</v>
      </c>
      <c r="P947" s="130" t="s">
        <v>1020</v>
      </c>
      <c r="Q947" s="130" t="s">
        <v>160</v>
      </c>
      <c r="R947" s="128">
        <v>0</v>
      </c>
      <c r="S947" s="130" t="s">
        <v>2397</v>
      </c>
    </row>
    <row r="948" spans="1:19" x14ac:dyDescent="0.25">
      <c r="A948" s="130" t="s">
        <v>2414</v>
      </c>
      <c r="B948" s="130" t="s">
        <v>2415</v>
      </c>
      <c r="C948" s="130" t="s">
        <v>1020</v>
      </c>
      <c r="D948" s="130" t="s">
        <v>1020</v>
      </c>
      <c r="E948" s="130" t="s">
        <v>2396</v>
      </c>
      <c r="F948" s="130" t="s">
        <v>2397</v>
      </c>
      <c r="G948" s="130" t="s">
        <v>137</v>
      </c>
      <c r="H948" s="130" t="s">
        <v>159</v>
      </c>
      <c r="I948" s="130" t="s">
        <v>1713</v>
      </c>
      <c r="J948" s="130" t="s">
        <v>159</v>
      </c>
      <c r="K948" s="130" t="s">
        <v>2396</v>
      </c>
      <c r="L948" s="130" t="s">
        <v>160</v>
      </c>
      <c r="M948" s="128">
        <v>0</v>
      </c>
      <c r="N948" s="128">
        <f t="shared" si="14"/>
        <v>0</v>
      </c>
      <c r="O948" s="130" t="s">
        <v>1020</v>
      </c>
      <c r="P948" s="130" t="s">
        <v>1020</v>
      </c>
      <c r="Q948" s="130" t="s">
        <v>160</v>
      </c>
      <c r="R948" s="128">
        <v>0</v>
      </c>
      <c r="S948" s="130" t="s">
        <v>2397</v>
      </c>
    </row>
    <row r="949" spans="1:19" x14ac:dyDescent="0.25">
      <c r="A949" s="130" t="s">
        <v>2416</v>
      </c>
      <c r="B949" s="130" t="s">
        <v>2417</v>
      </c>
      <c r="C949" s="130" t="s">
        <v>1020</v>
      </c>
      <c r="D949" s="130" t="s">
        <v>1020</v>
      </c>
      <c r="E949" s="130" t="s">
        <v>2396</v>
      </c>
      <c r="F949" s="130" t="s">
        <v>2397</v>
      </c>
      <c r="G949" s="130" t="s">
        <v>137</v>
      </c>
      <c r="H949" s="130" t="s">
        <v>159</v>
      </c>
      <c r="I949" s="130" t="s">
        <v>1713</v>
      </c>
      <c r="J949" s="130" t="s">
        <v>159</v>
      </c>
      <c r="K949" s="130" t="s">
        <v>2396</v>
      </c>
      <c r="L949" s="130" t="s">
        <v>160</v>
      </c>
      <c r="M949" s="128">
        <v>0</v>
      </c>
      <c r="N949" s="128">
        <f t="shared" si="14"/>
        <v>0</v>
      </c>
      <c r="O949" s="130" t="s">
        <v>1020</v>
      </c>
      <c r="P949" s="130" t="s">
        <v>1020</v>
      </c>
      <c r="Q949" s="130" t="s">
        <v>160</v>
      </c>
      <c r="R949" s="128">
        <v>0</v>
      </c>
      <c r="S949" s="130" t="s">
        <v>2397</v>
      </c>
    </row>
    <row r="950" spans="1:19" x14ac:dyDescent="0.25">
      <c r="A950" s="130" t="s">
        <v>2418</v>
      </c>
      <c r="B950" s="130" t="s">
        <v>2419</v>
      </c>
      <c r="C950" s="130" t="s">
        <v>1020</v>
      </c>
      <c r="D950" s="130" t="s">
        <v>1020</v>
      </c>
      <c r="E950" s="130" t="s">
        <v>2396</v>
      </c>
      <c r="F950" s="130" t="s">
        <v>2397</v>
      </c>
      <c r="G950" s="130" t="s">
        <v>137</v>
      </c>
      <c r="H950" s="130" t="s">
        <v>137</v>
      </c>
      <c r="I950" s="130" t="s">
        <v>1713</v>
      </c>
      <c r="J950" s="130" t="s">
        <v>159</v>
      </c>
      <c r="K950" s="130" t="s">
        <v>2396</v>
      </c>
      <c r="L950" s="130" t="s">
        <v>160</v>
      </c>
      <c r="M950" s="128">
        <v>0</v>
      </c>
      <c r="N950" s="128">
        <f t="shared" si="14"/>
        <v>0</v>
      </c>
      <c r="O950" s="130" t="s">
        <v>1020</v>
      </c>
      <c r="P950" s="130" t="s">
        <v>1020</v>
      </c>
      <c r="Q950" s="130" t="s">
        <v>160</v>
      </c>
      <c r="R950" s="128">
        <v>0</v>
      </c>
      <c r="S950" s="130" t="s">
        <v>2420</v>
      </c>
    </row>
    <row r="951" spans="1:19" x14ac:dyDescent="0.25">
      <c r="A951" s="130" t="s">
        <v>2421</v>
      </c>
      <c r="B951" s="130" t="s">
        <v>2422</v>
      </c>
      <c r="C951" s="130" t="s">
        <v>1020</v>
      </c>
      <c r="D951" s="130" t="s">
        <v>1020</v>
      </c>
      <c r="E951" s="130" t="s">
        <v>2421</v>
      </c>
      <c r="F951" s="130" t="s">
        <v>2422</v>
      </c>
      <c r="G951" s="130" t="s">
        <v>137</v>
      </c>
      <c r="H951" s="127" t="s">
        <v>137</v>
      </c>
      <c r="I951" s="130" t="s">
        <v>1713</v>
      </c>
      <c r="J951" s="130" t="s">
        <v>159</v>
      </c>
      <c r="K951" s="130" t="s">
        <v>2421</v>
      </c>
      <c r="L951" s="130" t="s">
        <v>160</v>
      </c>
      <c r="M951" s="128">
        <v>0</v>
      </c>
      <c r="N951" s="128">
        <f t="shared" si="14"/>
        <v>0</v>
      </c>
      <c r="O951" s="130" t="s">
        <v>1020</v>
      </c>
      <c r="P951" s="130" t="s">
        <v>1020</v>
      </c>
      <c r="Q951" s="130" t="s">
        <v>160</v>
      </c>
      <c r="R951" s="128">
        <v>0</v>
      </c>
      <c r="S951" s="130" t="s">
        <v>2420</v>
      </c>
    </row>
    <row r="952" spans="1:19" x14ac:dyDescent="0.25">
      <c r="A952" s="130" t="s">
        <v>2423</v>
      </c>
      <c r="B952" s="130" t="s">
        <v>2424</v>
      </c>
      <c r="C952" s="130" t="s">
        <v>1020</v>
      </c>
      <c r="D952" s="130" t="s">
        <v>1020</v>
      </c>
      <c r="E952" s="130" t="s">
        <v>2423</v>
      </c>
      <c r="F952" s="130" t="s">
        <v>2424</v>
      </c>
      <c r="G952" s="130" t="s">
        <v>137</v>
      </c>
      <c r="H952" s="130" t="s">
        <v>159</v>
      </c>
      <c r="I952" s="130" t="s">
        <v>1713</v>
      </c>
      <c r="J952" s="130" t="s">
        <v>159</v>
      </c>
      <c r="K952" s="130" t="s">
        <v>2423</v>
      </c>
      <c r="L952" s="130" t="s">
        <v>160</v>
      </c>
      <c r="M952" s="128">
        <v>0</v>
      </c>
      <c r="N952" s="128">
        <f t="shared" si="14"/>
        <v>0</v>
      </c>
      <c r="O952" s="130" t="s">
        <v>1020</v>
      </c>
      <c r="P952" s="130" t="s">
        <v>1020</v>
      </c>
      <c r="Q952" s="130" t="s">
        <v>160</v>
      </c>
      <c r="R952" s="128">
        <v>0</v>
      </c>
      <c r="S952" s="130" t="s">
        <v>2424</v>
      </c>
    </row>
    <row r="953" spans="1:19" x14ac:dyDescent="0.25">
      <c r="A953" s="130" t="s">
        <v>2425</v>
      </c>
      <c r="B953" s="130" t="s">
        <v>2426</v>
      </c>
      <c r="C953" s="130" t="s">
        <v>1020</v>
      </c>
      <c r="D953" s="130" t="s">
        <v>1020</v>
      </c>
      <c r="E953" s="130" t="s">
        <v>2425</v>
      </c>
      <c r="F953" s="130" t="s">
        <v>2426</v>
      </c>
      <c r="G953" s="130" t="s">
        <v>137</v>
      </c>
      <c r="H953" s="130" t="s">
        <v>159</v>
      </c>
      <c r="I953" s="130" t="s">
        <v>1713</v>
      </c>
      <c r="J953" s="130" t="s">
        <v>159</v>
      </c>
      <c r="K953" s="130" t="s">
        <v>2425</v>
      </c>
      <c r="L953" s="130" t="s">
        <v>160</v>
      </c>
      <c r="M953" s="128">
        <v>0</v>
      </c>
      <c r="N953" s="128">
        <f t="shared" si="14"/>
        <v>0</v>
      </c>
      <c r="O953" s="130" t="s">
        <v>1020</v>
      </c>
      <c r="P953" s="130" t="s">
        <v>1020</v>
      </c>
      <c r="Q953" s="130" t="s">
        <v>160</v>
      </c>
      <c r="R953" s="128">
        <v>0</v>
      </c>
      <c r="S953" s="130" t="s">
        <v>2426</v>
      </c>
    </row>
    <row r="954" spans="1:19" x14ac:dyDescent="0.25">
      <c r="A954" s="130" t="s">
        <v>2427</v>
      </c>
      <c r="B954" s="130" t="s">
        <v>2428</v>
      </c>
      <c r="C954" s="130" t="s">
        <v>1020</v>
      </c>
      <c r="D954" s="130" t="s">
        <v>1020</v>
      </c>
      <c r="E954" s="130" t="s">
        <v>2427</v>
      </c>
      <c r="F954" s="130" t="s">
        <v>2428</v>
      </c>
      <c r="G954" s="130" t="s">
        <v>137</v>
      </c>
      <c r="H954" s="130" t="s">
        <v>159</v>
      </c>
      <c r="I954" s="130" t="s">
        <v>1713</v>
      </c>
      <c r="J954" s="130" t="s">
        <v>159</v>
      </c>
      <c r="K954" s="130" t="s">
        <v>2427</v>
      </c>
      <c r="L954" s="130" t="s">
        <v>160</v>
      </c>
      <c r="M954" s="128">
        <v>0</v>
      </c>
      <c r="N954" s="128">
        <f t="shared" si="14"/>
        <v>0</v>
      </c>
      <c r="O954" s="130" t="s">
        <v>1020</v>
      </c>
      <c r="P954" s="130" t="s">
        <v>1020</v>
      </c>
      <c r="Q954" s="130" t="s">
        <v>160</v>
      </c>
      <c r="R954" s="128">
        <v>0</v>
      </c>
      <c r="S954" s="130" t="s">
        <v>2428</v>
      </c>
    </row>
    <row r="955" spans="1:19" x14ac:dyDescent="0.25">
      <c r="A955" s="130" t="s">
        <v>2429</v>
      </c>
      <c r="B955" s="130" t="s">
        <v>2430</v>
      </c>
      <c r="C955" s="130" t="s">
        <v>1020</v>
      </c>
      <c r="D955" s="130" t="s">
        <v>1020</v>
      </c>
      <c r="E955" s="130" t="s">
        <v>2429</v>
      </c>
      <c r="F955" s="130" t="s">
        <v>2430</v>
      </c>
      <c r="G955" s="130" t="s">
        <v>137</v>
      </c>
      <c r="H955" s="130" t="s">
        <v>159</v>
      </c>
      <c r="I955" s="130" t="s">
        <v>1713</v>
      </c>
      <c r="J955" s="130" t="s">
        <v>159</v>
      </c>
      <c r="K955" s="130" t="s">
        <v>2429</v>
      </c>
      <c r="L955" s="130" t="s">
        <v>160</v>
      </c>
      <c r="M955" s="128">
        <v>0</v>
      </c>
      <c r="N955" s="128">
        <f t="shared" si="14"/>
        <v>0</v>
      </c>
      <c r="O955" s="130" t="s">
        <v>1020</v>
      </c>
      <c r="P955" s="130" t="s">
        <v>1020</v>
      </c>
      <c r="Q955" s="130" t="s">
        <v>160</v>
      </c>
      <c r="R955" s="128">
        <v>0</v>
      </c>
      <c r="S955" s="130" t="s">
        <v>2430</v>
      </c>
    </row>
    <row r="956" spans="1:19" x14ac:dyDescent="0.25">
      <c r="A956" s="130" t="s">
        <v>2431</v>
      </c>
      <c r="B956" s="130" t="s">
        <v>2432</v>
      </c>
      <c r="C956" s="130" t="s">
        <v>1020</v>
      </c>
      <c r="D956" s="130" t="s">
        <v>1020</v>
      </c>
      <c r="E956" s="130" t="s">
        <v>2431</v>
      </c>
      <c r="F956" s="130" t="s">
        <v>2432</v>
      </c>
      <c r="G956" s="130" t="s">
        <v>137</v>
      </c>
      <c r="H956" s="130" t="s">
        <v>159</v>
      </c>
      <c r="I956" s="130" t="s">
        <v>1713</v>
      </c>
      <c r="J956" s="130" t="s">
        <v>159</v>
      </c>
      <c r="K956" s="130" t="s">
        <v>2431</v>
      </c>
      <c r="L956" s="130" t="s">
        <v>160</v>
      </c>
      <c r="M956" s="128">
        <v>0</v>
      </c>
      <c r="N956" s="128">
        <f t="shared" si="14"/>
        <v>0</v>
      </c>
      <c r="O956" s="130" t="s">
        <v>1020</v>
      </c>
      <c r="P956" s="130" t="s">
        <v>1020</v>
      </c>
      <c r="Q956" s="130" t="s">
        <v>160</v>
      </c>
      <c r="R956" s="128">
        <v>0</v>
      </c>
      <c r="S956" s="130" t="s">
        <v>2432</v>
      </c>
    </row>
    <row r="957" spans="1:19" x14ac:dyDescent="0.25">
      <c r="A957" s="130" t="s">
        <v>2433</v>
      </c>
      <c r="B957" s="130" t="s">
        <v>2434</v>
      </c>
      <c r="C957" s="130" t="s">
        <v>1020</v>
      </c>
      <c r="D957" s="130" t="s">
        <v>1020</v>
      </c>
      <c r="E957" s="130" t="s">
        <v>2435</v>
      </c>
      <c r="F957" s="130" t="s">
        <v>2436</v>
      </c>
      <c r="G957" s="130" t="s">
        <v>137</v>
      </c>
      <c r="I957" s="130" t="s">
        <v>1713</v>
      </c>
      <c r="J957" s="130" t="s">
        <v>159</v>
      </c>
      <c r="K957" s="130" t="s">
        <v>2435</v>
      </c>
      <c r="L957" s="130" t="s">
        <v>160</v>
      </c>
      <c r="M957" s="128">
        <v>0</v>
      </c>
      <c r="N957" s="128">
        <f t="shared" si="14"/>
        <v>0</v>
      </c>
      <c r="O957" s="130" t="s">
        <v>1020</v>
      </c>
      <c r="P957" s="130" t="s">
        <v>1020</v>
      </c>
      <c r="Q957" s="130" t="s">
        <v>160</v>
      </c>
      <c r="R957" s="128">
        <v>0</v>
      </c>
      <c r="S957" s="130" t="s">
        <v>2436</v>
      </c>
    </row>
    <row r="958" spans="1:19" x14ac:dyDescent="0.25">
      <c r="A958" s="130" t="s">
        <v>2437</v>
      </c>
      <c r="B958" s="130" t="s">
        <v>2438</v>
      </c>
      <c r="C958" s="130" t="s">
        <v>1020</v>
      </c>
      <c r="D958" s="130" t="s">
        <v>1020</v>
      </c>
      <c r="E958" s="130" t="s">
        <v>2435</v>
      </c>
      <c r="F958" s="130" t="s">
        <v>2436</v>
      </c>
      <c r="G958" s="130" t="s">
        <v>137</v>
      </c>
      <c r="I958" s="130" t="s">
        <v>1713</v>
      </c>
      <c r="J958" s="130" t="s">
        <v>159</v>
      </c>
      <c r="K958" s="130" t="s">
        <v>2435</v>
      </c>
      <c r="L958" s="130" t="s">
        <v>160</v>
      </c>
      <c r="M958" s="128">
        <v>0</v>
      </c>
      <c r="N958" s="128">
        <f t="shared" si="14"/>
        <v>0</v>
      </c>
      <c r="O958" s="130" t="s">
        <v>1020</v>
      </c>
      <c r="P958" s="130" t="s">
        <v>1020</v>
      </c>
      <c r="Q958" s="130" t="s">
        <v>160</v>
      </c>
      <c r="R958" s="128">
        <v>0</v>
      </c>
      <c r="S958" s="130" t="s">
        <v>2436</v>
      </c>
    </row>
    <row r="959" spans="1:19" x14ac:dyDescent="0.25">
      <c r="A959" s="130" t="s">
        <v>2439</v>
      </c>
      <c r="B959" s="130" t="s">
        <v>2440</v>
      </c>
      <c r="C959" s="130" t="s">
        <v>1020</v>
      </c>
      <c r="D959" s="130" t="s">
        <v>1020</v>
      </c>
      <c r="E959" s="130" t="s">
        <v>2435</v>
      </c>
      <c r="F959" s="130" t="s">
        <v>2436</v>
      </c>
      <c r="G959" s="130" t="s">
        <v>137</v>
      </c>
      <c r="I959" s="130" t="s">
        <v>1713</v>
      </c>
      <c r="J959" s="130" t="s">
        <v>159</v>
      </c>
      <c r="K959" s="130" t="s">
        <v>2435</v>
      </c>
      <c r="L959" s="130" t="s">
        <v>160</v>
      </c>
      <c r="M959" s="128">
        <v>0</v>
      </c>
      <c r="N959" s="128">
        <f t="shared" si="14"/>
        <v>0</v>
      </c>
      <c r="O959" s="130" t="s">
        <v>1020</v>
      </c>
      <c r="P959" s="130" t="s">
        <v>1020</v>
      </c>
      <c r="Q959" s="130" t="s">
        <v>160</v>
      </c>
      <c r="R959" s="128">
        <v>0</v>
      </c>
      <c r="S959" s="130" t="s">
        <v>2436</v>
      </c>
    </row>
    <row r="960" spans="1:19" x14ac:dyDescent="0.25">
      <c r="A960" s="130" t="s">
        <v>2441</v>
      </c>
      <c r="B960" s="130" t="s">
        <v>2442</v>
      </c>
      <c r="C960" s="130" t="s">
        <v>1020</v>
      </c>
      <c r="D960" s="130" t="s">
        <v>1020</v>
      </c>
      <c r="E960" s="130" t="s">
        <v>2443</v>
      </c>
      <c r="F960" s="130" t="s">
        <v>2444</v>
      </c>
      <c r="G960" s="130" t="s">
        <v>137</v>
      </c>
      <c r="H960" s="130" t="s">
        <v>159</v>
      </c>
      <c r="I960" s="130" t="s">
        <v>1713</v>
      </c>
      <c r="J960" s="130" t="s">
        <v>159</v>
      </c>
      <c r="K960" s="130" t="s">
        <v>2443</v>
      </c>
      <c r="L960" s="130" t="s">
        <v>160</v>
      </c>
      <c r="M960" s="128">
        <v>0</v>
      </c>
      <c r="N960" s="128">
        <f t="shared" si="14"/>
        <v>0</v>
      </c>
      <c r="O960" s="130" t="s">
        <v>1020</v>
      </c>
      <c r="P960" s="130" t="s">
        <v>1020</v>
      </c>
      <c r="Q960" s="130" t="s">
        <v>160</v>
      </c>
      <c r="R960" s="128">
        <v>0</v>
      </c>
      <c r="S960" s="130" t="s">
        <v>2444</v>
      </c>
    </row>
    <row r="961" spans="1:19" x14ac:dyDescent="0.25">
      <c r="A961" s="130" t="s">
        <v>2445</v>
      </c>
      <c r="B961" s="130" t="s">
        <v>2446</v>
      </c>
      <c r="C961" s="130" t="s">
        <v>1020</v>
      </c>
      <c r="D961" s="130" t="s">
        <v>1020</v>
      </c>
      <c r="E961" s="130" t="s">
        <v>2443</v>
      </c>
      <c r="F961" s="130" t="s">
        <v>2444</v>
      </c>
      <c r="G961" s="130" t="s">
        <v>137</v>
      </c>
      <c r="H961" s="130" t="s">
        <v>159</v>
      </c>
      <c r="I961" s="130" t="s">
        <v>1713</v>
      </c>
      <c r="J961" s="130" t="s">
        <v>159</v>
      </c>
      <c r="K961" s="130" t="s">
        <v>2443</v>
      </c>
      <c r="L961" s="130" t="s">
        <v>160</v>
      </c>
      <c r="M961" s="128">
        <v>0</v>
      </c>
      <c r="N961" s="128">
        <f t="shared" si="14"/>
        <v>0</v>
      </c>
      <c r="O961" s="130" t="s">
        <v>1020</v>
      </c>
      <c r="P961" s="130" t="s">
        <v>1020</v>
      </c>
      <c r="Q961" s="130" t="s">
        <v>160</v>
      </c>
      <c r="R961" s="128">
        <v>0</v>
      </c>
      <c r="S961" s="130" t="s">
        <v>2444</v>
      </c>
    </row>
    <row r="962" spans="1:19" x14ac:dyDescent="0.25">
      <c r="A962" s="130" t="s">
        <v>2447</v>
      </c>
      <c r="B962" s="130" t="s">
        <v>2448</v>
      </c>
      <c r="C962" s="130" t="s">
        <v>1020</v>
      </c>
      <c r="D962" s="130" t="s">
        <v>1020</v>
      </c>
      <c r="E962" s="130" t="s">
        <v>2443</v>
      </c>
      <c r="F962" s="130" t="s">
        <v>2444</v>
      </c>
      <c r="G962" s="130" t="s">
        <v>137</v>
      </c>
      <c r="H962" s="130" t="s">
        <v>159</v>
      </c>
      <c r="I962" s="130" t="s">
        <v>1713</v>
      </c>
      <c r="J962" s="130" t="s">
        <v>159</v>
      </c>
      <c r="K962" s="130" t="s">
        <v>2443</v>
      </c>
      <c r="L962" s="130" t="s">
        <v>160</v>
      </c>
      <c r="M962" s="128">
        <v>0</v>
      </c>
      <c r="N962" s="128">
        <f t="shared" si="14"/>
        <v>0</v>
      </c>
      <c r="O962" s="130" t="s">
        <v>1020</v>
      </c>
      <c r="P962" s="130" t="s">
        <v>1020</v>
      </c>
      <c r="Q962" s="130" t="s">
        <v>160</v>
      </c>
      <c r="R962" s="128">
        <v>0</v>
      </c>
      <c r="S962" s="130" t="s">
        <v>2444</v>
      </c>
    </row>
    <row r="963" spans="1:19" x14ac:dyDescent="0.25">
      <c r="A963" s="130" t="s">
        <v>2449</v>
      </c>
      <c r="B963" s="130" t="s">
        <v>2450</v>
      </c>
      <c r="C963" s="130" t="s">
        <v>1020</v>
      </c>
      <c r="D963" s="130" t="s">
        <v>1020</v>
      </c>
      <c r="E963" s="130" t="s">
        <v>2451</v>
      </c>
      <c r="F963" s="130" t="s">
        <v>2452</v>
      </c>
      <c r="G963" s="130" t="s">
        <v>137</v>
      </c>
      <c r="H963" s="130" t="s">
        <v>159</v>
      </c>
      <c r="I963" s="130" t="s">
        <v>1713</v>
      </c>
      <c r="J963" s="130" t="s">
        <v>159</v>
      </c>
      <c r="K963" s="130" t="s">
        <v>2451</v>
      </c>
      <c r="L963" s="130" t="s">
        <v>160</v>
      </c>
      <c r="M963" s="128">
        <v>0</v>
      </c>
      <c r="N963" s="128">
        <f t="shared" ref="N963:N1026" si="15">M963-L963</f>
        <v>0</v>
      </c>
      <c r="O963" s="130" t="s">
        <v>1020</v>
      </c>
      <c r="P963" s="130" t="s">
        <v>1020</v>
      </c>
      <c r="Q963" s="130" t="s">
        <v>160</v>
      </c>
      <c r="R963" s="128">
        <v>0</v>
      </c>
      <c r="S963" s="130" t="s">
        <v>2452</v>
      </c>
    </row>
    <row r="964" spans="1:19" x14ac:dyDescent="0.25">
      <c r="A964" s="130" t="s">
        <v>2453</v>
      </c>
      <c r="B964" s="130" t="s">
        <v>2454</v>
      </c>
      <c r="C964" s="130" t="s">
        <v>1020</v>
      </c>
      <c r="D964" s="130" t="s">
        <v>1020</v>
      </c>
      <c r="E964" s="130" t="s">
        <v>2451</v>
      </c>
      <c r="F964" s="130" t="s">
        <v>2452</v>
      </c>
      <c r="G964" s="130" t="s">
        <v>137</v>
      </c>
      <c r="H964" s="130" t="s">
        <v>159</v>
      </c>
      <c r="I964" s="130" t="s">
        <v>1713</v>
      </c>
      <c r="J964" s="130" t="s">
        <v>159</v>
      </c>
      <c r="K964" s="130" t="s">
        <v>2451</v>
      </c>
      <c r="L964" s="130" t="s">
        <v>160</v>
      </c>
      <c r="M964" s="128">
        <v>0</v>
      </c>
      <c r="N964" s="128">
        <f t="shared" si="15"/>
        <v>0</v>
      </c>
      <c r="O964" s="130" t="s">
        <v>1020</v>
      </c>
      <c r="P964" s="130" t="s">
        <v>1020</v>
      </c>
      <c r="Q964" s="130" t="s">
        <v>160</v>
      </c>
      <c r="R964" s="128">
        <v>0</v>
      </c>
      <c r="S964" s="130" t="s">
        <v>2452</v>
      </c>
    </row>
    <row r="965" spans="1:19" x14ac:dyDescent="0.25">
      <c r="A965" s="130" t="s">
        <v>2455</v>
      </c>
      <c r="B965" s="130" t="s">
        <v>2456</v>
      </c>
      <c r="C965" s="130" t="s">
        <v>1020</v>
      </c>
      <c r="D965" s="130" t="s">
        <v>1020</v>
      </c>
      <c r="E965" s="130" t="s">
        <v>2455</v>
      </c>
      <c r="F965" s="130" t="s">
        <v>2456</v>
      </c>
      <c r="G965" s="130" t="s">
        <v>137</v>
      </c>
      <c r="H965" s="130" t="s">
        <v>159</v>
      </c>
      <c r="I965" s="130" t="s">
        <v>1713</v>
      </c>
      <c r="J965" s="130" t="s">
        <v>159</v>
      </c>
      <c r="K965" s="130" t="s">
        <v>2455</v>
      </c>
      <c r="L965" s="130" t="s">
        <v>160</v>
      </c>
      <c r="M965" s="128">
        <v>0</v>
      </c>
      <c r="N965" s="128">
        <f t="shared" si="15"/>
        <v>0</v>
      </c>
      <c r="O965" s="130" t="s">
        <v>1020</v>
      </c>
      <c r="P965" s="130" t="s">
        <v>1020</v>
      </c>
      <c r="Q965" s="130" t="s">
        <v>160</v>
      </c>
      <c r="R965" s="128">
        <v>0</v>
      </c>
      <c r="S965" s="130" t="s">
        <v>2456</v>
      </c>
    </row>
    <row r="966" spans="1:19" x14ac:dyDescent="0.25">
      <c r="A966" s="130" t="s">
        <v>2457</v>
      </c>
      <c r="B966" s="130" t="s">
        <v>2458</v>
      </c>
      <c r="C966" s="130" t="s">
        <v>1020</v>
      </c>
      <c r="D966" s="130" t="s">
        <v>1020</v>
      </c>
      <c r="E966" s="130" t="s">
        <v>2457</v>
      </c>
      <c r="F966" s="130" t="s">
        <v>2458</v>
      </c>
      <c r="G966" s="130" t="s">
        <v>137</v>
      </c>
      <c r="H966" s="130" t="s">
        <v>159</v>
      </c>
      <c r="I966" s="130" t="s">
        <v>1713</v>
      </c>
      <c r="J966" s="130" t="s">
        <v>159</v>
      </c>
      <c r="K966" s="130" t="s">
        <v>2457</v>
      </c>
      <c r="L966" s="130" t="s">
        <v>160</v>
      </c>
      <c r="M966" s="128">
        <v>0</v>
      </c>
      <c r="N966" s="128">
        <f t="shared" si="15"/>
        <v>0</v>
      </c>
      <c r="O966" s="130" t="s">
        <v>1020</v>
      </c>
      <c r="P966" s="130" t="s">
        <v>1020</v>
      </c>
      <c r="Q966" s="130" t="s">
        <v>160</v>
      </c>
      <c r="R966" s="128">
        <v>0</v>
      </c>
      <c r="S966" s="130" t="s">
        <v>2458</v>
      </c>
    </row>
    <row r="967" spans="1:19" x14ac:dyDescent="0.25">
      <c r="A967" s="130" t="s">
        <v>2459</v>
      </c>
      <c r="B967" s="130" t="s">
        <v>2460</v>
      </c>
      <c r="C967" s="130" t="s">
        <v>1020</v>
      </c>
      <c r="D967" s="130" t="s">
        <v>1020</v>
      </c>
      <c r="E967" s="130" t="s">
        <v>2459</v>
      </c>
      <c r="F967" s="130" t="s">
        <v>2460</v>
      </c>
      <c r="G967" s="130" t="s">
        <v>137</v>
      </c>
      <c r="H967" s="130" t="s">
        <v>159</v>
      </c>
      <c r="I967" s="130" t="s">
        <v>1713</v>
      </c>
      <c r="J967" s="130" t="s">
        <v>159</v>
      </c>
      <c r="K967" s="130" t="s">
        <v>2459</v>
      </c>
      <c r="L967" s="130" t="s">
        <v>160</v>
      </c>
      <c r="M967" s="128">
        <v>0</v>
      </c>
      <c r="N967" s="128">
        <f t="shared" si="15"/>
        <v>0</v>
      </c>
      <c r="O967" s="130" t="s">
        <v>1020</v>
      </c>
      <c r="P967" s="130" t="s">
        <v>1020</v>
      </c>
      <c r="Q967" s="130" t="s">
        <v>160</v>
      </c>
      <c r="R967" s="128">
        <v>0</v>
      </c>
      <c r="S967" s="130" t="s">
        <v>2460</v>
      </c>
    </row>
    <row r="968" spans="1:19" x14ac:dyDescent="0.25">
      <c r="A968" s="130" t="s">
        <v>2461</v>
      </c>
      <c r="B968" s="130" t="s">
        <v>2462</v>
      </c>
      <c r="C968" s="130" t="s">
        <v>1020</v>
      </c>
      <c r="D968" s="130" t="s">
        <v>1020</v>
      </c>
      <c r="E968" s="130" t="s">
        <v>2461</v>
      </c>
      <c r="F968" s="130" t="s">
        <v>2462</v>
      </c>
      <c r="G968" s="130" t="s">
        <v>137</v>
      </c>
      <c r="H968" s="130" t="s">
        <v>159</v>
      </c>
      <c r="I968" s="130" t="s">
        <v>1713</v>
      </c>
      <c r="J968" s="130" t="s">
        <v>159</v>
      </c>
      <c r="K968" s="130" t="s">
        <v>2461</v>
      </c>
      <c r="L968" s="130" t="s">
        <v>160</v>
      </c>
      <c r="M968" s="128">
        <v>0</v>
      </c>
      <c r="N968" s="128">
        <f t="shared" si="15"/>
        <v>0</v>
      </c>
      <c r="O968" s="130" t="s">
        <v>1020</v>
      </c>
      <c r="P968" s="130" t="s">
        <v>1020</v>
      </c>
      <c r="Q968" s="130" t="s">
        <v>160</v>
      </c>
      <c r="R968" s="128">
        <v>0</v>
      </c>
      <c r="S968" s="130" t="s">
        <v>2462</v>
      </c>
    </row>
    <row r="969" spans="1:19" x14ac:dyDescent="0.25">
      <c r="A969" s="130" t="s">
        <v>2463</v>
      </c>
      <c r="B969" s="130" t="s">
        <v>2464</v>
      </c>
      <c r="C969" s="130" t="s">
        <v>1020</v>
      </c>
      <c r="D969" s="130" t="s">
        <v>1020</v>
      </c>
      <c r="E969" s="130" t="s">
        <v>2463</v>
      </c>
      <c r="F969" s="130" t="s">
        <v>2464</v>
      </c>
      <c r="G969" s="130" t="s">
        <v>137</v>
      </c>
      <c r="H969" s="130" t="s">
        <v>159</v>
      </c>
      <c r="I969" s="130" t="s">
        <v>1713</v>
      </c>
      <c r="J969" s="130" t="s">
        <v>159</v>
      </c>
      <c r="K969" s="130" t="s">
        <v>2463</v>
      </c>
      <c r="L969" s="130" t="s">
        <v>160</v>
      </c>
      <c r="M969" s="128">
        <v>0</v>
      </c>
      <c r="N969" s="128">
        <f t="shared" si="15"/>
        <v>0</v>
      </c>
      <c r="O969" s="130" t="s">
        <v>1020</v>
      </c>
      <c r="P969" s="130" t="s">
        <v>1020</v>
      </c>
      <c r="Q969" s="130" t="s">
        <v>160</v>
      </c>
      <c r="R969" s="128">
        <v>0</v>
      </c>
      <c r="S969" s="130" t="s">
        <v>2464</v>
      </c>
    </row>
    <row r="970" spans="1:19" x14ac:dyDescent="0.25">
      <c r="A970" s="130" t="s">
        <v>2465</v>
      </c>
      <c r="B970" s="130" t="s">
        <v>2466</v>
      </c>
      <c r="C970" s="130" t="s">
        <v>1020</v>
      </c>
      <c r="D970" s="130" t="s">
        <v>1020</v>
      </c>
      <c r="E970" s="130" t="s">
        <v>2465</v>
      </c>
      <c r="F970" s="130" t="s">
        <v>2466</v>
      </c>
      <c r="G970" s="130" t="s">
        <v>137</v>
      </c>
      <c r="H970" s="130" t="s">
        <v>159</v>
      </c>
      <c r="I970" s="130" t="s">
        <v>1713</v>
      </c>
      <c r="J970" s="130" t="s">
        <v>159</v>
      </c>
      <c r="K970" s="130" t="s">
        <v>2465</v>
      </c>
      <c r="L970" s="130" t="s">
        <v>160</v>
      </c>
      <c r="M970" s="128">
        <v>0</v>
      </c>
      <c r="N970" s="128">
        <f t="shared" si="15"/>
        <v>0</v>
      </c>
      <c r="O970" s="130" t="s">
        <v>1020</v>
      </c>
      <c r="P970" s="130" t="s">
        <v>1020</v>
      </c>
      <c r="Q970" s="130" t="s">
        <v>160</v>
      </c>
      <c r="R970" s="128">
        <v>0</v>
      </c>
      <c r="S970" s="130" t="s">
        <v>2466</v>
      </c>
    </row>
    <row r="971" spans="1:19" x14ac:dyDescent="0.25">
      <c r="A971" s="130" t="s">
        <v>2467</v>
      </c>
      <c r="B971" s="130" t="s">
        <v>2468</v>
      </c>
      <c r="C971" s="130" t="s">
        <v>1020</v>
      </c>
      <c r="D971" s="130" t="s">
        <v>1020</v>
      </c>
      <c r="E971" s="130" t="s">
        <v>2467</v>
      </c>
      <c r="F971" s="130" t="s">
        <v>2468</v>
      </c>
      <c r="G971" s="130" t="s">
        <v>137</v>
      </c>
      <c r="H971" s="130" t="s">
        <v>159</v>
      </c>
      <c r="I971" s="130" t="s">
        <v>1713</v>
      </c>
      <c r="J971" s="130" t="s">
        <v>159</v>
      </c>
      <c r="K971" s="130" t="s">
        <v>2467</v>
      </c>
      <c r="L971" s="130" t="s">
        <v>160</v>
      </c>
      <c r="M971" s="128">
        <v>0</v>
      </c>
      <c r="N971" s="128">
        <f t="shared" si="15"/>
        <v>0</v>
      </c>
      <c r="O971" s="130" t="s">
        <v>1020</v>
      </c>
      <c r="P971" s="130" t="s">
        <v>1020</v>
      </c>
      <c r="Q971" s="130" t="s">
        <v>160</v>
      </c>
      <c r="R971" s="128">
        <v>0</v>
      </c>
      <c r="S971" s="130" t="s">
        <v>2468</v>
      </c>
    </row>
    <row r="972" spans="1:19" x14ac:dyDescent="0.25">
      <c r="A972" s="130" t="s">
        <v>2469</v>
      </c>
      <c r="B972" s="130" t="s">
        <v>2470</v>
      </c>
      <c r="C972" s="130" t="s">
        <v>1020</v>
      </c>
      <c r="D972" s="130" t="s">
        <v>1020</v>
      </c>
      <c r="E972" s="130" t="s">
        <v>2469</v>
      </c>
      <c r="F972" s="130" t="s">
        <v>2470</v>
      </c>
      <c r="G972" s="130" t="s">
        <v>137</v>
      </c>
      <c r="H972" s="130" t="s">
        <v>159</v>
      </c>
      <c r="I972" s="130" t="s">
        <v>1713</v>
      </c>
      <c r="J972" s="130" t="s">
        <v>159</v>
      </c>
      <c r="K972" s="130" t="s">
        <v>2469</v>
      </c>
      <c r="L972" s="130" t="s">
        <v>160</v>
      </c>
      <c r="M972" s="128">
        <v>0</v>
      </c>
      <c r="N972" s="128">
        <f t="shared" si="15"/>
        <v>0</v>
      </c>
      <c r="O972" s="130" t="s">
        <v>1020</v>
      </c>
      <c r="P972" s="130" t="s">
        <v>1020</v>
      </c>
      <c r="Q972" s="130" t="s">
        <v>160</v>
      </c>
      <c r="R972" s="128">
        <v>0</v>
      </c>
      <c r="S972" s="130" t="s">
        <v>2470</v>
      </c>
    </row>
    <row r="973" spans="1:19" x14ac:dyDescent="0.25">
      <c r="A973" s="130" t="s">
        <v>2471</v>
      </c>
      <c r="B973" s="130" t="s">
        <v>2472</v>
      </c>
      <c r="C973" s="130" t="s">
        <v>1020</v>
      </c>
      <c r="D973" s="130" t="s">
        <v>1020</v>
      </c>
      <c r="E973" s="130" t="s">
        <v>2471</v>
      </c>
      <c r="F973" s="130" t="s">
        <v>2472</v>
      </c>
      <c r="G973" s="130" t="s">
        <v>137</v>
      </c>
      <c r="H973" s="130" t="s">
        <v>159</v>
      </c>
      <c r="I973" s="130" t="s">
        <v>1713</v>
      </c>
      <c r="J973" s="130" t="s">
        <v>159</v>
      </c>
      <c r="K973" s="130" t="s">
        <v>2471</v>
      </c>
      <c r="L973" s="130" t="s">
        <v>160</v>
      </c>
      <c r="M973" s="128">
        <v>0</v>
      </c>
      <c r="N973" s="128">
        <f t="shared" si="15"/>
        <v>0</v>
      </c>
      <c r="O973" s="130" t="s">
        <v>1020</v>
      </c>
      <c r="P973" s="130" t="s">
        <v>1020</v>
      </c>
      <c r="Q973" s="130" t="s">
        <v>160</v>
      </c>
      <c r="R973" s="128">
        <v>0</v>
      </c>
      <c r="S973" s="130" t="s">
        <v>2472</v>
      </c>
    </row>
    <row r="974" spans="1:19" x14ac:dyDescent="0.25">
      <c r="A974" s="130" t="s">
        <v>2473</v>
      </c>
      <c r="B974" s="130" t="s">
        <v>2474</v>
      </c>
      <c r="C974" s="130" t="s">
        <v>134</v>
      </c>
      <c r="D974" s="130" t="s">
        <v>134</v>
      </c>
      <c r="E974" s="130" t="s">
        <v>2435</v>
      </c>
      <c r="F974" s="130" t="s">
        <v>2436</v>
      </c>
      <c r="G974" s="130" t="s">
        <v>137</v>
      </c>
      <c r="I974" s="130" t="s">
        <v>1713</v>
      </c>
      <c r="J974" s="130" t="s">
        <v>159</v>
      </c>
      <c r="K974" s="130" t="s">
        <v>2435</v>
      </c>
      <c r="L974" s="130" t="s">
        <v>417</v>
      </c>
      <c r="M974" s="128">
        <v>11</v>
      </c>
      <c r="N974" s="128">
        <f t="shared" si="15"/>
        <v>-1</v>
      </c>
      <c r="O974" s="130" t="s">
        <v>134</v>
      </c>
      <c r="P974" s="130" t="s">
        <v>134</v>
      </c>
      <c r="Q974" s="130" t="s">
        <v>417</v>
      </c>
      <c r="R974" s="128">
        <v>11</v>
      </c>
      <c r="S974" s="130" t="s">
        <v>2475</v>
      </c>
    </row>
    <row r="975" spans="1:19" x14ac:dyDescent="0.25">
      <c r="A975" s="130" t="s">
        <v>2476</v>
      </c>
      <c r="B975" s="130" t="s">
        <v>2477</v>
      </c>
      <c r="C975" s="130" t="s">
        <v>134</v>
      </c>
      <c r="D975" s="130" t="s">
        <v>134</v>
      </c>
      <c r="E975" s="130" t="s">
        <v>2435</v>
      </c>
      <c r="F975" s="130" t="s">
        <v>2436</v>
      </c>
      <c r="G975" s="130" t="s">
        <v>137</v>
      </c>
      <c r="I975" s="130" t="s">
        <v>1713</v>
      </c>
      <c r="J975" s="130" t="s">
        <v>159</v>
      </c>
      <c r="K975" s="130" t="s">
        <v>2435</v>
      </c>
      <c r="L975" s="130" t="s">
        <v>417</v>
      </c>
      <c r="M975" s="128">
        <v>11</v>
      </c>
      <c r="N975" s="128">
        <f t="shared" si="15"/>
        <v>-1</v>
      </c>
      <c r="O975" s="130" t="s">
        <v>134</v>
      </c>
      <c r="P975" s="130" t="s">
        <v>134</v>
      </c>
      <c r="Q975" s="130" t="s">
        <v>417</v>
      </c>
      <c r="R975" s="128">
        <v>11</v>
      </c>
      <c r="S975" s="130" t="s">
        <v>2475</v>
      </c>
    </row>
    <row r="976" spans="1:19" x14ac:dyDescent="0.25">
      <c r="A976" s="130" t="s">
        <v>2478</v>
      </c>
      <c r="B976" s="130" t="s">
        <v>2479</v>
      </c>
      <c r="C976" s="130" t="s">
        <v>134</v>
      </c>
      <c r="D976" s="130" t="s">
        <v>134</v>
      </c>
      <c r="E976" s="130" t="s">
        <v>2435</v>
      </c>
      <c r="F976" s="130" t="s">
        <v>2436</v>
      </c>
      <c r="G976" s="130" t="s">
        <v>137</v>
      </c>
      <c r="I976" s="130" t="s">
        <v>1713</v>
      </c>
      <c r="J976" s="130" t="s">
        <v>159</v>
      </c>
      <c r="K976" s="130" t="s">
        <v>2435</v>
      </c>
      <c r="L976" s="130" t="s">
        <v>417</v>
      </c>
      <c r="M976" s="128">
        <v>11</v>
      </c>
      <c r="N976" s="128">
        <f t="shared" si="15"/>
        <v>-1</v>
      </c>
      <c r="O976" s="130" t="s">
        <v>134</v>
      </c>
      <c r="P976" s="130" t="s">
        <v>134</v>
      </c>
      <c r="Q976" s="130" t="s">
        <v>417</v>
      </c>
      <c r="R976" s="128">
        <v>11</v>
      </c>
      <c r="S976" s="130" t="s">
        <v>2475</v>
      </c>
    </row>
    <row r="977" spans="1:19" x14ac:dyDescent="0.25">
      <c r="A977" s="130" t="s">
        <v>2480</v>
      </c>
      <c r="B977" s="130" t="s">
        <v>2481</v>
      </c>
      <c r="C977" s="130" t="s">
        <v>134</v>
      </c>
      <c r="D977" s="130" t="s">
        <v>134</v>
      </c>
      <c r="E977" s="130" t="s">
        <v>2435</v>
      </c>
      <c r="F977" s="130" t="s">
        <v>2436</v>
      </c>
      <c r="G977" s="130" t="s">
        <v>137</v>
      </c>
      <c r="I977" s="130" t="s">
        <v>1713</v>
      </c>
      <c r="J977" s="130" t="s">
        <v>159</v>
      </c>
      <c r="K977" s="130" t="s">
        <v>2435</v>
      </c>
      <c r="L977" s="130" t="s">
        <v>417</v>
      </c>
      <c r="M977" s="128">
        <v>11</v>
      </c>
      <c r="N977" s="128">
        <f t="shared" si="15"/>
        <v>-1</v>
      </c>
      <c r="O977" s="130" t="s">
        <v>134</v>
      </c>
      <c r="P977" s="130" t="s">
        <v>134</v>
      </c>
      <c r="Q977" s="130" t="s">
        <v>417</v>
      </c>
      <c r="R977" s="128">
        <v>11</v>
      </c>
      <c r="S977" s="130" t="s">
        <v>2475</v>
      </c>
    </row>
    <row r="978" spans="1:19" x14ac:dyDescent="0.25">
      <c r="A978" s="130" t="s">
        <v>2482</v>
      </c>
      <c r="B978" s="130" t="s">
        <v>2483</v>
      </c>
      <c r="C978" s="130" t="s">
        <v>134</v>
      </c>
      <c r="D978" s="130" t="s">
        <v>134</v>
      </c>
      <c r="E978" s="130" t="s">
        <v>2435</v>
      </c>
      <c r="F978" s="130" t="s">
        <v>2436</v>
      </c>
      <c r="G978" s="130" t="s">
        <v>137</v>
      </c>
      <c r="I978" s="130" t="s">
        <v>1713</v>
      </c>
      <c r="J978" s="130" t="s">
        <v>159</v>
      </c>
      <c r="K978" s="130" t="s">
        <v>2435</v>
      </c>
      <c r="L978" s="130" t="s">
        <v>417</v>
      </c>
      <c r="M978" s="128">
        <v>11</v>
      </c>
      <c r="N978" s="128">
        <f t="shared" si="15"/>
        <v>-1</v>
      </c>
      <c r="O978" s="130" t="s">
        <v>134</v>
      </c>
      <c r="P978" s="130" t="s">
        <v>134</v>
      </c>
      <c r="Q978" s="130" t="s">
        <v>417</v>
      </c>
      <c r="R978" s="128">
        <v>11</v>
      </c>
      <c r="S978" s="130" t="s">
        <v>2475</v>
      </c>
    </row>
    <row r="979" spans="1:19" x14ac:dyDescent="0.25">
      <c r="A979" s="130" t="s">
        <v>2484</v>
      </c>
      <c r="B979" s="130" t="s">
        <v>2485</v>
      </c>
      <c r="C979" s="130" t="s">
        <v>134</v>
      </c>
      <c r="D979" s="130" t="s">
        <v>134</v>
      </c>
      <c r="E979" s="130" t="s">
        <v>2435</v>
      </c>
      <c r="F979" s="130" t="s">
        <v>2436</v>
      </c>
      <c r="G979" s="130" t="s">
        <v>137</v>
      </c>
      <c r="I979" s="130" t="s">
        <v>1713</v>
      </c>
      <c r="J979" s="130" t="s">
        <v>159</v>
      </c>
      <c r="K979" s="130" t="s">
        <v>2435</v>
      </c>
      <c r="L979" s="130" t="s">
        <v>417</v>
      </c>
      <c r="M979" s="128">
        <v>11</v>
      </c>
      <c r="N979" s="128">
        <f t="shared" si="15"/>
        <v>-1</v>
      </c>
      <c r="O979" s="130" t="s">
        <v>134</v>
      </c>
      <c r="P979" s="130" t="s">
        <v>134</v>
      </c>
      <c r="Q979" s="130" t="s">
        <v>417</v>
      </c>
      <c r="R979" s="128">
        <v>11</v>
      </c>
      <c r="S979" s="130" t="s">
        <v>2475</v>
      </c>
    </row>
    <row r="980" spans="1:19" x14ac:dyDescent="0.25">
      <c r="A980" s="130" t="s">
        <v>2486</v>
      </c>
      <c r="B980" s="130" t="s">
        <v>2487</v>
      </c>
      <c r="C980" s="130" t="s">
        <v>134</v>
      </c>
      <c r="D980" s="130" t="s">
        <v>134</v>
      </c>
      <c r="E980" s="130" t="s">
        <v>2435</v>
      </c>
      <c r="F980" s="130" t="s">
        <v>2436</v>
      </c>
      <c r="G980" s="130" t="s">
        <v>137</v>
      </c>
      <c r="I980" s="130" t="s">
        <v>1713</v>
      </c>
      <c r="J980" s="130" t="s">
        <v>159</v>
      </c>
      <c r="K980" s="130" t="s">
        <v>2435</v>
      </c>
      <c r="L980" s="130" t="s">
        <v>417</v>
      </c>
      <c r="M980" s="128">
        <v>11</v>
      </c>
      <c r="N980" s="128">
        <f t="shared" si="15"/>
        <v>-1</v>
      </c>
      <c r="O980" s="130" t="s">
        <v>134</v>
      </c>
      <c r="P980" s="130" t="s">
        <v>134</v>
      </c>
      <c r="Q980" s="130" t="s">
        <v>417</v>
      </c>
      <c r="R980" s="128">
        <v>11</v>
      </c>
      <c r="S980" s="130" t="s">
        <v>2475</v>
      </c>
    </row>
    <row r="981" spans="1:19" x14ac:dyDescent="0.25">
      <c r="A981" s="130" t="s">
        <v>2488</v>
      </c>
      <c r="B981" s="130" t="s">
        <v>2489</v>
      </c>
      <c r="C981" s="130" t="s">
        <v>134</v>
      </c>
      <c r="D981" s="130" t="s">
        <v>134</v>
      </c>
      <c r="E981" s="130" t="s">
        <v>2435</v>
      </c>
      <c r="F981" s="130" t="s">
        <v>2436</v>
      </c>
      <c r="G981" s="130" t="s">
        <v>137</v>
      </c>
      <c r="I981" s="130" t="s">
        <v>1713</v>
      </c>
      <c r="J981" s="130" t="s">
        <v>159</v>
      </c>
      <c r="K981" s="130" t="s">
        <v>2435</v>
      </c>
      <c r="L981" s="130" t="s">
        <v>417</v>
      </c>
      <c r="M981" s="128">
        <v>11</v>
      </c>
      <c r="N981" s="128">
        <f t="shared" si="15"/>
        <v>-1</v>
      </c>
      <c r="O981" s="130" t="s">
        <v>134</v>
      </c>
      <c r="P981" s="130" t="s">
        <v>134</v>
      </c>
      <c r="Q981" s="130" t="s">
        <v>417</v>
      </c>
      <c r="R981" s="128">
        <v>11</v>
      </c>
      <c r="S981" s="130" t="s">
        <v>2475</v>
      </c>
    </row>
    <row r="982" spans="1:19" x14ac:dyDescent="0.25">
      <c r="A982" s="130" t="s">
        <v>2490</v>
      </c>
      <c r="B982" s="130" t="s">
        <v>2491</v>
      </c>
      <c r="C982" s="130" t="s">
        <v>1020</v>
      </c>
      <c r="D982" s="130" t="s">
        <v>1020</v>
      </c>
      <c r="E982" s="130" t="s">
        <v>2490</v>
      </c>
      <c r="F982" s="130" t="s">
        <v>2491</v>
      </c>
      <c r="G982" s="130" t="s">
        <v>137</v>
      </c>
      <c r="H982" s="130" t="s">
        <v>159</v>
      </c>
      <c r="I982" s="130" t="s">
        <v>1713</v>
      </c>
      <c r="J982" s="130" t="s">
        <v>159</v>
      </c>
      <c r="K982" s="130" t="s">
        <v>2490</v>
      </c>
      <c r="L982" s="130" t="s">
        <v>160</v>
      </c>
      <c r="M982" s="128">
        <v>0</v>
      </c>
      <c r="N982" s="128">
        <f t="shared" si="15"/>
        <v>0</v>
      </c>
      <c r="O982" s="130" t="s">
        <v>1020</v>
      </c>
      <c r="P982" s="130" t="s">
        <v>1020</v>
      </c>
      <c r="Q982" s="130" t="s">
        <v>160</v>
      </c>
      <c r="R982" s="128">
        <v>0</v>
      </c>
      <c r="S982" s="130" t="s">
        <v>2491</v>
      </c>
    </row>
    <row r="983" spans="1:19" x14ac:dyDescent="0.25">
      <c r="A983" s="130" t="s">
        <v>2492</v>
      </c>
      <c r="B983" s="130" t="s">
        <v>2493</v>
      </c>
      <c r="C983" s="130" t="s">
        <v>1020</v>
      </c>
      <c r="D983" s="130" t="s">
        <v>1020</v>
      </c>
      <c r="E983" s="130" t="s">
        <v>2492</v>
      </c>
      <c r="F983" s="130" t="s">
        <v>2493</v>
      </c>
      <c r="G983" s="130" t="s">
        <v>137</v>
      </c>
      <c r="H983" s="130" t="s">
        <v>159</v>
      </c>
      <c r="I983" s="130" t="s">
        <v>1713</v>
      </c>
      <c r="J983" s="130" t="s">
        <v>159</v>
      </c>
      <c r="K983" s="130" t="s">
        <v>2492</v>
      </c>
      <c r="L983" s="130" t="s">
        <v>160</v>
      </c>
      <c r="M983" s="128">
        <v>0</v>
      </c>
      <c r="N983" s="128">
        <f t="shared" si="15"/>
        <v>0</v>
      </c>
      <c r="O983" s="130" t="s">
        <v>1020</v>
      </c>
      <c r="P983" s="130" t="s">
        <v>1020</v>
      </c>
      <c r="Q983" s="130" t="s">
        <v>160</v>
      </c>
      <c r="R983" s="128">
        <v>0</v>
      </c>
      <c r="S983" s="130" t="s">
        <v>2493</v>
      </c>
    </row>
    <row r="984" spans="1:19" x14ac:dyDescent="0.25">
      <c r="A984" s="130" t="s">
        <v>2494</v>
      </c>
      <c r="B984" s="130" t="s">
        <v>2495</v>
      </c>
      <c r="C984" s="130" t="s">
        <v>1020</v>
      </c>
      <c r="D984" s="130" t="s">
        <v>1020</v>
      </c>
      <c r="E984" s="130" t="s">
        <v>2494</v>
      </c>
      <c r="F984" s="130" t="s">
        <v>2495</v>
      </c>
      <c r="G984" s="130" t="s">
        <v>137</v>
      </c>
      <c r="H984" s="130" t="s">
        <v>159</v>
      </c>
      <c r="I984" s="130" t="s">
        <v>1713</v>
      </c>
      <c r="J984" s="130" t="s">
        <v>159</v>
      </c>
      <c r="K984" s="130" t="s">
        <v>2494</v>
      </c>
      <c r="L984" s="130" t="s">
        <v>160</v>
      </c>
      <c r="M984" s="128">
        <v>0</v>
      </c>
      <c r="N984" s="128">
        <f t="shared" si="15"/>
        <v>0</v>
      </c>
      <c r="O984" s="130" t="s">
        <v>1020</v>
      </c>
      <c r="P984" s="130" t="s">
        <v>1020</v>
      </c>
      <c r="Q984" s="130" t="s">
        <v>160</v>
      </c>
      <c r="R984" s="128">
        <v>0</v>
      </c>
      <c r="S984" s="130" t="s">
        <v>2495</v>
      </c>
    </row>
    <row r="985" spans="1:19" x14ac:dyDescent="0.25">
      <c r="A985" s="130" t="s">
        <v>2496</v>
      </c>
      <c r="B985" s="130" t="s">
        <v>2497</v>
      </c>
      <c r="C985" s="130" t="s">
        <v>1020</v>
      </c>
      <c r="D985" s="130" t="s">
        <v>1020</v>
      </c>
      <c r="E985" s="130" t="s">
        <v>2496</v>
      </c>
      <c r="F985" s="130" t="s">
        <v>2497</v>
      </c>
      <c r="G985" s="130" t="s">
        <v>137</v>
      </c>
      <c r="H985" s="130" t="s">
        <v>159</v>
      </c>
      <c r="I985" s="130" t="s">
        <v>1713</v>
      </c>
      <c r="J985" s="130" t="s">
        <v>159</v>
      </c>
      <c r="K985" s="130" t="s">
        <v>2496</v>
      </c>
      <c r="L985" s="130" t="s">
        <v>160</v>
      </c>
      <c r="M985" s="128">
        <v>0</v>
      </c>
      <c r="N985" s="128">
        <f t="shared" si="15"/>
        <v>0</v>
      </c>
      <c r="O985" s="130" t="s">
        <v>1020</v>
      </c>
      <c r="P985" s="130" t="s">
        <v>1020</v>
      </c>
      <c r="Q985" s="130" t="s">
        <v>160</v>
      </c>
      <c r="R985" s="128">
        <v>0</v>
      </c>
      <c r="S985" s="130" t="s">
        <v>2497</v>
      </c>
    </row>
    <row r="986" spans="1:19" x14ac:dyDescent="0.25">
      <c r="A986" s="130" t="s">
        <v>2498</v>
      </c>
      <c r="B986" s="130" t="s">
        <v>2499</v>
      </c>
      <c r="C986" s="130" t="s">
        <v>1020</v>
      </c>
      <c r="D986" s="130" t="s">
        <v>1020</v>
      </c>
      <c r="E986" s="130" t="s">
        <v>2498</v>
      </c>
      <c r="F986" s="130" t="s">
        <v>2499</v>
      </c>
      <c r="G986" s="130" t="s">
        <v>137</v>
      </c>
      <c r="H986" s="130" t="s">
        <v>159</v>
      </c>
      <c r="I986" s="130" t="s">
        <v>1713</v>
      </c>
      <c r="J986" s="130" t="s">
        <v>159</v>
      </c>
      <c r="K986" s="130" t="s">
        <v>2498</v>
      </c>
      <c r="L986" s="130" t="s">
        <v>160</v>
      </c>
      <c r="M986" s="128">
        <v>0</v>
      </c>
      <c r="N986" s="128">
        <f t="shared" si="15"/>
        <v>0</v>
      </c>
      <c r="O986" s="130" t="s">
        <v>1020</v>
      </c>
      <c r="P986" s="130" t="s">
        <v>1020</v>
      </c>
      <c r="Q986" s="130" t="s">
        <v>160</v>
      </c>
      <c r="R986" s="128">
        <v>0</v>
      </c>
      <c r="S986" s="130" t="s">
        <v>2499</v>
      </c>
    </row>
    <row r="987" spans="1:19" x14ac:dyDescent="0.25">
      <c r="A987" s="130" t="s">
        <v>2500</v>
      </c>
      <c r="B987" s="130" t="s">
        <v>2501</v>
      </c>
      <c r="C987" s="130" t="s">
        <v>1020</v>
      </c>
      <c r="D987" s="130" t="s">
        <v>1020</v>
      </c>
      <c r="E987" s="130" t="s">
        <v>2500</v>
      </c>
      <c r="F987" s="130" t="s">
        <v>2501</v>
      </c>
      <c r="G987" s="130" t="s">
        <v>137</v>
      </c>
      <c r="H987" s="130" t="s">
        <v>159</v>
      </c>
      <c r="I987" s="130" t="s">
        <v>1713</v>
      </c>
      <c r="J987" s="130" t="s">
        <v>159</v>
      </c>
      <c r="K987" s="130" t="s">
        <v>2500</v>
      </c>
      <c r="L987" s="130" t="s">
        <v>160</v>
      </c>
      <c r="M987" s="128">
        <v>0</v>
      </c>
      <c r="N987" s="128">
        <f t="shared" si="15"/>
        <v>0</v>
      </c>
      <c r="O987" s="130" t="s">
        <v>1020</v>
      </c>
      <c r="P987" s="130" t="s">
        <v>1020</v>
      </c>
      <c r="Q987" s="130" t="s">
        <v>160</v>
      </c>
      <c r="R987" s="128">
        <v>0</v>
      </c>
      <c r="S987" s="130" t="s">
        <v>2501</v>
      </c>
    </row>
    <row r="988" spans="1:19" x14ac:dyDescent="0.25">
      <c r="A988" s="130" t="s">
        <v>2502</v>
      </c>
      <c r="B988" s="130" t="s">
        <v>2503</v>
      </c>
      <c r="C988" s="130" t="s">
        <v>1020</v>
      </c>
      <c r="D988" s="130" t="s">
        <v>1020</v>
      </c>
      <c r="E988" s="130" t="s">
        <v>2502</v>
      </c>
      <c r="F988" s="130" t="s">
        <v>2503</v>
      </c>
      <c r="G988" s="130" t="s">
        <v>137</v>
      </c>
      <c r="H988" s="130" t="s">
        <v>159</v>
      </c>
      <c r="I988" s="130" t="s">
        <v>1713</v>
      </c>
      <c r="J988" s="130" t="s">
        <v>159</v>
      </c>
      <c r="K988" s="130" t="s">
        <v>2502</v>
      </c>
      <c r="L988" s="130" t="s">
        <v>160</v>
      </c>
      <c r="M988" s="128">
        <v>0</v>
      </c>
      <c r="N988" s="128">
        <f t="shared" si="15"/>
        <v>0</v>
      </c>
      <c r="O988" s="130" t="s">
        <v>1020</v>
      </c>
      <c r="P988" s="130" t="s">
        <v>1020</v>
      </c>
      <c r="Q988" s="130" t="s">
        <v>160</v>
      </c>
      <c r="R988" s="128">
        <v>0</v>
      </c>
      <c r="S988" s="130" t="s">
        <v>2503</v>
      </c>
    </row>
    <row r="989" spans="1:19" x14ac:dyDescent="0.25">
      <c r="A989" s="130" t="s">
        <v>2504</v>
      </c>
      <c r="B989" s="130" t="s">
        <v>2505</v>
      </c>
      <c r="C989" s="130" t="s">
        <v>1020</v>
      </c>
      <c r="D989" s="130" t="s">
        <v>1020</v>
      </c>
      <c r="E989" s="130" t="s">
        <v>2504</v>
      </c>
      <c r="F989" s="130" t="s">
        <v>2505</v>
      </c>
      <c r="G989" s="130" t="s">
        <v>137</v>
      </c>
      <c r="H989" s="130" t="s">
        <v>159</v>
      </c>
      <c r="I989" s="130" t="s">
        <v>1713</v>
      </c>
      <c r="J989" s="130" t="s">
        <v>159</v>
      </c>
      <c r="K989" s="130" t="s">
        <v>2504</v>
      </c>
      <c r="L989" s="130" t="s">
        <v>160</v>
      </c>
      <c r="M989" s="128">
        <v>0</v>
      </c>
      <c r="N989" s="128">
        <f t="shared" si="15"/>
        <v>0</v>
      </c>
      <c r="O989" s="130" t="s">
        <v>1020</v>
      </c>
      <c r="P989" s="130" t="s">
        <v>1020</v>
      </c>
      <c r="Q989" s="130" t="s">
        <v>160</v>
      </c>
      <c r="R989" s="128">
        <v>0</v>
      </c>
      <c r="S989" s="130" t="s">
        <v>2505</v>
      </c>
    </row>
    <row r="990" spans="1:19" x14ac:dyDescent="0.25">
      <c r="A990" s="130" t="s">
        <v>2506</v>
      </c>
      <c r="B990" s="130" t="s">
        <v>2507</v>
      </c>
      <c r="C990" s="130" t="s">
        <v>1020</v>
      </c>
      <c r="D990" s="130" t="s">
        <v>1020</v>
      </c>
      <c r="E990" s="130" t="s">
        <v>2508</v>
      </c>
      <c r="F990" s="130" t="s">
        <v>2509</v>
      </c>
      <c r="G990" s="130" t="s">
        <v>137</v>
      </c>
      <c r="H990" s="130" t="s">
        <v>159</v>
      </c>
      <c r="I990" s="130" t="s">
        <v>1713</v>
      </c>
      <c r="J990" s="130" t="s">
        <v>159</v>
      </c>
      <c r="K990" s="130" t="s">
        <v>2508</v>
      </c>
      <c r="L990" s="130" t="s">
        <v>160</v>
      </c>
      <c r="M990" s="128">
        <v>0</v>
      </c>
      <c r="N990" s="128">
        <f t="shared" si="15"/>
        <v>0</v>
      </c>
      <c r="O990" s="130" t="s">
        <v>1020</v>
      </c>
      <c r="P990" s="130" t="s">
        <v>1020</v>
      </c>
      <c r="Q990" s="130" t="s">
        <v>160</v>
      </c>
      <c r="R990" s="128">
        <v>0</v>
      </c>
      <c r="S990" s="130" t="s">
        <v>2509</v>
      </c>
    </row>
    <row r="991" spans="1:19" x14ac:dyDescent="0.25">
      <c r="A991" s="130" t="s">
        <v>2510</v>
      </c>
      <c r="B991" s="130" t="s">
        <v>2511</v>
      </c>
      <c r="C991" s="130" t="s">
        <v>1020</v>
      </c>
      <c r="D991" s="130" t="s">
        <v>1020</v>
      </c>
      <c r="E991" s="130" t="s">
        <v>2508</v>
      </c>
      <c r="F991" s="130" t="s">
        <v>2509</v>
      </c>
      <c r="G991" s="130" t="s">
        <v>137</v>
      </c>
      <c r="H991" s="130" t="s">
        <v>159</v>
      </c>
      <c r="I991" s="130" t="s">
        <v>1713</v>
      </c>
      <c r="J991" s="130" t="s">
        <v>159</v>
      </c>
      <c r="K991" s="130" t="s">
        <v>2508</v>
      </c>
      <c r="L991" s="130" t="s">
        <v>160</v>
      </c>
      <c r="M991" s="128">
        <v>0</v>
      </c>
      <c r="N991" s="128">
        <f t="shared" si="15"/>
        <v>0</v>
      </c>
      <c r="O991" s="130" t="s">
        <v>1020</v>
      </c>
      <c r="P991" s="130" t="s">
        <v>1020</v>
      </c>
      <c r="Q991" s="130" t="s">
        <v>160</v>
      </c>
      <c r="R991" s="128">
        <v>0</v>
      </c>
      <c r="S991" s="130" t="s">
        <v>2509</v>
      </c>
    </row>
    <row r="992" spans="1:19" x14ac:dyDescent="0.25">
      <c r="A992" s="130" t="s">
        <v>2512</v>
      </c>
      <c r="B992" s="130" t="s">
        <v>2513</v>
      </c>
      <c r="C992" s="130" t="s">
        <v>1020</v>
      </c>
      <c r="D992" s="130" t="s">
        <v>1020</v>
      </c>
      <c r="E992" s="130" t="s">
        <v>2514</v>
      </c>
      <c r="F992" s="130" t="s">
        <v>2515</v>
      </c>
      <c r="G992" s="130" t="s">
        <v>137</v>
      </c>
      <c r="H992" s="130" t="s">
        <v>159</v>
      </c>
      <c r="I992" s="130" t="s">
        <v>1713</v>
      </c>
      <c r="J992" s="130" t="s">
        <v>159</v>
      </c>
      <c r="K992" s="130" t="s">
        <v>2514</v>
      </c>
      <c r="L992" s="130" t="s">
        <v>160</v>
      </c>
      <c r="M992" s="128">
        <v>0</v>
      </c>
      <c r="N992" s="128">
        <f t="shared" si="15"/>
        <v>0</v>
      </c>
      <c r="O992" s="130" t="s">
        <v>1020</v>
      </c>
      <c r="P992" s="130" t="s">
        <v>1020</v>
      </c>
      <c r="Q992" s="130" t="s">
        <v>160</v>
      </c>
      <c r="R992" s="128">
        <v>0</v>
      </c>
      <c r="S992" s="130" t="s">
        <v>2515</v>
      </c>
    </row>
    <row r="993" spans="1:19" x14ac:dyDescent="0.25">
      <c r="A993" s="130" t="s">
        <v>2516</v>
      </c>
      <c r="B993" s="130" t="s">
        <v>2517</v>
      </c>
      <c r="C993" s="130" t="s">
        <v>1020</v>
      </c>
      <c r="D993" s="130" t="s">
        <v>1020</v>
      </c>
      <c r="E993" s="130" t="s">
        <v>2516</v>
      </c>
      <c r="F993" s="130" t="s">
        <v>2517</v>
      </c>
      <c r="G993" s="130" t="s">
        <v>137</v>
      </c>
      <c r="H993" s="130" t="s">
        <v>159</v>
      </c>
      <c r="I993" s="130" t="s">
        <v>1713</v>
      </c>
      <c r="J993" s="130" t="s">
        <v>159</v>
      </c>
      <c r="K993" s="130" t="s">
        <v>2516</v>
      </c>
      <c r="L993" s="130" t="s">
        <v>160</v>
      </c>
      <c r="M993" s="128">
        <v>0</v>
      </c>
      <c r="N993" s="128">
        <f t="shared" si="15"/>
        <v>0</v>
      </c>
      <c r="O993" s="130" t="s">
        <v>1020</v>
      </c>
      <c r="P993" s="130" t="s">
        <v>1020</v>
      </c>
      <c r="Q993" s="130" t="s">
        <v>160</v>
      </c>
      <c r="R993" s="128">
        <v>0</v>
      </c>
      <c r="S993" s="130" t="s">
        <v>2517</v>
      </c>
    </row>
    <row r="994" spans="1:19" x14ac:dyDescent="0.25">
      <c r="A994" s="130" t="s">
        <v>2518</v>
      </c>
      <c r="B994" s="130" t="s">
        <v>2519</v>
      </c>
      <c r="C994" s="130" t="s">
        <v>1020</v>
      </c>
      <c r="D994" s="130" t="s">
        <v>1020</v>
      </c>
      <c r="E994" s="130" t="s">
        <v>2518</v>
      </c>
      <c r="F994" s="130" t="s">
        <v>2519</v>
      </c>
      <c r="G994" s="130" t="s">
        <v>137</v>
      </c>
      <c r="H994" s="130" t="s">
        <v>159</v>
      </c>
      <c r="I994" s="130" t="s">
        <v>1713</v>
      </c>
      <c r="J994" s="130" t="s">
        <v>159</v>
      </c>
      <c r="K994" s="130" t="s">
        <v>2518</v>
      </c>
      <c r="L994" s="130" t="s">
        <v>160</v>
      </c>
      <c r="M994" s="128">
        <v>0</v>
      </c>
      <c r="N994" s="128">
        <f t="shared" si="15"/>
        <v>0</v>
      </c>
      <c r="O994" s="130" t="s">
        <v>1020</v>
      </c>
      <c r="P994" s="130" t="s">
        <v>1020</v>
      </c>
      <c r="Q994" s="130" t="s">
        <v>160</v>
      </c>
      <c r="R994" s="128">
        <v>0</v>
      </c>
      <c r="S994" s="130" t="s">
        <v>2519</v>
      </c>
    </row>
    <row r="995" spans="1:19" x14ac:dyDescent="0.25">
      <c r="A995" s="130" t="s">
        <v>2520</v>
      </c>
      <c r="B995" s="130" t="s">
        <v>2521</v>
      </c>
      <c r="C995" s="130" t="s">
        <v>1020</v>
      </c>
      <c r="D995" s="130" t="s">
        <v>1020</v>
      </c>
      <c r="E995" s="130" t="s">
        <v>2520</v>
      </c>
      <c r="F995" s="130" t="s">
        <v>2521</v>
      </c>
      <c r="G995" s="130" t="s">
        <v>137</v>
      </c>
      <c r="H995" s="130" t="s">
        <v>159</v>
      </c>
      <c r="I995" s="130" t="s">
        <v>1713</v>
      </c>
      <c r="J995" s="130" t="s">
        <v>159</v>
      </c>
      <c r="K995" s="130" t="s">
        <v>2520</v>
      </c>
      <c r="L995" s="130" t="s">
        <v>160</v>
      </c>
      <c r="M995" s="128">
        <v>0</v>
      </c>
      <c r="N995" s="128">
        <f t="shared" si="15"/>
        <v>0</v>
      </c>
      <c r="O995" s="130" t="s">
        <v>1020</v>
      </c>
      <c r="P995" s="130" t="s">
        <v>1020</v>
      </c>
      <c r="Q995" s="130" t="s">
        <v>160</v>
      </c>
      <c r="R995" s="128">
        <v>0</v>
      </c>
      <c r="S995" s="130" t="s">
        <v>2521</v>
      </c>
    </row>
    <row r="996" spans="1:19" x14ac:dyDescent="0.25">
      <c r="A996" s="130" t="s">
        <v>2522</v>
      </c>
      <c r="B996" s="130" t="s">
        <v>2523</v>
      </c>
      <c r="C996" s="130" t="s">
        <v>1020</v>
      </c>
      <c r="D996" s="130" t="s">
        <v>1020</v>
      </c>
      <c r="E996" s="130" t="s">
        <v>2522</v>
      </c>
      <c r="F996" s="130" t="s">
        <v>2523</v>
      </c>
      <c r="G996" s="130" t="s">
        <v>137</v>
      </c>
      <c r="H996" s="130" t="s">
        <v>159</v>
      </c>
      <c r="I996" s="130" t="s">
        <v>1713</v>
      </c>
      <c r="J996" s="130" t="s">
        <v>159</v>
      </c>
      <c r="K996" s="130" t="s">
        <v>2522</v>
      </c>
      <c r="L996" s="130" t="s">
        <v>160</v>
      </c>
      <c r="M996" s="128">
        <v>0</v>
      </c>
      <c r="N996" s="128">
        <f t="shared" si="15"/>
        <v>0</v>
      </c>
      <c r="O996" s="130" t="s">
        <v>1020</v>
      </c>
      <c r="P996" s="130" t="s">
        <v>1020</v>
      </c>
      <c r="Q996" s="130" t="s">
        <v>160</v>
      </c>
      <c r="R996" s="128">
        <v>0</v>
      </c>
      <c r="S996" s="130" t="s">
        <v>2523</v>
      </c>
    </row>
    <row r="997" spans="1:19" x14ac:dyDescent="0.25">
      <c r="A997" s="130" t="s">
        <v>2524</v>
      </c>
      <c r="B997" s="130" t="s">
        <v>2525</v>
      </c>
      <c r="C997" s="130" t="s">
        <v>134</v>
      </c>
      <c r="D997" s="130" t="s">
        <v>134</v>
      </c>
      <c r="E997" s="130" t="s">
        <v>2396</v>
      </c>
      <c r="F997" s="130" t="s">
        <v>2397</v>
      </c>
      <c r="G997" s="130" t="s">
        <v>137</v>
      </c>
      <c r="I997" s="130" t="s">
        <v>1713</v>
      </c>
      <c r="J997" s="130" t="s">
        <v>159</v>
      </c>
      <c r="K997" s="130" t="s">
        <v>2396</v>
      </c>
      <c r="L997" s="130" t="s">
        <v>417</v>
      </c>
      <c r="M997" s="128">
        <v>0</v>
      </c>
      <c r="N997" s="128">
        <f t="shared" si="15"/>
        <v>-12</v>
      </c>
      <c r="O997" s="130" t="s">
        <v>134</v>
      </c>
      <c r="P997" s="130" t="s">
        <v>134</v>
      </c>
      <c r="Q997" s="130" t="s">
        <v>417</v>
      </c>
      <c r="R997" s="128">
        <v>0</v>
      </c>
      <c r="S997" s="130" t="s">
        <v>2397</v>
      </c>
    </row>
    <row r="998" spans="1:19" x14ac:dyDescent="0.25">
      <c r="A998" s="130" t="s">
        <v>2526</v>
      </c>
      <c r="B998" s="130" t="s">
        <v>2527</v>
      </c>
      <c r="C998" s="130" t="s">
        <v>1020</v>
      </c>
      <c r="D998" s="130" t="s">
        <v>1020</v>
      </c>
      <c r="E998" s="130" t="s">
        <v>2526</v>
      </c>
      <c r="F998" s="130" t="s">
        <v>2527</v>
      </c>
      <c r="G998" s="130" t="s">
        <v>137</v>
      </c>
      <c r="H998" s="130" t="s">
        <v>159</v>
      </c>
      <c r="I998" s="130" t="s">
        <v>1713</v>
      </c>
      <c r="J998" s="130" t="s">
        <v>159</v>
      </c>
      <c r="K998" s="130" t="s">
        <v>2526</v>
      </c>
      <c r="L998" s="130" t="s">
        <v>160</v>
      </c>
      <c r="M998" s="128">
        <v>0</v>
      </c>
      <c r="N998" s="128">
        <f t="shared" si="15"/>
        <v>0</v>
      </c>
      <c r="O998" s="130" t="s">
        <v>1020</v>
      </c>
      <c r="P998" s="130" t="s">
        <v>1020</v>
      </c>
      <c r="Q998" s="130" t="s">
        <v>160</v>
      </c>
      <c r="R998" s="128">
        <v>0</v>
      </c>
      <c r="S998" s="130" t="s">
        <v>2527</v>
      </c>
    </row>
    <row r="999" spans="1:19" x14ac:dyDescent="0.25">
      <c r="A999" s="130" t="s">
        <v>2528</v>
      </c>
      <c r="B999" s="130" t="s">
        <v>2529</v>
      </c>
      <c r="C999" s="130" t="s">
        <v>1020</v>
      </c>
      <c r="D999" s="130" t="s">
        <v>1020</v>
      </c>
      <c r="E999" s="130" t="s">
        <v>2528</v>
      </c>
      <c r="F999" s="130" t="s">
        <v>2529</v>
      </c>
      <c r="G999" s="130" t="s">
        <v>137</v>
      </c>
      <c r="H999" s="130" t="s">
        <v>159</v>
      </c>
      <c r="I999" s="130" t="s">
        <v>1713</v>
      </c>
      <c r="J999" s="130" t="s">
        <v>159</v>
      </c>
      <c r="K999" s="130" t="s">
        <v>2528</v>
      </c>
      <c r="L999" s="130" t="s">
        <v>160</v>
      </c>
      <c r="M999" s="128">
        <v>0</v>
      </c>
      <c r="N999" s="128">
        <f t="shared" si="15"/>
        <v>0</v>
      </c>
      <c r="O999" s="130" t="s">
        <v>1020</v>
      </c>
      <c r="P999" s="130" t="s">
        <v>1020</v>
      </c>
      <c r="Q999" s="130" t="s">
        <v>160</v>
      </c>
      <c r="R999" s="128">
        <v>0</v>
      </c>
      <c r="S999" s="130" t="s">
        <v>2529</v>
      </c>
    </row>
    <row r="1000" spans="1:19" x14ac:dyDescent="0.25">
      <c r="A1000" s="130" t="s">
        <v>2530</v>
      </c>
      <c r="B1000" s="130" t="s">
        <v>2531</v>
      </c>
      <c r="C1000" s="130" t="s">
        <v>1020</v>
      </c>
      <c r="D1000" s="130" t="s">
        <v>1020</v>
      </c>
      <c r="E1000" s="130" t="s">
        <v>2530</v>
      </c>
      <c r="F1000" s="130" t="s">
        <v>2531</v>
      </c>
      <c r="G1000" s="130" t="s">
        <v>137</v>
      </c>
      <c r="H1000" s="130" t="s">
        <v>159</v>
      </c>
      <c r="I1000" s="130" t="s">
        <v>1713</v>
      </c>
      <c r="J1000" s="130" t="s">
        <v>159</v>
      </c>
      <c r="K1000" s="130" t="s">
        <v>2530</v>
      </c>
      <c r="L1000" s="130" t="s">
        <v>160</v>
      </c>
      <c r="M1000" s="128">
        <v>0</v>
      </c>
      <c r="N1000" s="128">
        <f t="shared" si="15"/>
        <v>0</v>
      </c>
      <c r="O1000" s="130" t="s">
        <v>1020</v>
      </c>
      <c r="P1000" s="130" t="s">
        <v>1020</v>
      </c>
      <c r="Q1000" s="130" t="s">
        <v>160</v>
      </c>
      <c r="R1000" s="128">
        <v>0</v>
      </c>
      <c r="S1000" s="130" t="s">
        <v>2531</v>
      </c>
    </row>
    <row r="1001" spans="1:19" x14ac:dyDescent="0.25">
      <c r="A1001" s="130" t="s">
        <v>2532</v>
      </c>
      <c r="B1001" s="130" t="s">
        <v>2533</v>
      </c>
      <c r="C1001" s="130" t="s">
        <v>1020</v>
      </c>
      <c r="D1001" s="130" t="s">
        <v>1020</v>
      </c>
      <c r="E1001" s="130" t="s">
        <v>2532</v>
      </c>
      <c r="F1001" s="130" t="s">
        <v>2533</v>
      </c>
      <c r="G1001" s="130" t="s">
        <v>137</v>
      </c>
      <c r="H1001" s="130" t="s">
        <v>159</v>
      </c>
      <c r="I1001" s="130" t="s">
        <v>1713</v>
      </c>
      <c r="J1001" s="130" t="s">
        <v>159</v>
      </c>
      <c r="K1001" s="130" t="s">
        <v>2532</v>
      </c>
      <c r="L1001" s="130" t="s">
        <v>160</v>
      </c>
      <c r="M1001" s="128">
        <v>0</v>
      </c>
      <c r="N1001" s="128">
        <f t="shared" si="15"/>
        <v>0</v>
      </c>
      <c r="O1001" s="130" t="s">
        <v>1020</v>
      </c>
      <c r="P1001" s="130" t="s">
        <v>1020</v>
      </c>
      <c r="Q1001" s="130" t="s">
        <v>160</v>
      </c>
      <c r="R1001" s="128">
        <v>0</v>
      </c>
      <c r="S1001" s="130" t="s">
        <v>2533</v>
      </c>
    </row>
    <row r="1002" spans="1:19" x14ac:dyDescent="0.25">
      <c r="A1002" s="130" t="s">
        <v>2534</v>
      </c>
      <c r="B1002" s="130" t="s">
        <v>2535</v>
      </c>
      <c r="C1002" s="130" t="s">
        <v>1020</v>
      </c>
      <c r="D1002" s="130" t="s">
        <v>1020</v>
      </c>
      <c r="E1002" s="130" t="s">
        <v>2534</v>
      </c>
      <c r="F1002" s="130" t="s">
        <v>2535</v>
      </c>
      <c r="G1002" s="130" t="s">
        <v>137</v>
      </c>
      <c r="H1002" s="130" t="s">
        <v>159</v>
      </c>
      <c r="I1002" s="130" t="s">
        <v>1713</v>
      </c>
      <c r="J1002" s="130" t="s">
        <v>159</v>
      </c>
      <c r="K1002" s="130" t="s">
        <v>2534</v>
      </c>
      <c r="L1002" s="130" t="s">
        <v>160</v>
      </c>
      <c r="M1002" s="128">
        <v>0</v>
      </c>
      <c r="N1002" s="128">
        <f t="shared" si="15"/>
        <v>0</v>
      </c>
      <c r="O1002" s="130" t="s">
        <v>1020</v>
      </c>
      <c r="P1002" s="130" t="s">
        <v>1020</v>
      </c>
      <c r="Q1002" s="130" t="s">
        <v>160</v>
      </c>
      <c r="R1002" s="128">
        <v>0</v>
      </c>
      <c r="S1002" s="130" t="s">
        <v>2535</v>
      </c>
    </row>
    <row r="1003" spans="1:19" x14ac:dyDescent="0.25">
      <c r="A1003" s="130" t="s">
        <v>2536</v>
      </c>
      <c r="B1003" s="130" t="s">
        <v>2537</v>
      </c>
      <c r="C1003" s="130" t="s">
        <v>1020</v>
      </c>
      <c r="D1003" s="130" t="s">
        <v>1020</v>
      </c>
      <c r="E1003" s="130" t="s">
        <v>2536</v>
      </c>
      <c r="F1003" s="130" t="s">
        <v>2537</v>
      </c>
      <c r="G1003" s="130" t="s">
        <v>137</v>
      </c>
      <c r="H1003" s="130" t="s">
        <v>159</v>
      </c>
      <c r="I1003" s="130" t="s">
        <v>1713</v>
      </c>
      <c r="J1003" s="130" t="s">
        <v>159</v>
      </c>
      <c r="K1003" s="130" t="s">
        <v>2536</v>
      </c>
      <c r="L1003" s="130" t="s">
        <v>160</v>
      </c>
      <c r="M1003" s="128">
        <v>0</v>
      </c>
      <c r="N1003" s="128">
        <f t="shared" si="15"/>
        <v>0</v>
      </c>
      <c r="O1003" s="130" t="s">
        <v>1020</v>
      </c>
      <c r="P1003" s="130" t="s">
        <v>1020</v>
      </c>
      <c r="Q1003" s="130" t="s">
        <v>160</v>
      </c>
      <c r="R1003" s="128">
        <v>0</v>
      </c>
      <c r="S1003" s="130" t="s">
        <v>2537</v>
      </c>
    </row>
    <row r="1004" spans="1:19" x14ac:dyDescent="0.25">
      <c r="A1004" s="130" t="s">
        <v>2538</v>
      </c>
      <c r="B1004" s="130" t="s">
        <v>2539</v>
      </c>
      <c r="C1004" s="130" t="s">
        <v>1020</v>
      </c>
      <c r="D1004" s="130" t="s">
        <v>1020</v>
      </c>
      <c r="E1004" s="130" t="s">
        <v>2538</v>
      </c>
      <c r="F1004" s="130" t="s">
        <v>2539</v>
      </c>
      <c r="G1004" s="130" t="s">
        <v>137</v>
      </c>
      <c r="H1004" s="130" t="s">
        <v>159</v>
      </c>
      <c r="I1004" s="130" t="s">
        <v>1713</v>
      </c>
      <c r="J1004" s="130" t="s">
        <v>159</v>
      </c>
      <c r="K1004" s="130" t="s">
        <v>2538</v>
      </c>
      <c r="L1004" s="130" t="s">
        <v>160</v>
      </c>
      <c r="M1004" s="128">
        <v>0</v>
      </c>
      <c r="N1004" s="128">
        <f t="shared" si="15"/>
        <v>0</v>
      </c>
      <c r="O1004" s="130" t="s">
        <v>1020</v>
      </c>
      <c r="P1004" s="130" t="s">
        <v>1020</v>
      </c>
      <c r="Q1004" s="130" t="s">
        <v>160</v>
      </c>
      <c r="R1004" s="128">
        <v>0</v>
      </c>
      <c r="S1004" s="130" t="s">
        <v>2539</v>
      </c>
    </row>
    <row r="1005" spans="1:19" x14ac:dyDescent="0.25">
      <c r="A1005" s="130" t="s">
        <v>2540</v>
      </c>
      <c r="B1005" s="130" t="s">
        <v>2541</v>
      </c>
      <c r="C1005" s="130" t="s">
        <v>1020</v>
      </c>
      <c r="D1005" s="130" t="s">
        <v>1020</v>
      </c>
      <c r="E1005" s="130" t="s">
        <v>2540</v>
      </c>
      <c r="F1005" s="130" t="s">
        <v>2541</v>
      </c>
      <c r="G1005" s="130" t="s">
        <v>137</v>
      </c>
      <c r="H1005" s="130" t="s">
        <v>159</v>
      </c>
      <c r="I1005" s="130" t="s">
        <v>1713</v>
      </c>
      <c r="J1005" s="130" t="s">
        <v>159</v>
      </c>
      <c r="K1005" s="130" t="s">
        <v>2540</v>
      </c>
      <c r="L1005" s="130" t="s">
        <v>160</v>
      </c>
      <c r="M1005" s="128">
        <v>0</v>
      </c>
      <c r="N1005" s="128">
        <f t="shared" si="15"/>
        <v>0</v>
      </c>
      <c r="O1005" s="130" t="s">
        <v>1020</v>
      </c>
      <c r="P1005" s="130" t="s">
        <v>1020</v>
      </c>
      <c r="Q1005" s="130" t="s">
        <v>160</v>
      </c>
      <c r="R1005" s="128">
        <v>0</v>
      </c>
      <c r="S1005" s="130" t="s">
        <v>2541</v>
      </c>
    </row>
    <row r="1006" spans="1:19" x14ac:dyDescent="0.25">
      <c r="A1006" s="130" t="s">
        <v>2542</v>
      </c>
      <c r="B1006" s="130" t="s">
        <v>2543</v>
      </c>
      <c r="C1006" s="130" t="s">
        <v>1020</v>
      </c>
      <c r="D1006" s="130" t="s">
        <v>1020</v>
      </c>
      <c r="E1006" s="130" t="s">
        <v>2542</v>
      </c>
      <c r="F1006" s="130" t="s">
        <v>2543</v>
      </c>
      <c r="G1006" s="130" t="s">
        <v>137</v>
      </c>
      <c r="H1006" s="130" t="s">
        <v>159</v>
      </c>
      <c r="I1006" s="130" t="s">
        <v>1713</v>
      </c>
      <c r="J1006" s="130" t="s">
        <v>159</v>
      </c>
      <c r="K1006" s="130" t="s">
        <v>2542</v>
      </c>
      <c r="L1006" s="130" t="s">
        <v>160</v>
      </c>
      <c r="M1006" s="128">
        <v>0</v>
      </c>
      <c r="N1006" s="128">
        <f t="shared" si="15"/>
        <v>0</v>
      </c>
      <c r="O1006" s="130" t="s">
        <v>1020</v>
      </c>
      <c r="P1006" s="130" t="s">
        <v>1020</v>
      </c>
      <c r="Q1006" s="130" t="s">
        <v>160</v>
      </c>
      <c r="R1006" s="128">
        <v>0</v>
      </c>
      <c r="S1006" s="130" t="s">
        <v>2543</v>
      </c>
    </row>
    <row r="1007" spans="1:19" x14ac:dyDescent="0.25">
      <c r="A1007" s="130" t="s">
        <v>2544</v>
      </c>
      <c r="B1007" s="130" t="s">
        <v>2545</v>
      </c>
      <c r="C1007" s="130" t="s">
        <v>1020</v>
      </c>
      <c r="D1007" s="130" t="s">
        <v>1020</v>
      </c>
      <c r="E1007" s="130" t="s">
        <v>2544</v>
      </c>
      <c r="F1007" s="130" t="s">
        <v>2545</v>
      </c>
      <c r="G1007" s="130" t="s">
        <v>137</v>
      </c>
      <c r="H1007" s="130" t="s">
        <v>159</v>
      </c>
      <c r="I1007" s="130" t="s">
        <v>1713</v>
      </c>
      <c r="J1007" s="130" t="s">
        <v>159</v>
      </c>
      <c r="K1007" s="130" t="s">
        <v>2544</v>
      </c>
      <c r="L1007" s="130" t="s">
        <v>160</v>
      </c>
      <c r="M1007" s="128">
        <v>0</v>
      </c>
      <c r="N1007" s="128">
        <f t="shared" si="15"/>
        <v>0</v>
      </c>
      <c r="O1007" s="130" t="s">
        <v>1020</v>
      </c>
      <c r="P1007" s="130" t="s">
        <v>1020</v>
      </c>
      <c r="Q1007" s="130" t="s">
        <v>160</v>
      </c>
      <c r="R1007" s="128">
        <v>0</v>
      </c>
      <c r="S1007" s="130" t="s">
        <v>2545</v>
      </c>
    </row>
    <row r="1008" spans="1:19" x14ac:dyDescent="0.25">
      <c r="A1008" s="130" t="s">
        <v>2546</v>
      </c>
      <c r="B1008" s="130" t="s">
        <v>2547</v>
      </c>
      <c r="C1008" s="130" t="s">
        <v>1020</v>
      </c>
      <c r="D1008" s="130" t="s">
        <v>1020</v>
      </c>
      <c r="E1008" s="130" t="s">
        <v>2546</v>
      </c>
      <c r="F1008" s="130" t="s">
        <v>2547</v>
      </c>
      <c r="G1008" s="130" t="s">
        <v>137</v>
      </c>
      <c r="H1008" s="130" t="s">
        <v>159</v>
      </c>
      <c r="I1008" s="130" t="s">
        <v>1713</v>
      </c>
      <c r="J1008" s="130" t="s">
        <v>159</v>
      </c>
      <c r="K1008" s="130" t="s">
        <v>2546</v>
      </c>
      <c r="L1008" s="130" t="s">
        <v>160</v>
      </c>
      <c r="M1008" s="128">
        <v>0</v>
      </c>
      <c r="N1008" s="128">
        <f t="shared" si="15"/>
        <v>0</v>
      </c>
      <c r="O1008" s="130" t="s">
        <v>1020</v>
      </c>
      <c r="P1008" s="130" t="s">
        <v>1020</v>
      </c>
      <c r="Q1008" s="130" t="s">
        <v>160</v>
      </c>
      <c r="R1008" s="128">
        <v>0</v>
      </c>
      <c r="S1008" s="130" t="s">
        <v>2547</v>
      </c>
    </row>
    <row r="1009" spans="1:19" x14ac:dyDescent="0.25">
      <c r="A1009" s="130" t="s">
        <v>2548</v>
      </c>
      <c r="B1009" s="130" t="s">
        <v>2549</v>
      </c>
      <c r="C1009" s="130" t="s">
        <v>1020</v>
      </c>
      <c r="D1009" s="130" t="s">
        <v>1020</v>
      </c>
      <c r="E1009" s="130" t="s">
        <v>2548</v>
      </c>
      <c r="F1009" s="130" t="s">
        <v>2549</v>
      </c>
      <c r="G1009" s="130" t="s">
        <v>137</v>
      </c>
      <c r="H1009" s="130" t="s">
        <v>159</v>
      </c>
      <c r="I1009" s="130" t="s">
        <v>1713</v>
      </c>
      <c r="J1009" s="130" t="s">
        <v>159</v>
      </c>
      <c r="K1009" s="130" t="s">
        <v>2548</v>
      </c>
      <c r="L1009" s="130" t="s">
        <v>160</v>
      </c>
      <c r="M1009" s="128">
        <v>0</v>
      </c>
      <c r="N1009" s="128">
        <f t="shared" si="15"/>
        <v>0</v>
      </c>
      <c r="O1009" s="130" t="s">
        <v>1020</v>
      </c>
      <c r="P1009" s="130" t="s">
        <v>1020</v>
      </c>
      <c r="Q1009" s="130" t="s">
        <v>160</v>
      </c>
      <c r="R1009" s="128">
        <v>0</v>
      </c>
      <c r="S1009" s="130" t="s">
        <v>2549</v>
      </c>
    </row>
    <row r="1010" spans="1:19" x14ac:dyDescent="0.25">
      <c r="A1010" s="130" t="s">
        <v>2550</v>
      </c>
      <c r="B1010" s="130" t="s">
        <v>2551</v>
      </c>
      <c r="C1010" s="130" t="s">
        <v>1020</v>
      </c>
      <c r="D1010" s="130" t="s">
        <v>1020</v>
      </c>
      <c r="E1010" s="130" t="s">
        <v>2550</v>
      </c>
      <c r="F1010" s="130" t="s">
        <v>2551</v>
      </c>
      <c r="G1010" s="130" t="s">
        <v>137</v>
      </c>
      <c r="H1010" s="130" t="s">
        <v>159</v>
      </c>
      <c r="I1010" s="130" t="s">
        <v>1713</v>
      </c>
      <c r="J1010" s="130" t="s">
        <v>159</v>
      </c>
      <c r="K1010" s="130" t="s">
        <v>2550</v>
      </c>
      <c r="L1010" s="130" t="s">
        <v>160</v>
      </c>
      <c r="M1010" s="128">
        <v>0</v>
      </c>
      <c r="N1010" s="128">
        <f t="shared" si="15"/>
        <v>0</v>
      </c>
      <c r="O1010" s="130" t="s">
        <v>1020</v>
      </c>
      <c r="P1010" s="130" t="s">
        <v>1020</v>
      </c>
      <c r="Q1010" s="130" t="s">
        <v>160</v>
      </c>
      <c r="R1010" s="128">
        <v>0</v>
      </c>
      <c r="S1010" s="130" t="s">
        <v>2551</v>
      </c>
    </row>
    <row r="1011" spans="1:19" x14ac:dyDescent="0.25">
      <c r="A1011" s="130" t="s">
        <v>2552</v>
      </c>
      <c r="B1011" s="130" t="s">
        <v>2553</v>
      </c>
      <c r="C1011" s="130" t="s">
        <v>159</v>
      </c>
      <c r="D1011" s="130" t="s">
        <v>159</v>
      </c>
      <c r="E1011" s="130" t="s">
        <v>2552</v>
      </c>
      <c r="F1011" s="130" t="s">
        <v>2553</v>
      </c>
      <c r="G1011" s="130" t="s">
        <v>137</v>
      </c>
      <c r="H1011" s="130" t="s">
        <v>159</v>
      </c>
      <c r="I1011" s="130" t="s">
        <v>1713</v>
      </c>
      <c r="J1011" s="130" t="s">
        <v>159</v>
      </c>
      <c r="K1011" s="130" t="s">
        <v>2552</v>
      </c>
      <c r="L1011" s="130" t="s">
        <v>160</v>
      </c>
      <c r="M1011" s="128">
        <v>0</v>
      </c>
      <c r="N1011" s="128">
        <f t="shared" si="15"/>
        <v>0</v>
      </c>
      <c r="O1011" s="130" t="s">
        <v>159</v>
      </c>
      <c r="P1011" s="130" t="s">
        <v>159</v>
      </c>
      <c r="Q1011" s="130" t="s">
        <v>160</v>
      </c>
      <c r="R1011" s="128">
        <v>0</v>
      </c>
      <c r="S1011" s="130" t="s">
        <v>2554</v>
      </c>
    </row>
    <row r="1012" spans="1:19" x14ac:dyDescent="0.25">
      <c r="A1012" s="130" t="s">
        <v>2555</v>
      </c>
      <c r="B1012" s="130" t="s">
        <v>2556</v>
      </c>
      <c r="C1012" s="130" t="s">
        <v>159</v>
      </c>
      <c r="D1012" s="130" t="s">
        <v>159</v>
      </c>
      <c r="E1012" s="130" t="s">
        <v>2557</v>
      </c>
      <c r="F1012" s="130" t="s">
        <v>2556</v>
      </c>
      <c r="G1012" s="130" t="s">
        <v>137</v>
      </c>
      <c r="H1012" s="130" t="s">
        <v>137</v>
      </c>
      <c r="I1012" s="130" t="s">
        <v>1713</v>
      </c>
      <c r="J1012" s="130" t="s">
        <v>159</v>
      </c>
      <c r="K1012" s="130" t="s">
        <v>2558</v>
      </c>
      <c r="L1012" s="130" t="s">
        <v>160</v>
      </c>
      <c r="M1012" s="128">
        <v>0</v>
      </c>
      <c r="N1012" s="128">
        <f t="shared" si="15"/>
        <v>0</v>
      </c>
      <c r="O1012" s="130" t="s">
        <v>159</v>
      </c>
      <c r="P1012" s="130" t="s">
        <v>159</v>
      </c>
      <c r="Q1012" s="130" t="s">
        <v>160</v>
      </c>
      <c r="R1012" s="128">
        <v>0</v>
      </c>
      <c r="S1012" s="130" t="s">
        <v>2420</v>
      </c>
    </row>
    <row r="1013" spans="1:19" x14ac:dyDescent="0.25">
      <c r="A1013" s="130" t="s">
        <v>2559</v>
      </c>
      <c r="B1013" s="130" t="s">
        <v>2560</v>
      </c>
      <c r="C1013" s="130" t="s">
        <v>159</v>
      </c>
      <c r="D1013" s="130" t="s">
        <v>159</v>
      </c>
      <c r="E1013" s="130" t="s">
        <v>2561</v>
      </c>
      <c r="F1013" s="130" t="s">
        <v>2560</v>
      </c>
      <c r="G1013" s="130" t="s">
        <v>137</v>
      </c>
      <c r="H1013" s="130" t="s">
        <v>137</v>
      </c>
      <c r="I1013" s="130" t="s">
        <v>1713</v>
      </c>
      <c r="J1013" s="130" t="s">
        <v>159</v>
      </c>
      <c r="K1013" s="130" t="s">
        <v>2558</v>
      </c>
      <c r="L1013" s="130" t="s">
        <v>160</v>
      </c>
      <c r="M1013" s="128">
        <v>0</v>
      </c>
      <c r="N1013" s="128">
        <f t="shared" si="15"/>
        <v>0</v>
      </c>
      <c r="O1013" s="130" t="s">
        <v>159</v>
      </c>
      <c r="P1013" s="130" t="s">
        <v>159</v>
      </c>
      <c r="Q1013" s="130" t="s">
        <v>160</v>
      </c>
      <c r="R1013" s="128">
        <v>0</v>
      </c>
      <c r="S1013" s="130" t="s">
        <v>2420</v>
      </c>
    </row>
    <row r="1014" spans="1:19" x14ac:dyDescent="0.25">
      <c r="A1014" s="130" t="s">
        <v>2562</v>
      </c>
      <c r="B1014" s="130" t="s">
        <v>2563</v>
      </c>
      <c r="C1014" s="130" t="s">
        <v>159</v>
      </c>
      <c r="D1014" s="130" t="s">
        <v>159</v>
      </c>
      <c r="E1014" s="130" t="s">
        <v>2564</v>
      </c>
      <c r="F1014" s="130" t="s">
        <v>2563</v>
      </c>
      <c r="G1014" s="130" t="s">
        <v>137</v>
      </c>
      <c r="H1014" s="130" t="s">
        <v>137</v>
      </c>
      <c r="I1014" s="130" t="s">
        <v>1713</v>
      </c>
      <c r="J1014" s="130" t="s">
        <v>159</v>
      </c>
      <c r="K1014" s="130" t="s">
        <v>2558</v>
      </c>
      <c r="L1014" s="130" t="s">
        <v>160</v>
      </c>
      <c r="M1014" s="128">
        <v>0</v>
      </c>
      <c r="N1014" s="128">
        <f t="shared" si="15"/>
        <v>0</v>
      </c>
      <c r="O1014" s="130" t="s">
        <v>159</v>
      </c>
      <c r="P1014" s="130" t="s">
        <v>159</v>
      </c>
      <c r="Q1014" s="130" t="s">
        <v>160</v>
      </c>
      <c r="R1014" s="128">
        <v>0</v>
      </c>
      <c r="S1014" s="130" t="s">
        <v>2420</v>
      </c>
    </row>
    <row r="1015" spans="1:19" x14ac:dyDescent="0.25">
      <c r="A1015" s="130" t="s">
        <v>2565</v>
      </c>
      <c r="B1015" s="130" t="s">
        <v>2566</v>
      </c>
      <c r="C1015" s="130" t="s">
        <v>159</v>
      </c>
      <c r="D1015" s="130" t="s">
        <v>159</v>
      </c>
      <c r="E1015" s="130" t="s">
        <v>2567</v>
      </c>
      <c r="F1015" s="130" t="s">
        <v>2566</v>
      </c>
      <c r="G1015" s="130" t="s">
        <v>137</v>
      </c>
      <c r="H1015" s="130" t="s">
        <v>137</v>
      </c>
      <c r="I1015" s="130" t="s">
        <v>1713</v>
      </c>
      <c r="J1015" s="130" t="s">
        <v>159</v>
      </c>
      <c r="K1015" s="130" t="s">
        <v>2558</v>
      </c>
      <c r="L1015" s="130" t="s">
        <v>160</v>
      </c>
      <c r="M1015" s="128">
        <v>0</v>
      </c>
      <c r="N1015" s="128">
        <f t="shared" si="15"/>
        <v>0</v>
      </c>
      <c r="O1015" s="130" t="s">
        <v>159</v>
      </c>
      <c r="P1015" s="130" t="s">
        <v>159</v>
      </c>
      <c r="Q1015" s="130" t="s">
        <v>160</v>
      </c>
      <c r="R1015" s="128">
        <v>0</v>
      </c>
      <c r="S1015" s="130" t="s">
        <v>2420</v>
      </c>
    </row>
    <row r="1016" spans="1:19" x14ac:dyDescent="0.25">
      <c r="A1016" s="130" t="s">
        <v>2568</v>
      </c>
      <c r="B1016" s="130" t="s">
        <v>2569</v>
      </c>
      <c r="C1016" s="130" t="s">
        <v>159</v>
      </c>
      <c r="D1016" s="130" t="s">
        <v>159</v>
      </c>
      <c r="E1016" s="130" t="s">
        <v>2570</v>
      </c>
      <c r="F1016" s="130" t="s">
        <v>2571</v>
      </c>
      <c r="G1016" s="130" t="s">
        <v>137</v>
      </c>
      <c r="H1016" s="130" t="s">
        <v>137</v>
      </c>
      <c r="I1016" s="130" t="s">
        <v>1713</v>
      </c>
      <c r="J1016" s="130" t="s">
        <v>159</v>
      </c>
      <c r="K1016" s="130" t="s">
        <v>2558</v>
      </c>
      <c r="L1016" s="130" t="s">
        <v>160</v>
      </c>
      <c r="M1016" s="128">
        <v>0</v>
      </c>
      <c r="N1016" s="128">
        <f t="shared" si="15"/>
        <v>0</v>
      </c>
      <c r="O1016" s="130" t="s">
        <v>159</v>
      </c>
      <c r="P1016" s="130" t="s">
        <v>159</v>
      </c>
      <c r="Q1016" s="130" t="s">
        <v>160</v>
      </c>
      <c r="R1016" s="128">
        <v>0</v>
      </c>
      <c r="S1016" s="130" t="s">
        <v>2420</v>
      </c>
    </row>
    <row r="1017" spans="1:19" x14ac:dyDescent="0.25">
      <c r="A1017" s="130" t="s">
        <v>2572</v>
      </c>
      <c r="B1017" s="130" t="s">
        <v>2573</v>
      </c>
      <c r="C1017" s="130" t="s">
        <v>159</v>
      </c>
      <c r="D1017" s="130" t="s">
        <v>159</v>
      </c>
      <c r="E1017" s="130" t="s">
        <v>2570</v>
      </c>
      <c r="F1017" s="130" t="s">
        <v>2571</v>
      </c>
      <c r="G1017" s="130" t="s">
        <v>137</v>
      </c>
      <c r="I1017" s="130" t="s">
        <v>1713</v>
      </c>
      <c r="J1017" s="130" t="s">
        <v>159</v>
      </c>
      <c r="K1017" s="130" t="s">
        <v>2558</v>
      </c>
      <c r="L1017" s="130" t="s">
        <v>160</v>
      </c>
      <c r="M1017" s="128">
        <v>0</v>
      </c>
      <c r="N1017" s="128">
        <f t="shared" si="15"/>
        <v>0</v>
      </c>
      <c r="O1017" s="130" t="s">
        <v>159</v>
      </c>
      <c r="P1017" s="130" t="s">
        <v>159</v>
      </c>
      <c r="Q1017" s="130" t="s">
        <v>160</v>
      </c>
      <c r="R1017" s="128">
        <v>0</v>
      </c>
      <c r="S1017" s="130" t="s">
        <v>2554</v>
      </c>
    </row>
    <row r="1018" spans="1:19" x14ac:dyDescent="0.25">
      <c r="A1018" s="130" t="s">
        <v>2574</v>
      </c>
      <c r="B1018" s="130" t="s">
        <v>2575</v>
      </c>
      <c r="C1018" s="130" t="s">
        <v>159</v>
      </c>
      <c r="D1018" s="130" t="s">
        <v>159</v>
      </c>
      <c r="E1018" s="130" t="s">
        <v>2574</v>
      </c>
      <c r="F1018" s="130" t="s">
        <v>2575</v>
      </c>
      <c r="G1018" s="130" t="s">
        <v>137</v>
      </c>
      <c r="I1018" s="130" t="s">
        <v>1713</v>
      </c>
      <c r="J1018" s="130" t="s">
        <v>159</v>
      </c>
      <c r="K1018" s="130" t="s">
        <v>2574</v>
      </c>
      <c r="L1018" s="130" t="s">
        <v>160</v>
      </c>
      <c r="M1018" s="128">
        <v>0</v>
      </c>
      <c r="N1018" s="128">
        <f t="shared" si="15"/>
        <v>0</v>
      </c>
      <c r="O1018" s="130" t="s">
        <v>159</v>
      </c>
      <c r="P1018" s="130" t="s">
        <v>159</v>
      </c>
      <c r="Q1018" s="130" t="s">
        <v>160</v>
      </c>
      <c r="R1018" s="128">
        <v>0</v>
      </c>
      <c r="S1018" s="130" t="s">
        <v>2554</v>
      </c>
    </row>
    <row r="1019" spans="1:19" x14ac:dyDescent="0.25">
      <c r="A1019" s="130" t="s">
        <v>2576</v>
      </c>
      <c r="B1019" s="130" t="s">
        <v>2577</v>
      </c>
      <c r="C1019" s="130" t="s">
        <v>159</v>
      </c>
      <c r="D1019" s="130" t="s">
        <v>159</v>
      </c>
      <c r="E1019" s="130" t="s">
        <v>2576</v>
      </c>
      <c r="F1019" s="130" t="s">
        <v>2577</v>
      </c>
      <c r="G1019" s="130" t="s">
        <v>137</v>
      </c>
      <c r="I1019" s="130" t="s">
        <v>1713</v>
      </c>
      <c r="J1019" s="130" t="s">
        <v>159</v>
      </c>
      <c r="K1019" s="130" t="s">
        <v>2576</v>
      </c>
      <c r="L1019" s="130" t="s">
        <v>160</v>
      </c>
      <c r="M1019" s="128">
        <v>0</v>
      </c>
      <c r="N1019" s="128">
        <f t="shared" si="15"/>
        <v>0</v>
      </c>
      <c r="O1019" s="130" t="s">
        <v>159</v>
      </c>
      <c r="P1019" s="130" t="s">
        <v>159</v>
      </c>
      <c r="Q1019" s="130" t="s">
        <v>160</v>
      </c>
      <c r="R1019" s="128">
        <v>0</v>
      </c>
      <c r="S1019" s="130" t="s">
        <v>2554</v>
      </c>
    </row>
    <row r="1020" spans="1:19" x14ac:dyDescent="0.25">
      <c r="A1020" s="130" t="s">
        <v>2578</v>
      </c>
      <c r="B1020" s="130" t="s">
        <v>2579</v>
      </c>
      <c r="C1020" s="130" t="s">
        <v>159</v>
      </c>
      <c r="D1020" s="130" t="s">
        <v>159</v>
      </c>
      <c r="E1020" s="130" t="s">
        <v>2578</v>
      </c>
      <c r="F1020" s="130" t="s">
        <v>2579</v>
      </c>
      <c r="G1020" s="130" t="s">
        <v>137</v>
      </c>
      <c r="I1020" s="130" t="s">
        <v>1713</v>
      </c>
      <c r="J1020" s="130" t="s">
        <v>159</v>
      </c>
      <c r="K1020" s="130" t="s">
        <v>2578</v>
      </c>
      <c r="L1020" s="130" t="s">
        <v>160</v>
      </c>
      <c r="M1020" s="128">
        <v>0</v>
      </c>
      <c r="N1020" s="128">
        <f t="shared" si="15"/>
        <v>0</v>
      </c>
      <c r="O1020" s="130" t="s">
        <v>159</v>
      </c>
      <c r="P1020" s="130" t="s">
        <v>159</v>
      </c>
      <c r="Q1020" s="130" t="s">
        <v>160</v>
      </c>
      <c r="R1020" s="128">
        <v>0</v>
      </c>
      <c r="S1020" s="130" t="s">
        <v>2554</v>
      </c>
    </row>
    <row r="1021" spans="1:19" x14ac:dyDescent="0.25">
      <c r="A1021" s="130" t="s">
        <v>2580</v>
      </c>
      <c r="B1021" s="130" t="s">
        <v>2581</v>
      </c>
      <c r="C1021" s="130" t="s">
        <v>159</v>
      </c>
      <c r="D1021" s="130" t="s">
        <v>159</v>
      </c>
      <c r="E1021" s="130" t="s">
        <v>2582</v>
      </c>
      <c r="F1021" s="130" t="s">
        <v>2583</v>
      </c>
      <c r="G1021" s="130" t="s">
        <v>137</v>
      </c>
      <c r="H1021" s="130" t="s">
        <v>137</v>
      </c>
      <c r="I1021" s="130" t="s">
        <v>1713</v>
      </c>
      <c r="J1021" s="130" t="s">
        <v>159</v>
      </c>
      <c r="K1021" s="130" t="s">
        <v>2582</v>
      </c>
      <c r="L1021" s="130" t="s">
        <v>160</v>
      </c>
      <c r="M1021" s="128">
        <v>0</v>
      </c>
      <c r="N1021" s="128">
        <f t="shared" si="15"/>
        <v>0</v>
      </c>
      <c r="O1021" s="130" t="s">
        <v>159</v>
      </c>
      <c r="P1021" s="130" t="s">
        <v>159</v>
      </c>
      <c r="Q1021" s="130" t="s">
        <v>160</v>
      </c>
      <c r="R1021" s="128">
        <v>0</v>
      </c>
      <c r="S1021" s="130" t="s">
        <v>2420</v>
      </c>
    </row>
    <row r="1022" spans="1:19" x14ac:dyDescent="0.25">
      <c r="A1022" s="130" t="s">
        <v>2584</v>
      </c>
      <c r="B1022" s="130" t="s">
        <v>2585</v>
      </c>
      <c r="C1022" s="130" t="s">
        <v>159</v>
      </c>
      <c r="D1022" s="130" t="s">
        <v>159</v>
      </c>
      <c r="E1022" s="130" t="s">
        <v>2584</v>
      </c>
      <c r="F1022" s="130" t="s">
        <v>2585</v>
      </c>
      <c r="G1022" s="130" t="s">
        <v>137</v>
      </c>
      <c r="H1022" s="130" t="s">
        <v>137</v>
      </c>
      <c r="I1022" s="130" t="s">
        <v>1713</v>
      </c>
      <c r="J1022" s="130" t="s">
        <v>159</v>
      </c>
      <c r="K1022" s="130" t="s">
        <v>2584</v>
      </c>
      <c r="L1022" s="130" t="s">
        <v>160</v>
      </c>
      <c r="M1022" s="128">
        <v>0</v>
      </c>
      <c r="N1022" s="128">
        <f t="shared" si="15"/>
        <v>0</v>
      </c>
      <c r="O1022" s="130" t="s">
        <v>159</v>
      </c>
      <c r="P1022" s="130" t="s">
        <v>159</v>
      </c>
      <c r="Q1022" s="130" t="s">
        <v>160</v>
      </c>
      <c r="R1022" s="128">
        <v>0</v>
      </c>
      <c r="S1022" s="130" t="s">
        <v>2420</v>
      </c>
    </row>
    <row r="1023" spans="1:19" x14ac:dyDescent="0.25">
      <c r="A1023" s="130" t="s">
        <v>2586</v>
      </c>
      <c r="B1023" s="130" t="s">
        <v>2587</v>
      </c>
      <c r="C1023" s="130" t="s">
        <v>159</v>
      </c>
      <c r="D1023" s="130" t="s">
        <v>159</v>
      </c>
      <c r="E1023" s="130" t="s">
        <v>2586</v>
      </c>
      <c r="F1023" s="130" t="s">
        <v>2587</v>
      </c>
      <c r="G1023" s="130" t="s">
        <v>137</v>
      </c>
      <c r="H1023" s="130" t="s">
        <v>137</v>
      </c>
      <c r="I1023" s="130" t="s">
        <v>1713</v>
      </c>
      <c r="J1023" s="130" t="s">
        <v>159</v>
      </c>
      <c r="K1023" s="130" t="s">
        <v>2586</v>
      </c>
      <c r="L1023" s="130" t="s">
        <v>160</v>
      </c>
      <c r="M1023" s="128">
        <v>0</v>
      </c>
      <c r="N1023" s="128">
        <f t="shared" si="15"/>
        <v>0</v>
      </c>
      <c r="O1023" s="130" t="s">
        <v>159</v>
      </c>
      <c r="P1023" s="130" t="s">
        <v>159</v>
      </c>
      <c r="Q1023" s="130" t="s">
        <v>160</v>
      </c>
      <c r="R1023" s="128">
        <v>0</v>
      </c>
      <c r="S1023" s="130" t="s">
        <v>2420</v>
      </c>
    </row>
    <row r="1024" spans="1:19" x14ac:dyDescent="0.25">
      <c r="A1024" s="130" t="s">
        <v>2588</v>
      </c>
      <c r="B1024" s="130" t="s">
        <v>2589</v>
      </c>
      <c r="C1024" s="130" t="s">
        <v>159</v>
      </c>
      <c r="D1024" s="130" t="s">
        <v>159</v>
      </c>
      <c r="E1024" s="130" t="s">
        <v>2590</v>
      </c>
      <c r="F1024" s="130" t="s">
        <v>2591</v>
      </c>
      <c r="G1024" s="130" t="s">
        <v>137</v>
      </c>
      <c r="H1024" s="130" t="s">
        <v>137</v>
      </c>
      <c r="I1024" s="130" t="s">
        <v>1713</v>
      </c>
      <c r="J1024" s="130" t="s">
        <v>159</v>
      </c>
      <c r="K1024" s="130" t="s">
        <v>2590</v>
      </c>
      <c r="L1024" s="130" t="s">
        <v>160</v>
      </c>
      <c r="M1024" s="128">
        <v>0</v>
      </c>
      <c r="N1024" s="128">
        <f t="shared" si="15"/>
        <v>0</v>
      </c>
      <c r="O1024" s="130" t="s">
        <v>159</v>
      </c>
      <c r="P1024" s="130" t="s">
        <v>159</v>
      </c>
      <c r="Q1024" s="130" t="s">
        <v>160</v>
      </c>
      <c r="R1024" s="128">
        <v>0</v>
      </c>
      <c r="S1024" s="130" t="s">
        <v>2420</v>
      </c>
    </row>
    <row r="1025" spans="1:19" x14ac:dyDescent="0.25">
      <c r="A1025" s="130" t="s">
        <v>2592</v>
      </c>
      <c r="B1025" s="130" t="s">
        <v>2593</v>
      </c>
      <c r="C1025" s="130" t="s">
        <v>159</v>
      </c>
      <c r="D1025" s="130" t="s">
        <v>159</v>
      </c>
      <c r="E1025" s="130" t="s">
        <v>2590</v>
      </c>
      <c r="F1025" s="130" t="s">
        <v>2591</v>
      </c>
      <c r="G1025" s="130" t="s">
        <v>137</v>
      </c>
      <c r="I1025" s="130" t="s">
        <v>1713</v>
      </c>
      <c r="J1025" s="130" t="s">
        <v>159</v>
      </c>
      <c r="K1025" s="130" t="s">
        <v>2590</v>
      </c>
      <c r="L1025" s="130" t="s">
        <v>160</v>
      </c>
      <c r="M1025" s="128">
        <v>0</v>
      </c>
      <c r="N1025" s="128">
        <f t="shared" si="15"/>
        <v>0</v>
      </c>
      <c r="O1025" s="130" t="s">
        <v>159</v>
      </c>
      <c r="P1025" s="130" t="s">
        <v>159</v>
      </c>
      <c r="Q1025" s="130" t="s">
        <v>160</v>
      </c>
      <c r="R1025" s="128">
        <v>0</v>
      </c>
      <c r="S1025" s="130" t="s">
        <v>2554</v>
      </c>
    </row>
    <row r="1026" spans="1:19" x14ac:dyDescent="0.25">
      <c r="A1026" s="130" t="s">
        <v>2594</v>
      </c>
      <c r="B1026" s="130" t="s">
        <v>2595</v>
      </c>
      <c r="C1026" s="130" t="s">
        <v>159</v>
      </c>
      <c r="D1026" s="130" t="s">
        <v>159</v>
      </c>
      <c r="E1026" s="130" t="s">
        <v>2590</v>
      </c>
      <c r="F1026" s="130" t="s">
        <v>2591</v>
      </c>
      <c r="G1026" s="130" t="s">
        <v>137</v>
      </c>
      <c r="H1026" s="130" t="s">
        <v>137</v>
      </c>
      <c r="I1026" s="130" t="s">
        <v>1713</v>
      </c>
      <c r="J1026" s="130" t="s">
        <v>159</v>
      </c>
      <c r="K1026" s="130" t="s">
        <v>2590</v>
      </c>
      <c r="L1026" s="130" t="s">
        <v>160</v>
      </c>
      <c r="M1026" s="128">
        <v>0</v>
      </c>
      <c r="N1026" s="128">
        <f t="shared" si="15"/>
        <v>0</v>
      </c>
      <c r="O1026" s="130" t="s">
        <v>159</v>
      </c>
      <c r="P1026" s="130" t="s">
        <v>159</v>
      </c>
      <c r="Q1026" s="130" t="s">
        <v>160</v>
      </c>
      <c r="R1026" s="128">
        <v>0</v>
      </c>
      <c r="S1026" s="130" t="s">
        <v>2420</v>
      </c>
    </row>
    <row r="1027" spans="1:19" x14ac:dyDescent="0.25">
      <c r="A1027" s="130" t="s">
        <v>2596</v>
      </c>
      <c r="B1027" s="130" t="s">
        <v>2597</v>
      </c>
      <c r="C1027" s="130" t="s">
        <v>1020</v>
      </c>
      <c r="D1027" s="130" t="s">
        <v>1020</v>
      </c>
      <c r="E1027" s="130" t="s">
        <v>2590</v>
      </c>
      <c r="F1027" s="130" t="s">
        <v>2591</v>
      </c>
      <c r="G1027" s="130" t="s">
        <v>137</v>
      </c>
      <c r="H1027" s="130" t="s">
        <v>137</v>
      </c>
      <c r="I1027" s="130" t="s">
        <v>1713</v>
      </c>
      <c r="J1027" s="130" t="s">
        <v>159</v>
      </c>
      <c r="K1027" s="130" t="s">
        <v>2590</v>
      </c>
      <c r="L1027" s="130" t="s">
        <v>160</v>
      </c>
      <c r="M1027" s="128">
        <v>0</v>
      </c>
      <c r="N1027" s="128">
        <f t="shared" ref="N1027:N1090" si="16">M1027-L1027</f>
        <v>0</v>
      </c>
      <c r="O1027" s="130" t="s">
        <v>1020</v>
      </c>
      <c r="P1027" s="130" t="s">
        <v>1020</v>
      </c>
      <c r="Q1027" s="130" t="s">
        <v>160</v>
      </c>
      <c r="R1027" s="128">
        <v>0</v>
      </c>
      <c r="S1027" s="130" t="s">
        <v>2420</v>
      </c>
    </row>
    <row r="1028" spans="1:19" x14ac:dyDescent="0.25">
      <c r="A1028" s="130" t="s">
        <v>2598</v>
      </c>
      <c r="B1028" s="130" t="s">
        <v>2599</v>
      </c>
      <c r="C1028" s="130" t="s">
        <v>1020</v>
      </c>
      <c r="D1028" s="130" t="s">
        <v>1020</v>
      </c>
      <c r="E1028" s="130" t="s">
        <v>2590</v>
      </c>
      <c r="F1028" s="130" t="s">
        <v>2591</v>
      </c>
      <c r="G1028" s="130" t="s">
        <v>137</v>
      </c>
      <c r="I1028" s="130" t="s">
        <v>1713</v>
      </c>
      <c r="J1028" s="130" t="s">
        <v>159</v>
      </c>
      <c r="K1028" s="130" t="s">
        <v>2590</v>
      </c>
      <c r="L1028" s="130" t="s">
        <v>160</v>
      </c>
      <c r="M1028" s="128">
        <v>0</v>
      </c>
      <c r="N1028" s="128">
        <f t="shared" si="16"/>
        <v>0</v>
      </c>
      <c r="O1028" s="130" t="s">
        <v>1020</v>
      </c>
      <c r="P1028" s="130" t="s">
        <v>1020</v>
      </c>
      <c r="Q1028" s="130" t="s">
        <v>160</v>
      </c>
      <c r="R1028" s="128">
        <v>0</v>
      </c>
      <c r="S1028" s="130" t="s">
        <v>2591</v>
      </c>
    </row>
    <row r="1029" spans="1:19" x14ac:dyDescent="0.25">
      <c r="A1029" s="130" t="s">
        <v>2600</v>
      </c>
      <c r="B1029" s="130" t="s">
        <v>2601</v>
      </c>
      <c r="C1029" s="130" t="s">
        <v>159</v>
      </c>
      <c r="D1029" s="130" t="s">
        <v>159</v>
      </c>
      <c r="E1029" s="130" t="s">
        <v>2590</v>
      </c>
      <c r="F1029" s="130" t="s">
        <v>2591</v>
      </c>
      <c r="G1029" s="130" t="s">
        <v>137</v>
      </c>
      <c r="H1029" s="130" t="s">
        <v>137</v>
      </c>
      <c r="I1029" s="130" t="s">
        <v>1713</v>
      </c>
      <c r="J1029" s="130" t="s">
        <v>159</v>
      </c>
      <c r="K1029" s="130" t="s">
        <v>2590</v>
      </c>
      <c r="L1029" s="130" t="s">
        <v>160</v>
      </c>
      <c r="M1029" s="128">
        <v>0</v>
      </c>
      <c r="N1029" s="128">
        <f t="shared" si="16"/>
        <v>0</v>
      </c>
      <c r="O1029" s="130" t="s">
        <v>159</v>
      </c>
      <c r="P1029" s="130" t="s">
        <v>159</v>
      </c>
      <c r="Q1029" s="130" t="s">
        <v>160</v>
      </c>
      <c r="R1029" s="128">
        <v>0</v>
      </c>
      <c r="S1029" s="130" t="s">
        <v>2420</v>
      </c>
    </row>
    <row r="1030" spans="1:19" x14ac:dyDescent="0.25">
      <c r="A1030" s="130" t="s">
        <v>2602</v>
      </c>
      <c r="B1030" s="130" t="s">
        <v>2603</v>
      </c>
      <c r="C1030" s="130" t="s">
        <v>134</v>
      </c>
      <c r="D1030" s="130" t="s">
        <v>134</v>
      </c>
      <c r="E1030" s="130" t="s">
        <v>2590</v>
      </c>
      <c r="F1030" s="130" t="s">
        <v>2591</v>
      </c>
      <c r="G1030" s="130" t="s">
        <v>137</v>
      </c>
      <c r="H1030" s="130" t="s">
        <v>137</v>
      </c>
      <c r="I1030" s="130" t="s">
        <v>1713</v>
      </c>
      <c r="J1030" s="130" t="s">
        <v>159</v>
      </c>
      <c r="K1030" s="130" t="s">
        <v>2590</v>
      </c>
      <c r="L1030" s="130" t="s">
        <v>160</v>
      </c>
      <c r="M1030" s="128">
        <v>0</v>
      </c>
      <c r="N1030" s="128">
        <f t="shared" si="16"/>
        <v>0</v>
      </c>
      <c r="O1030" s="130" t="s">
        <v>159</v>
      </c>
      <c r="P1030" s="130" t="s">
        <v>159</v>
      </c>
      <c r="Q1030" s="130" t="s">
        <v>160</v>
      </c>
      <c r="R1030" s="128">
        <v>0</v>
      </c>
      <c r="S1030" s="130" t="s">
        <v>2420</v>
      </c>
    </row>
    <row r="1031" spans="1:19" x14ac:dyDescent="0.25">
      <c r="A1031" s="130" t="s">
        <v>2604</v>
      </c>
      <c r="B1031" s="130" t="s">
        <v>2605</v>
      </c>
      <c r="C1031" s="130" t="s">
        <v>134</v>
      </c>
      <c r="D1031" s="130" t="s">
        <v>134</v>
      </c>
      <c r="E1031" s="130" t="s">
        <v>2590</v>
      </c>
      <c r="F1031" s="130" t="s">
        <v>2591</v>
      </c>
      <c r="G1031" s="130" t="s">
        <v>159</v>
      </c>
      <c r="I1031" s="130" t="s">
        <v>1713</v>
      </c>
      <c r="J1031" s="130" t="s">
        <v>159</v>
      </c>
      <c r="K1031" s="130" t="s">
        <v>2590</v>
      </c>
      <c r="L1031" s="130" t="s">
        <v>139</v>
      </c>
      <c r="M1031" s="128">
        <v>0</v>
      </c>
      <c r="N1031" s="128">
        <f t="shared" si="16"/>
        <v>-10</v>
      </c>
      <c r="O1031" s="130" t="s">
        <v>159</v>
      </c>
      <c r="P1031" s="130" t="s">
        <v>159</v>
      </c>
      <c r="Q1031" s="130" t="s">
        <v>160</v>
      </c>
      <c r="R1031" s="128">
        <v>0</v>
      </c>
      <c r="S1031" s="130" t="s">
        <v>2591</v>
      </c>
    </row>
    <row r="1032" spans="1:19" x14ac:dyDescent="0.25">
      <c r="A1032" s="130" t="s">
        <v>2606</v>
      </c>
      <c r="B1032" s="130" t="s">
        <v>2607</v>
      </c>
      <c r="C1032" s="130" t="s">
        <v>159</v>
      </c>
      <c r="D1032" s="130" t="s">
        <v>159</v>
      </c>
      <c r="E1032" s="130" t="s">
        <v>2590</v>
      </c>
      <c r="F1032" s="130" t="s">
        <v>2591</v>
      </c>
      <c r="G1032" s="130" t="s">
        <v>137</v>
      </c>
      <c r="H1032" s="130" t="s">
        <v>137</v>
      </c>
      <c r="I1032" s="130" t="s">
        <v>1713</v>
      </c>
      <c r="J1032" s="130" t="s">
        <v>159</v>
      </c>
      <c r="K1032" s="130" t="s">
        <v>2590</v>
      </c>
      <c r="L1032" s="130" t="s">
        <v>160</v>
      </c>
      <c r="M1032" s="128">
        <v>0</v>
      </c>
      <c r="N1032" s="128">
        <f t="shared" si="16"/>
        <v>0</v>
      </c>
      <c r="O1032" s="130" t="s">
        <v>159</v>
      </c>
      <c r="P1032" s="130" t="s">
        <v>159</v>
      </c>
      <c r="Q1032" s="130" t="s">
        <v>160</v>
      </c>
      <c r="R1032" s="128">
        <v>0</v>
      </c>
      <c r="S1032" s="130" t="s">
        <v>2420</v>
      </c>
    </row>
    <row r="1033" spans="1:19" x14ac:dyDescent="0.25">
      <c r="A1033" s="130" t="s">
        <v>2608</v>
      </c>
      <c r="B1033" s="130" t="s">
        <v>2609</v>
      </c>
      <c r="C1033" s="130" t="s">
        <v>159</v>
      </c>
      <c r="D1033" s="130" t="s">
        <v>159</v>
      </c>
      <c r="E1033" s="130" t="s">
        <v>2590</v>
      </c>
      <c r="F1033" s="130" t="s">
        <v>2591</v>
      </c>
      <c r="G1033" s="130" t="s">
        <v>137</v>
      </c>
      <c r="H1033" s="130" t="s">
        <v>137</v>
      </c>
      <c r="I1033" s="130" t="s">
        <v>1713</v>
      </c>
      <c r="J1033" s="130" t="s">
        <v>159</v>
      </c>
      <c r="K1033" s="130" t="s">
        <v>2590</v>
      </c>
      <c r="L1033" s="130" t="s">
        <v>160</v>
      </c>
      <c r="M1033" s="128">
        <v>0</v>
      </c>
      <c r="N1033" s="128">
        <f t="shared" si="16"/>
        <v>0</v>
      </c>
      <c r="O1033" s="130" t="s">
        <v>159</v>
      </c>
      <c r="P1033" s="130" t="s">
        <v>159</v>
      </c>
      <c r="Q1033" s="130" t="s">
        <v>160</v>
      </c>
      <c r="R1033" s="128">
        <v>0</v>
      </c>
      <c r="S1033" s="130" t="s">
        <v>2420</v>
      </c>
    </row>
    <row r="1034" spans="1:19" x14ac:dyDescent="0.25">
      <c r="A1034" s="130" t="s">
        <v>2610</v>
      </c>
      <c r="B1034" s="130" t="s">
        <v>2611</v>
      </c>
      <c r="C1034" s="130" t="s">
        <v>159</v>
      </c>
      <c r="D1034" s="130" t="s">
        <v>159</v>
      </c>
      <c r="E1034" s="130" t="s">
        <v>2590</v>
      </c>
      <c r="F1034" s="130" t="s">
        <v>2591</v>
      </c>
      <c r="G1034" s="130" t="s">
        <v>137</v>
      </c>
      <c r="H1034" s="130" t="s">
        <v>137</v>
      </c>
      <c r="I1034" s="130" t="s">
        <v>1713</v>
      </c>
      <c r="J1034" s="130" t="s">
        <v>159</v>
      </c>
      <c r="K1034" s="130" t="s">
        <v>2590</v>
      </c>
      <c r="L1034" s="130" t="s">
        <v>160</v>
      </c>
      <c r="M1034" s="128">
        <v>0</v>
      </c>
      <c r="N1034" s="128">
        <f t="shared" si="16"/>
        <v>0</v>
      </c>
      <c r="O1034" s="130" t="s">
        <v>159</v>
      </c>
      <c r="P1034" s="130" t="s">
        <v>159</v>
      </c>
      <c r="Q1034" s="130" t="s">
        <v>160</v>
      </c>
      <c r="R1034" s="128">
        <v>0</v>
      </c>
      <c r="S1034" s="130" t="s">
        <v>2420</v>
      </c>
    </row>
    <row r="1035" spans="1:19" x14ac:dyDescent="0.25">
      <c r="A1035" s="130" t="s">
        <v>2612</v>
      </c>
      <c r="B1035" s="130" t="s">
        <v>2613</v>
      </c>
      <c r="C1035" s="130" t="s">
        <v>1020</v>
      </c>
      <c r="D1035" s="130" t="s">
        <v>1020</v>
      </c>
      <c r="E1035" s="130" t="s">
        <v>2614</v>
      </c>
      <c r="F1035" s="130" t="s">
        <v>2615</v>
      </c>
      <c r="G1035" s="130" t="s">
        <v>137</v>
      </c>
      <c r="H1035" s="130" t="s">
        <v>159</v>
      </c>
      <c r="I1035" s="130" t="s">
        <v>1713</v>
      </c>
      <c r="J1035" s="130" t="s">
        <v>159</v>
      </c>
      <c r="K1035" s="130" t="s">
        <v>2614</v>
      </c>
      <c r="L1035" s="130" t="s">
        <v>160</v>
      </c>
      <c r="M1035" s="128">
        <v>0</v>
      </c>
      <c r="N1035" s="128">
        <f t="shared" si="16"/>
        <v>0</v>
      </c>
      <c r="O1035" s="130" t="s">
        <v>1020</v>
      </c>
      <c r="P1035" s="130" t="s">
        <v>1020</v>
      </c>
      <c r="Q1035" s="130" t="s">
        <v>160</v>
      </c>
      <c r="R1035" s="128">
        <v>0</v>
      </c>
      <c r="S1035" s="130" t="s">
        <v>2615</v>
      </c>
    </row>
    <row r="1036" spans="1:19" x14ac:dyDescent="0.25">
      <c r="A1036" s="130" t="s">
        <v>2616</v>
      </c>
      <c r="B1036" s="130" t="s">
        <v>2617</v>
      </c>
      <c r="C1036" s="130" t="s">
        <v>134</v>
      </c>
      <c r="D1036" s="130" t="s">
        <v>134</v>
      </c>
      <c r="E1036" s="130" t="s">
        <v>2614</v>
      </c>
      <c r="F1036" s="130" t="s">
        <v>2615</v>
      </c>
      <c r="G1036" s="130" t="s">
        <v>137</v>
      </c>
      <c r="I1036" s="130" t="s">
        <v>1713</v>
      </c>
      <c r="J1036" s="130" t="s">
        <v>159</v>
      </c>
      <c r="K1036" s="130" t="s">
        <v>2614</v>
      </c>
      <c r="L1036" s="130" t="s">
        <v>2618</v>
      </c>
      <c r="M1036" s="128">
        <v>15</v>
      </c>
      <c r="N1036" s="128">
        <f t="shared" si="16"/>
        <v>-10</v>
      </c>
      <c r="O1036" s="130" t="s">
        <v>134</v>
      </c>
      <c r="P1036" s="130" t="s">
        <v>134</v>
      </c>
      <c r="Q1036" s="130" t="s">
        <v>2618</v>
      </c>
      <c r="R1036" s="128">
        <v>15</v>
      </c>
      <c r="S1036" s="130" t="s">
        <v>2619</v>
      </c>
    </row>
    <row r="1037" spans="1:19" x14ac:dyDescent="0.25">
      <c r="A1037" s="130" t="s">
        <v>2620</v>
      </c>
      <c r="B1037" s="130" t="s">
        <v>2621</v>
      </c>
      <c r="C1037" s="130" t="s">
        <v>134</v>
      </c>
      <c r="D1037" s="130" t="s">
        <v>134</v>
      </c>
      <c r="E1037" s="130" t="s">
        <v>2614</v>
      </c>
      <c r="F1037" s="130" t="s">
        <v>2615</v>
      </c>
      <c r="G1037" s="130" t="s">
        <v>137</v>
      </c>
      <c r="I1037" s="130" t="s">
        <v>1713</v>
      </c>
      <c r="J1037" s="130" t="s">
        <v>159</v>
      </c>
      <c r="K1037" s="130" t="s">
        <v>2614</v>
      </c>
      <c r="L1037" s="130" t="s">
        <v>2618</v>
      </c>
      <c r="M1037" s="128">
        <v>15</v>
      </c>
      <c r="N1037" s="128">
        <f t="shared" si="16"/>
        <v>-10</v>
      </c>
      <c r="O1037" s="130" t="s">
        <v>134</v>
      </c>
      <c r="P1037" s="130" t="s">
        <v>134</v>
      </c>
      <c r="Q1037" s="130" t="s">
        <v>2618</v>
      </c>
      <c r="R1037" s="128">
        <v>15</v>
      </c>
      <c r="S1037" s="130" t="s">
        <v>2619</v>
      </c>
    </row>
    <row r="1038" spans="1:19" x14ac:dyDescent="0.25">
      <c r="A1038" s="130" t="s">
        <v>2622</v>
      </c>
      <c r="B1038" s="130" t="s">
        <v>2623</v>
      </c>
      <c r="C1038" s="130" t="s">
        <v>134</v>
      </c>
      <c r="D1038" s="130" t="s">
        <v>134</v>
      </c>
      <c r="E1038" s="130" t="s">
        <v>2614</v>
      </c>
      <c r="F1038" s="130" t="s">
        <v>2615</v>
      </c>
      <c r="G1038" s="130" t="s">
        <v>137</v>
      </c>
      <c r="I1038" s="130" t="s">
        <v>1713</v>
      </c>
      <c r="J1038" s="130" t="s">
        <v>159</v>
      </c>
      <c r="K1038" s="130" t="s">
        <v>2614</v>
      </c>
      <c r="L1038" s="130" t="s">
        <v>2618</v>
      </c>
      <c r="M1038" s="128">
        <v>15</v>
      </c>
      <c r="N1038" s="128">
        <f t="shared" si="16"/>
        <v>-10</v>
      </c>
      <c r="O1038" s="130" t="s">
        <v>134</v>
      </c>
      <c r="P1038" s="130" t="s">
        <v>134</v>
      </c>
      <c r="Q1038" s="130" t="s">
        <v>2618</v>
      </c>
      <c r="R1038" s="128">
        <v>15</v>
      </c>
      <c r="S1038" s="130" t="s">
        <v>2619</v>
      </c>
    </row>
    <row r="1039" spans="1:19" x14ac:dyDescent="0.25">
      <c r="A1039" s="130" t="s">
        <v>2624</v>
      </c>
      <c r="B1039" s="130" t="s">
        <v>2625</v>
      </c>
      <c r="C1039" s="130" t="s">
        <v>159</v>
      </c>
      <c r="D1039" s="130" t="s">
        <v>159</v>
      </c>
      <c r="E1039" s="130" t="s">
        <v>2624</v>
      </c>
      <c r="F1039" s="130" t="s">
        <v>2625</v>
      </c>
      <c r="G1039" s="130" t="s">
        <v>137</v>
      </c>
      <c r="H1039" s="130" t="s">
        <v>137</v>
      </c>
      <c r="I1039" s="130" t="s">
        <v>1713</v>
      </c>
      <c r="J1039" s="130" t="s">
        <v>159</v>
      </c>
      <c r="K1039" s="130" t="s">
        <v>2624</v>
      </c>
      <c r="L1039" s="130" t="s">
        <v>160</v>
      </c>
      <c r="M1039" s="128">
        <v>0</v>
      </c>
      <c r="N1039" s="128">
        <f t="shared" si="16"/>
        <v>0</v>
      </c>
      <c r="O1039" s="130" t="s">
        <v>159</v>
      </c>
      <c r="P1039" s="130" t="s">
        <v>159</v>
      </c>
      <c r="Q1039" s="130" t="s">
        <v>160</v>
      </c>
      <c r="R1039" s="128">
        <v>0</v>
      </c>
      <c r="S1039" s="130" t="s">
        <v>2420</v>
      </c>
    </row>
    <row r="1040" spans="1:19" x14ac:dyDescent="0.25">
      <c r="A1040" s="130" t="s">
        <v>2626</v>
      </c>
      <c r="B1040" s="130" t="s">
        <v>2627</v>
      </c>
      <c r="C1040" s="130" t="s">
        <v>134</v>
      </c>
      <c r="D1040" s="130" t="s">
        <v>134</v>
      </c>
      <c r="E1040" s="130" t="s">
        <v>2628</v>
      </c>
      <c r="F1040" s="130" t="s">
        <v>2629</v>
      </c>
      <c r="G1040" s="130" t="s">
        <v>137</v>
      </c>
      <c r="I1040" s="130" t="s">
        <v>1713</v>
      </c>
      <c r="J1040" s="130" t="s">
        <v>159</v>
      </c>
      <c r="K1040" s="130" t="s">
        <v>2628</v>
      </c>
      <c r="L1040" s="130" t="s">
        <v>2630</v>
      </c>
      <c r="M1040" s="128">
        <v>9</v>
      </c>
      <c r="N1040" s="128">
        <f t="shared" si="16"/>
        <v>-7</v>
      </c>
      <c r="O1040" s="130" t="s">
        <v>134</v>
      </c>
      <c r="P1040" s="130" t="s">
        <v>134</v>
      </c>
      <c r="Q1040" s="130" t="s">
        <v>2630</v>
      </c>
      <c r="R1040" s="128">
        <v>9</v>
      </c>
      <c r="S1040" s="132" t="s">
        <v>2631</v>
      </c>
    </row>
    <row r="1041" spans="1:19" x14ac:dyDescent="0.25">
      <c r="A1041" s="130" t="s">
        <v>2632</v>
      </c>
      <c r="B1041" s="130" t="s">
        <v>2633</v>
      </c>
      <c r="C1041" s="130" t="s">
        <v>134</v>
      </c>
      <c r="D1041" s="130" t="s">
        <v>134</v>
      </c>
      <c r="E1041" s="130" t="s">
        <v>2634</v>
      </c>
      <c r="F1041" s="130" t="s">
        <v>2635</v>
      </c>
      <c r="G1041" s="130" t="s">
        <v>137</v>
      </c>
      <c r="I1041" s="130" t="s">
        <v>1713</v>
      </c>
      <c r="J1041" s="130" t="s">
        <v>159</v>
      </c>
      <c r="K1041" s="130" t="s">
        <v>2634</v>
      </c>
      <c r="L1041" s="130" t="s">
        <v>2630</v>
      </c>
      <c r="M1041" s="128">
        <v>13</v>
      </c>
      <c r="N1041" s="128">
        <f t="shared" si="16"/>
        <v>-3</v>
      </c>
      <c r="O1041" s="130" t="s">
        <v>134</v>
      </c>
      <c r="P1041" s="130" t="s">
        <v>134</v>
      </c>
      <c r="Q1041" s="130" t="s">
        <v>2630</v>
      </c>
      <c r="R1041" s="128">
        <v>13</v>
      </c>
      <c r="S1041" s="130" t="s">
        <v>2636</v>
      </c>
    </row>
    <row r="1042" spans="1:19" x14ac:dyDescent="0.25">
      <c r="A1042" s="130" t="s">
        <v>2637</v>
      </c>
      <c r="B1042" s="130" t="s">
        <v>2638</v>
      </c>
      <c r="C1042" s="130" t="s">
        <v>134</v>
      </c>
      <c r="D1042" s="130" t="s">
        <v>134</v>
      </c>
      <c r="E1042" s="130" t="s">
        <v>2634</v>
      </c>
      <c r="F1042" s="130" t="s">
        <v>2635</v>
      </c>
      <c r="G1042" s="130" t="s">
        <v>137</v>
      </c>
      <c r="I1042" s="130" t="s">
        <v>1713</v>
      </c>
      <c r="J1042" s="130" t="s">
        <v>159</v>
      </c>
      <c r="K1042" s="130" t="s">
        <v>2634</v>
      </c>
      <c r="L1042" s="130" t="s">
        <v>2630</v>
      </c>
      <c r="M1042" s="128">
        <v>13</v>
      </c>
      <c r="N1042" s="128">
        <f t="shared" si="16"/>
        <v>-3</v>
      </c>
      <c r="O1042" s="130" t="s">
        <v>134</v>
      </c>
      <c r="P1042" s="130" t="s">
        <v>134</v>
      </c>
      <c r="Q1042" s="130" t="s">
        <v>2630</v>
      </c>
      <c r="R1042" s="128">
        <v>13</v>
      </c>
      <c r="S1042" s="130" t="s">
        <v>2636</v>
      </c>
    </row>
    <row r="1043" spans="1:19" x14ac:dyDescent="0.25">
      <c r="A1043" s="130" t="s">
        <v>2639</v>
      </c>
      <c r="B1043" s="130" t="s">
        <v>2640</v>
      </c>
      <c r="C1043" s="130" t="s">
        <v>134</v>
      </c>
      <c r="D1043" s="130" t="s">
        <v>134</v>
      </c>
      <c r="E1043" s="130" t="s">
        <v>2639</v>
      </c>
      <c r="F1043" s="130" t="s">
        <v>2640</v>
      </c>
      <c r="G1043" s="130" t="s">
        <v>137</v>
      </c>
      <c r="I1043" s="130" t="s">
        <v>1713</v>
      </c>
      <c r="J1043" s="130" t="s">
        <v>159</v>
      </c>
      <c r="K1043" s="130" t="s">
        <v>2639</v>
      </c>
      <c r="L1043" s="130" t="s">
        <v>2630</v>
      </c>
      <c r="M1043" s="128">
        <v>13</v>
      </c>
      <c r="N1043" s="128">
        <f t="shared" si="16"/>
        <v>-3</v>
      </c>
      <c r="O1043" s="130" t="s">
        <v>134</v>
      </c>
      <c r="P1043" s="130" t="s">
        <v>134</v>
      </c>
      <c r="Q1043" s="130" t="s">
        <v>2630</v>
      </c>
      <c r="R1043" s="128">
        <v>13</v>
      </c>
      <c r="S1043" s="130" t="s">
        <v>2636</v>
      </c>
    </row>
    <row r="1044" spans="1:19" x14ac:dyDescent="0.25">
      <c r="A1044" s="130" t="s">
        <v>2641</v>
      </c>
      <c r="B1044" s="130" t="s">
        <v>2642</v>
      </c>
      <c r="C1044" s="130" t="s">
        <v>134</v>
      </c>
      <c r="D1044" s="130" t="s">
        <v>134</v>
      </c>
      <c r="E1044" s="130" t="s">
        <v>2643</v>
      </c>
      <c r="F1044" s="130" t="s">
        <v>2644</v>
      </c>
      <c r="G1044" s="130" t="s">
        <v>137</v>
      </c>
      <c r="I1044" s="130" t="s">
        <v>1713</v>
      </c>
      <c r="J1044" s="130" t="s">
        <v>159</v>
      </c>
      <c r="K1044" s="130" t="s">
        <v>2643</v>
      </c>
      <c r="L1044" s="130" t="s">
        <v>2630</v>
      </c>
      <c r="M1044" s="128">
        <v>13</v>
      </c>
      <c r="N1044" s="128">
        <f t="shared" si="16"/>
        <v>-3</v>
      </c>
      <c r="O1044" s="130" t="s">
        <v>134</v>
      </c>
      <c r="P1044" s="130" t="s">
        <v>134</v>
      </c>
      <c r="Q1044" s="130" t="s">
        <v>2630</v>
      </c>
      <c r="R1044" s="128">
        <v>13</v>
      </c>
      <c r="S1044" s="130" t="s">
        <v>2636</v>
      </c>
    </row>
    <row r="1045" spans="1:19" x14ac:dyDescent="0.25">
      <c r="A1045" s="130" t="s">
        <v>2645</v>
      </c>
      <c r="B1045" s="130" t="s">
        <v>2646</v>
      </c>
      <c r="C1045" s="130" t="s">
        <v>134</v>
      </c>
      <c r="D1045" s="130" t="s">
        <v>134</v>
      </c>
      <c r="E1045" s="130" t="s">
        <v>2634</v>
      </c>
      <c r="F1045" s="130" t="s">
        <v>2635</v>
      </c>
      <c r="G1045" s="130" t="s">
        <v>137</v>
      </c>
      <c r="I1045" s="130" t="s">
        <v>1713</v>
      </c>
      <c r="J1045" s="130" t="s">
        <v>159</v>
      </c>
      <c r="K1045" s="130" t="s">
        <v>2634</v>
      </c>
      <c r="L1045" s="130" t="s">
        <v>417</v>
      </c>
      <c r="M1045" s="128">
        <v>13</v>
      </c>
      <c r="N1045" s="128">
        <f t="shared" si="16"/>
        <v>1</v>
      </c>
      <c r="O1045" s="130" t="s">
        <v>134</v>
      </c>
      <c r="P1045" s="130" t="s">
        <v>134</v>
      </c>
      <c r="Q1045" s="130" t="s">
        <v>417</v>
      </c>
      <c r="R1045" s="128">
        <v>13</v>
      </c>
      <c r="S1045" s="130" t="s">
        <v>2636</v>
      </c>
    </row>
    <row r="1046" spans="1:19" x14ac:dyDescent="0.25">
      <c r="A1046" s="130" t="s">
        <v>2647</v>
      </c>
      <c r="B1046" s="130" t="s">
        <v>2648</v>
      </c>
      <c r="C1046" s="130" t="s">
        <v>159</v>
      </c>
      <c r="D1046" s="130" t="s">
        <v>159</v>
      </c>
      <c r="E1046" s="130" t="s">
        <v>2634</v>
      </c>
      <c r="F1046" s="130" t="s">
        <v>2635</v>
      </c>
      <c r="G1046" s="130" t="s">
        <v>137</v>
      </c>
      <c r="I1046" s="130" t="s">
        <v>1713</v>
      </c>
      <c r="J1046" s="130" t="s">
        <v>159</v>
      </c>
      <c r="K1046" s="130" t="s">
        <v>2634</v>
      </c>
      <c r="L1046" s="130" t="s">
        <v>417</v>
      </c>
      <c r="M1046" s="128">
        <v>9</v>
      </c>
      <c r="N1046" s="128">
        <f t="shared" si="16"/>
        <v>-3</v>
      </c>
      <c r="O1046" s="130" t="s">
        <v>159</v>
      </c>
      <c r="P1046" s="130" t="s">
        <v>159</v>
      </c>
      <c r="Q1046" s="130" t="s">
        <v>160</v>
      </c>
      <c r="R1046" s="128">
        <v>0</v>
      </c>
      <c r="S1046" s="130" t="s">
        <v>2631</v>
      </c>
    </row>
    <row r="1047" spans="1:19" x14ac:dyDescent="0.25">
      <c r="A1047" s="130" t="s">
        <v>2649</v>
      </c>
      <c r="B1047" s="130" t="s">
        <v>2650</v>
      </c>
      <c r="C1047" s="130" t="s">
        <v>134</v>
      </c>
      <c r="D1047" s="130" t="s">
        <v>134</v>
      </c>
      <c r="E1047" s="130" t="s">
        <v>2634</v>
      </c>
      <c r="F1047" s="130" t="s">
        <v>2635</v>
      </c>
      <c r="G1047" s="130" t="s">
        <v>137</v>
      </c>
      <c r="I1047" s="130" t="s">
        <v>1713</v>
      </c>
      <c r="J1047" s="130" t="s">
        <v>159</v>
      </c>
      <c r="K1047" s="130" t="s">
        <v>2634</v>
      </c>
      <c r="L1047" s="130" t="s">
        <v>417</v>
      </c>
      <c r="M1047" s="128">
        <v>13</v>
      </c>
      <c r="N1047" s="128">
        <f t="shared" si="16"/>
        <v>1</v>
      </c>
      <c r="O1047" s="130" t="s">
        <v>134</v>
      </c>
      <c r="P1047" s="130" t="s">
        <v>134</v>
      </c>
      <c r="Q1047" s="130" t="s">
        <v>417</v>
      </c>
      <c r="R1047" s="128">
        <v>13</v>
      </c>
      <c r="S1047" s="130" t="s">
        <v>2636</v>
      </c>
    </row>
    <row r="1048" spans="1:19" x14ac:dyDescent="0.25">
      <c r="A1048" s="130" t="s">
        <v>2651</v>
      </c>
      <c r="B1048" s="130" t="s">
        <v>2652</v>
      </c>
      <c r="C1048" s="130" t="s">
        <v>134</v>
      </c>
      <c r="D1048" s="130" t="s">
        <v>134</v>
      </c>
      <c r="E1048" s="130" t="s">
        <v>2634</v>
      </c>
      <c r="F1048" s="130" t="s">
        <v>2635</v>
      </c>
      <c r="G1048" s="130" t="s">
        <v>137</v>
      </c>
      <c r="I1048" s="130" t="s">
        <v>1713</v>
      </c>
      <c r="J1048" s="130" t="s">
        <v>159</v>
      </c>
      <c r="K1048" s="130" t="s">
        <v>2634</v>
      </c>
      <c r="L1048" s="130" t="s">
        <v>2630</v>
      </c>
      <c r="M1048" s="128">
        <v>13</v>
      </c>
      <c r="N1048" s="128">
        <f t="shared" si="16"/>
        <v>-3</v>
      </c>
      <c r="O1048" s="130" t="s">
        <v>134</v>
      </c>
      <c r="P1048" s="130" t="s">
        <v>134</v>
      </c>
      <c r="Q1048" s="130" t="s">
        <v>2630</v>
      </c>
      <c r="R1048" s="128">
        <v>13</v>
      </c>
      <c r="S1048" s="130" t="s">
        <v>2636</v>
      </c>
    </row>
    <row r="1049" spans="1:19" x14ac:dyDescent="0.25">
      <c r="A1049" s="130" t="s">
        <v>2653</v>
      </c>
      <c r="B1049" s="130" t="s">
        <v>2654</v>
      </c>
      <c r="C1049" s="130" t="s">
        <v>134</v>
      </c>
      <c r="D1049" s="127" t="s">
        <v>860</v>
      </c>
      <c r="E1049" s="130" t="s">
        <v>2655</v>
      </c>
      <c r="F1049" s="130" t="s">
        <v>2656</v>
      </c>
      <c r="G1049" s="130" t="s">
        <v>137</v>
      </c>
      <c r="I1049" s="130" t="s">
        <v>1713</v>
      </c>
      <c r="J1049" s="130" t="s">
        <v>159</v>
      </c>
      <c r="K1049" s="130" t="s">
        <v>2655</v>
      </c>
      <c r="L1049" s="130" t="s">
        <v>2618</v>
      </c>
      <c r="M1049" s="128">
        <v>15</v>
      </c>
      <c r="N1049" s="128">
        <f t="shared" si="16"/>
        <v>-10</v>
      </c>
      <c r="O1049" s="130" t="s">
        <v>134</v>
      </c>
      <c r="P1049" s="127" t="s">
        <v>860</v>
      </c>
      <c r="Q1049" s="130" t="s">
        <v>2618</v>
      </c>
      <c r="R1049" s="128">
        <v>15</v>
      </c>
      <c r="S1049" s="130" t="s">
        <v>2619</v>
      </c>
    </row>
    <row r="1050" spans="1:19" x14ac:dyDescent="0.25">
      <c r="A1050" s="130" t="s">
        <v>2657</v>
      </c>
      <c r="B1050" s="130" t="s">
        <v>2658</v>
      </c>
      <c r="C1050" s="130" t="s">
        <v>134</v>
      </c>
      <c r="D1050" s="127" t="s">
        <v>860</v>
      </c>
      <c r="E1050" s="130" t="s">
        <v>2655</v>
      </c>
      <c r="F1050" s="130" t="s">
        <v>2656</v>
      </c>
      <c r="G1050" s="130" t="s">
        <v>137</v>
      </c>
      <c r="I1050" s="130" t="s">
        <v>1713</v>
      </c>
      <c r="J1050" s="130" t="s">
        <v>159</v>
      </c>
      <c r="K1050" s="130" t="s">
        <v>2655</v>
      </c>
      <c r="L1050" s="130" t="s">
        <v>2618</v>
      </c>
      <c r="M1050" s="128">
        <v>15</v>
      </c>
      <c r="N1050" s="128">
        <f t="shared" si="16"/>
        <v>-10</v>
      </c>
      <c r="O1050" s="130" t="s">
        <v>134</v>
      </c>
      <c r="P1050" s="127" t="s">
        <v>860</v>
      </c>
      <c r="Q1050" s="130" t="s">
        <v>2618</v>
      </c>
      <c r="R1050" s="128">
        <v>15</v>
      </c>
      <c r="S1050" s="130" t="s">
        <v>2619</v>
      </c>
    </row>
    <row r="1051" spans="1:19" x14ac:dyDescent="0.25">
      <c r="A1051" s="130" t="s">
        <v>2659</v>
      </c>
      <c r="B1051" s="130" t="s">
        <v>2660</v>
      </c>
      <c r="C1051" s="130" t="s">
        <v>134</v>
      </c>
      <c r="D1051" s="130" t="s">
        <v>134</v>
      </c>
      <c r="E1051" s="130" t="s">
        <v>2655</v>
      </c>
      <c r="F1051" s="130" t="s">
        <v>2656</v>
      </c>
      <c r="G1051" s="130" t="s">
        <v>137</v>
      </c>
      <c r="I1051" s="130" t="s">
        <v>1713</v>
      </c>
      <c r="J1051" s="130" t="s">
        <v>159</v>
      </c>
      <c r="K1051" s="130" t="s">
        <v>2655</v>
      </c>
      <c r="L1051" s="130" t="s">
        <v>2618</v>
      </c>
      <c r="M1051" s="128">
        <v>15</v>
      </c>
      <c r="N1051" s="128">
        <f t="shared" si="16"/>
        <v>-10</v>
      </c>
      <c r="O1051" s="130" t="s">
        <v>134</v>
      </c>
      <c r="P1051" s="130" t="s">
        <v>134</v>
      </c>
      <c r="Q1051" s="130" t="s">
        <v>2618</v>
      </c>
      <c r="R1051" s="128">
        <v>15</v>
      </c>
      <c r="S1051" s="130" t="s">
        <v>2619</v>
      </c>
    </row>
    <row r="1052" spans="1:19" x14ac:dyDescent="0.25">
      <c r="A1052" s="130" t="s">
        <v>2661</v>
      </c>
      <c r="B1052" s="130" t="s">
        <v>2662</v>
      </c>
      <c r="C1052" s="130" t="s">
        <v>134</v>
      </c>
      <c r="D1052" s="130" t="s">
        <v>134</v>
      </c>
      <c r="E1052" s="130" t="s">
        <v>2655</v>
      </c>
      <c r="F1052" s="130" t="s">
        <v>2656</v>
      </c>
      <c r="G1052" s="130" t="s">
        <v>137</v>
      </c>
      <c r="I1052" s="130" t="s">
        <v>1713</v>
      </c>
      <c r="J1052" s="130" t="s">
        <v>159</v>
      </c>
      <c r="K1052" s="130" t="s">
        <v>2655</v>
      </c>
      <c r="L1052" s="130" t="s">
        <v>2618</v>
      </c>
      <c r="M1052" s="128">
        <v>15</v>
      </c>
      <c r="N1052" s="128">
        <f t="shared" si="16"/>
        <v>-10</v>
      </c>
      <c r="O1052" s="130" t="s">
        <v>134</v>
      </c>
      <c r="P1052" s="130" t="s">
        <v>134</v>
      </c>
      <c r="Q1052" s="130" t="s">
        <v>2618</v>
      </c>
      <c r="R1052" s="128">
        <v>15</v>
      </c>
      <c r="S1052" s="130" t="s">
        <v>2619</v>
      </c>
    </row>
    <row r="1053" spans="1:19" x14ac:dyDescent="0.25">
      <c r="A1053" s="130" t="s">
        <v>2663</v>
      </c>
      <c r="B1053" s="130" t="s">
        <v>2664</v>
      </c>
      <c r="C1053" s="130" t="s">
        <v>134</v>
      </c>
      <c r="D1053" s="130" t="s">
        <v>134</v>
      </c>
      <c r="E1053" s="130" t="s">
        <v>2663</v>
      </c>
      <c r="F1053" s="130" t="s">
        <v>2664</v>
      </c>
      <c r="G1053" s="130" t="s">
        <v>137</v>
      </c>
      <c r="I1053" s="130" t="s">
        <v>1713</v>
      </c>
      <c r="J1053" s="130" t="s">
        <v>159</v>
      </c>
      <c r="K1053" s="130" t="s">
        <v>2663</v>
      </c>
      <c r="L1053" s="130" t="s">
        <v>2618</v>
      </c>
      <c r="M1053" s="128">
        <v>15</v>
      </c>
      <c r="N1053" s="128">
        <f t="shared" si="16"/>
        <v>-10</v>
      </c>
      <c r="O1053" s="130" t="s">
        <v>134</v>
      </c>
      <c r="P1053" s="130" t="s">
        <v>134</v>
      </c>
      <c r="Q1053" s="130" t="s">
        <v>2618</v>
      </c>
      <c r="R1053" s="128">
        <v>15</v>
      </c>
      <c r="S1053" s="130" t="s">
        <v>2619</v>
      </c>
    </row>
    <row r="1054" spans="1:19" x14ac:dyDescent="0.25">
      <c r="A1054" s="130" t="s">
        <v>2665</v>
      </c>
      <c r="B1054" s="130" t="s">
        <v>2666</v>
      </c>
      <c r="C1054" s="130" t="s">
        <v>134</v>
      </c>
      <c r="D1054" s="130" t="s">
        <v>134</v>
      </c>
      <c r="E1054" s="130" t="s">
        <v>2665</v>
      </c>
      <c r="F1054" s="130" t="s">
        <v>2666</v>
      </c>
      <c r="G1054" s="130" t="s">
        <v>137</v>
      </c>
      <c r="I1054" s="130" t="s">
        <v>1713</v>
      </c>
      <c r="J1054" s="130" t="s">
        <v>159</v>
      </c>
      <c r="K1054" s="130" t="s">
        <v>2665</v>
      </c>
      <c r="L1054" s="130" t="s">
        <v>2618</v>
      </c>
      <c r="M1054" s="128">
        <v>13</v>
      </c>
      <c r="N1054" s="128">
        <f t="shared" si="16"/>
        <v>-12</v>
      </c>
      <c r="O1054" s="130" t="s">
        <v>134</v>
      </c>
      <c r="P1054" s="130" t="s">
        <v>134</v>
      </c>
      <c r="Q1054" s="130" t="s">
        <v>2618</v>
      </c>
      <c r="R1054" s="128">
        <v>13</v>
      </c>
      <c r="S1054" s="130" t="s">
        <v>2636</v>
      </c>
    </row>
    <row r="1055" spans="1:19" x14ac:dyDescent="0.25">
      <c r="A1055" s="130" t="s">
        <v>2667</v>
      </c>
      <c r="B1055" s="130" t="s">
        <v>2668</v>
      </c>
      <c r="C1055" s="130" t="s">
        <v>134</v>
      </c>
      <c r="D1055" s="130" t="s">
        <v>134</v>
      </c>
      <c r="E1055" s="130" t="s">
        <v>2667</v>
      </c>
      <c r="F1055" s="130" t="s">
        <v>2668</v>
      </c>
      <c r="G1055" s="130" t="s">
        <v>137</v>
      </c>
      <c r="I1055" s="130" t="s">
        <v>1713</v>
      </c>
      <c r="J1055" s="130" t="s">
        <v>159</v>
      </c>
      <c r="K1055" s="130" t="s">
        <v>2667</v>
      </c>
      <c r="L1055" s="130" t="s">
        <v>2618</v>
      </c>
      <c r="M1055" s="128">
        <v>13</v>
      </c>
      <c r="N1055" s="128">
        <f t="shared" si="16"/>
        <v>-12</v>
      </c>
      <c r="O1055" s="130" t="s">
        <v>134</v>
      </c>
      <c r="P1055" s="130" t="s">
        <v>134</v>
      </c>
      <c r="Q1055" s="130" t="s">
        <v>2618</v>
      </c>
      <c r="R1055" s="128">
        <v>13</v>
      </c>
      <c r="S1055" s="130" t="s">
        <v>2636</v>
      </c>
    </row>
    <row r="1056" spans="1:19" x14ac:dyDescent="0.25">
      <c r="A1056" s="130" t="s">
        <v>2669</v>
      </c>
      <c r="B1056" s="130" t="s">
        <v>2670</v>
      </c>
      <c r="C1056" s="130" t="s">
        <v>134</v>
      </c>
      <c r="D1056" s="130" t="s">
        <v>134</v>
      </c>
      <c r="E1056" s="130" t="s">
        <v>2669</v>
      </c>
      <c r="F1056" s="130" t="s">
        <v>2670</v>
      </c>
      <c r="G1056" s="130" t="s">
        <v>137</v>
      </c>
      <c r="I1056" s="130" t="s">
        <v>1713</v>
      </c>
      <c r="J1056" s="130" t="s">
        <v>159</v>
      </c>
      <c r="K1056" s="130" t="s">
        <v>2669</v>
      </c>
      <c r="L1056" s="130" t="s">
        <v>2618</v>
      </c>
      <c r="M1056" s="128">
        <v>13</v>
      </c>
      <c r="N1056" s="128">
        <f t="shared" si="16"/>
        <v>-12</v>
      </c>
      <c r="O1056" s="130" t="s">
        <v>134</v>
      </c>
      <c r="P1056" s="130" t="s">
        <v>134</v>
      </c>
      <c r="Q1056" s="130" t="s">
        <v>2618</v>
      </c>
      <c r="R1056" s="128">
        <v>13</v>
      </c>
      <c r="S1056" s="130" t="s">
        <v>2636</v>
      </c>
    </row>
    <row r="1057" spans="1:19" x14ac:dyDescent="0.25">
      <c r="A1057" s="130" t="s">
        <v>2671</v>
      </c>
      <c r="B1057" s="130" t="s">
        <v>2672</v>
      </c>
      <c r="C1057" s="130" t="s">
        <v>134</v>
      </c>
      <c r="D1057" s="130" t="s">
        <v>134</v>
      </c>
      <c r="E1057" s="130" t="s">
        <v>2671</v>
      </c>
      <c r="F1057" s="130" t="s">
        <v>2672</v>
      </c>
      <c r="G1057" s="130" t="s">
        <v>137</v>
      </c>
      <c r="I1057" s="130" t="s">
        <v>1713</v>
      </c>
      <c r="J1057" s="130" t="s">
        <v>159</v>
      </c>
      <c r="K1057" s="130" t="s">
        <v>2671</v>
      </c>
      <c r="L1057" s="130" t="s">
        <v>2618</v>
      </c>
      <c r="M1057" s="128">
        <v>13</v>
      </c>
      <c r="N1057" s="128">
        <f t="shared" si="16"/>
        <v>-12</v>
      </c>
      <c r="O1057" s="130" t="s">
        <v>134</v>
      </c>
      <c r="P1057" s="130" t="s">
        <v>134</v>
      </c>
      <c r="Q1057" s="130" t="s">
        <v>2618</v>
      </c>
      <c r="R1057" s="128">
        <v>13</v>
      </c>
      <c r="S1057" s="130" t="s">
        <v>2636</v>
      </c>
    </row>
    <row r="1058" spans="1:19" x14ac:dyDescent="0.25">
      <c r="A1058" s="130" t="s">
        <v>2673</v>
      </c>
      <c r="B1058" s="130" t="s">
        <v>2674</v>
      </c>
      <c r="C1058" s="130" t="s">
        <v>134</v>
      </c>
      <c r="D1058" s="130" t="s">
        <v>134</v>
      </c>
      <c r="E1058" s="130" t="s">
        <v>2673</v>
      </c>
      <c r="F1058" s="130" t="s">
        <v>2674</v>
      </c>
      <c r="G1058" s="130" t="s">
        <v>137</v>
      </c>
      <c r="I1058" s="130" t="s">
        <v>1713</v>
      </c>
      <c r="J1058" s="130" t="s">
        <v>159</v>
      </c>
      <c r="K1058" s="130" t="s">
        <v>2673</v>
      </c>
      <c r="L1058" s="130" t="s">
        <v>2618</v>
      </c>
      <c r="M1058" s="128">
        <v>9</v>
      </c>
      <c r="N1058" s="128">
        <f t="shared" si="16"/>
        <v>-16</v>
      </c>
      <c r="O1058" s="130" t="s">
        <v>134</v>
      </c>
      <c r="P1058" s="130" t="s">
        <v>134</v>
      </c>
      <c r="Q1058" s="130" t="s">
        <v>2618</v>
      </c>
      <c r="R1058" s="128">
        <v>9</v>
      </c>
      <c r="S1058" s="130" t="s">
        <v>2631</v>
      </c>
    </row>
    <row r="1059" spans="1:19" x14ac:dyDescent="0.25">
      <c r="A1059" s="130" t="s">
        <v>2675</v>
      </c>
      <c r="B1059" s="130" t="s">
        <v>2676</v>
      </c>
      <c r="C1059" s="130" t="s">
        <v>134</v>
      </c>
      <c r="D1059" s="130" t="s">
        <v>134</v>
      </c>
      <c r="E1059" s="130" t="s">
        <v>2673</v>
      </c>
      <c r="F1059" s="130" t="s">
        <v>2674</v>
      </c>
      <c r="G1059" s="130" t="s">
        <v>137</v>
      </c>
      <c r="I1059" s="130" t="s">
        <v>1713</v>
      </c>
      <c r="J1059" s="130" t="s">
        <v>159</v>
      </c>
      <c r="K1059" s="130" t="s">
        <v>2673</v>
      </c>
      <c r="L1059" s="130" t="s">
        <v>2630</v>
      </c>
      <c r="M1059" s="128">
        <v>9</v>
      </c>
      <c r="N1059" s="128">
        <f t="shared" si="16"/>
        <v>-7</v>
      </c>
      <c r="O1059" s="130" t="s">
        <v>134</v>
      </c>
      <c r="P1059" s="130" t="s">
        <v>134</v>
      </c>
      <c r="Q1059" s="130" t="s">
        <v>2630</v>
      </c>
      <c r="R1059" s="128">
        <v>9</v>
      </c>
      <c r="S1059" s="130" t="s">
        <v>2631</v>
      </c>
    </row>
    <row r="1060" spans="1:19" x14ac:dyDescent="0.25">
      <c r="A1060" s="130" t="s">
        <v>2677</v>
      </c>
      <c r="B1060" s="130" t="s">
        <v>2678</v>
      </c>
      <c r="C1060" s="130" t="s">
        <v>1020</v>
      </c>
      <c r="D1060" s="130" t="s">
        <v>1020</v>
      </c>
      <c r="E1060" s="130" t="s">
        <v>2673</v>
      </c>
      <c r="F1060" s="130" t="s">
        <v>2674</v>
      </c>
      <c r="G1060" s="130" t="s">
        <v>137</v>
      </c>
      <c r="H1060" s="130" t="s">
        <v>159</v>
      </c>
      <c r="I1060" s="130" t="s">
        <v>1713</v>
      </c>
      <c r="J1060" s="130" t="s">
        <v>159</v>
      </c>
      <c r="K1060" s="130" t="s">
        <v>2673</v>
      </c>
      <c r="L1060" s="130" t="s">
        <v>160</v>
      </c>
      <c r="M1060" s="128">
        <v>0</v>
      </c>
      <c r="N1060" s="128">
        <f t="shared" si="16"/>
        <v>0</v>
      </c>
      <c r="O1060" s="130" t="s">
        <v>1020</v>
      </c>
      <c r="P1060" s="130" t="s">
        <v>1020</v>
      </c>
      <c r="Q1060" s="130" t="s">
        <v>160</v>
      </c>
      <c r="R1060" s="128">
        <v>0</v>
      </c>
      <c r="S1060" s="130" t="s">
        <v>2674</v>
      </c>
    </row>
    <row r="1061" spans="1:19" x14ac:dyDescent="0.25">
      <c r="A1061" s="130" t="s">
        <v>2679</v>
      </c>
      <c r="B1061" s="130" t="s">
        <v>2680</v>
      </c>
      <c r="C1061" s="130" t="s">
        <v>134</v>
      </c>
      <c r="D1061" s="130" t="s">
        <v>134</v>
      </c>
      <c r="E1061" s="130" t="s">
        <v>2673</v>
      </c>
      <c r="F1061" s="130" t="s">
        <v>2674</v>
      </c>
      <c r="G1061" s="130" t="s">
        <v>137</v>
      </c>
      <c r="I1061" s="130" t="s">
        <v>1713</v>
      </c>
      <c r="J1061" s="130" t="s">
        <v>159</v>
      </c>
      <c r="K1061" s="130" t="s">
        <v>2673</v>
      </c>
      <c r="L1061" s="130" t="s">
        <v>2630</v>
      </c>
      <c r="M1061" s="128">
        <v>9</v>
      </c>
      <c r="N1061" s="128">
        <f t="shared" si="16"/>
        <v>-7</v>
      </c>
      <c r="O1061" s="130" t="s">
        <v>134</v>
      </c>
      <c r="P1061" s="130" t="s">
        <v>134</v>
      </c>
      <c r="Q1061" s="130" t="s">
        <v>2630</v>
      </c>
      <c r="R1061" s="128">
        <v>9</v>
      </c>
      <c r="S1061" s="130" t="s">
        <v>2631</v>
      </c>
    </row>
    <row r="1062" spans="1:19" x14ac:dyDescent="0.25">
      <c r="A1062" s="130" t="s">
        <v>2681</v>
      </c>
      <c r="B1062" s="130" t="s">
        <v>2682</v>
      </c>
      <c r="C1062" s="130" t="s">
        <v>134</v>
      </c>
      <c r="D1062" s="130" t="s">
        <v>134</v>
      </c>
      <c r="E1062" s="130" t="s">
        <v>2673</v>
      </c>
      <c r="F1062" s="130" t="s">
        <v>2674</v>
      </c>
      <c r="G1062" s="130" t="s">
        <v>137</v>
      </c>
      <c r="I1062" s="130" t="s">
        <v>1713</v>
      </c>
      <c r="J1062" s="130" t="s">
        <v>159</v>
      </c>
      <c r="K1062" s="130" t="s">
        <v>2673</v>
      </c>
      <c r="L1062" s="130" t="s">
        <v>2630</v>
      </c>
      <c r="M1062" s="128">
        <v>9</v>
      </c>
      <c r="N1062" s="128">
        <f t="shared" si="16"/>
        <v>-7</v>
      </c>
      <c r="O1062" s="130" t="s">
        <v>134</v>
      </c>
      <c r="P1062" s="130" t="s">
        <v>134</v>
      </c>
      <c r="Q1062" s="130" t="s">
        <v>2630</v>
      </c>
      <c r="R1062" s="128">
        <v>9</v>
      </c>
      <c r="S1062" s="130" t="s">
        <v>2631</v>
      </c>
    </row>
    <row r="1063" spans="1:19" x14ac:dyDescent="0.25">
      <c r="A1063" s="130" t="s">
        <v>2683</v>
      </c>
      <c r="B1063" s="130" t="s">
        <v>2684</v>
      </c>
      <c r="C1063" s="130" t="s">
        <v>134</v>
      </c>
      <c r="D1063" s="130" t="s">
        <v>134</v>
      </c>
      <c r="E1063" s="130" t="s">
        <v>2685</v>
      </c>
      <c r="F1063" s="130" t="s">
        <v>2686</v>
      </c>
      <c r="G1063" s="130" t="s">
        <v>137</v>
      </c>
      <c r="I1063" s="130" t="s">
        <v>1713</v>
      </c>
      <c r="J1063" s="130" t="s">
        <v>159</v>
      </c>
      <c r="K1063" s="130" t="s">
        <v>2685</v>
      </c>
      <c r="L1063" s="130" t="s">
        <v>2630</v>
      </c>
      <c r="M1063" s="128">
        <v>9</v>
      </c>
      <c r="N1063" s="128">
        <f t="shared" si="16"/>
        <v>-7</v>
      </c>
      <c r="O1063" s="130" t="s">
        <v>134</v>
      </c>
      <c r="P1063" s="130" t="s">
        <v>134</v>
      </c>
      <c r="Q1063" s="130" t="s">
        <v>2630</v>
      </c>
      <c r="R1063" s="128">
        <v>9</v>
      </c>
      <c r="S1063" s="130" t="s">
        <v>2631</v>
      </c>
    </row>
    <row r="1064" spans="1:19" x14ac:dyDescent="0.25">
      <c r="A1064" s="130" t="s">
        <v>2687</v>
      </c>
      <c r="B1064" s="130" t="s">
        <v>2688</v>
      </c>
      <c r="C1064" s="130" t="s">
        <v>134</v>
      </c>
      <c r="D1064" s="127" t="s">
        <v>860</v>
      </c>
      <c r="E1064" s="130" t="s">
        <v>2689</v>
      </c>
      <c r="F1064" s="130" t="s">
        <v>2690</v>
      </c>
      <c r="G1064" s="130" t="s">
        <v>137</v>
      </c>
      <c r="I1064" s="130" t="s">
        <v>1713</v>
      </c>
      <c r="J1064" s="130" t="s">
        <v>159</v>
      </c>
      <c r="K1064" s="130" t="s">
        <v>2689</v>
      </c>
      <c r="L1064" s="130" t="s">
        <v>417</v>
      </c>
      <c r="M1064" s="128">
        <v>10</v>
      </c>
      <c r="N1064" s="128">
        <f t="shared" si="16"/>
        <v>-2</v>
      </c>
      <c r="O1064" s="130" t="s">
        <v>134</v>
      </c>
      <c r="P1064" s="127" t="s">
        <v>860</v>
      </c>
      <c r="Q1064" s="130" t="s">
        <v>417</v>
      </c>
      <c r="R1064" s="128">
        <v>10</v>
      </c>
      <c r="S1064" s="130" t="s">
        <v>2691</v>
      </c>
    </row>
    <row r="1065" spans="1:19" x14ac:dyDescent="0.25">
      <c r="A1065" s="130" t="s">
        <v>2692</v>
      </c>
      <c r="B1065" s="130" t="s">
        <v>2693</v>
      </c>
      <c r="C1065" s="130" t="s">
        <v>134</v>
      </c>
      <c r="D1065" s="127" t="s">
        <v>860</v>
      </c>
      <c r="E1065" s="130" t="s">
        <v>2689</v>
      </c>
      <c r="F1065" s="130" t="s">
        <v>2690</v>
      </c>
      <c r="G1065" s="130" t="s">
        <v>137</v>
      </c>
      <c r="I1065" s="130" t="s">
        <v>1713</v>
      </c>
      <c r="J1065" s="130" t="s">
        <v>159</v>
      </c>
      <c r="K1065" s="130" t="s">
        <v>2689</v>
      </c>
      <c r="L1065" s="130" t="s">
        <v>417</v>
      </c>
      <c r="M1065" s="128">
        <v>10</v>
      </c>
      <c r="N1065" s="128">
        <f t="shared" si="16"/>
        <v>-2</v>
      </c>
      <c r="O1065" s="130" t="s">
        <v>134</v>
      </c>
      <c r="P1065" s="127" t="s">
        <v>860</v>
      </c>
      <c r="Q1065" s="130" t="s">
        <v>417</v>
      </c>
      <c r="R1065" s="128">
        <v>10</v>
      </c>
      <c r="S1065" s="130" t="s">
        <v>2691</v>
      </c>
    </row>
    <row r="1066" spans="1:19" x14ac:dyDescent="0.25">
      <c r="A1066" s="130" t="s">
        <v>2694</v>
      </c>
      <c r="B1066" s="130" t="s">
        <v>2695</v>
      </c>
      <c r="C1066" s="130" t="s">
        <v>134</v>
      </c>
      <c r="D1066" s="127" t="s">
        <v>860</v>
      </c>
      <c r="E1066" s="130" t="s">
        <v>2689</v>
      </c>
      <c r="F1066" s="130" t="s">
        <v>2690</v>
      </c>
      <c r="G1066" s="130" t="s">
        <v>137</v>
      </c>
      <c r="I1066" s="130" t="s">
        <v>1713</v>
      </c>
      <c r="J1066" s="130" t="s">
        <v>159</v>
      </c>
      <c r="K1066" s="130" t="s">
        <v>2689</v>
      </c>
      <c r="L1066" s="130" t="s">
        <v>417</v>
      </c>
      <c r="M1066" s="128">
        <v>10</v>
      </c>
      <c r="N1066" s="128">
        <f t="shared" si="16"/>
        <v>-2</v>
      </c>
      <c r="O1066" s="130" t="s">
        <v>134</v>
      </c>
      <c r="P1066" s="127" t="s">
        <v>860</v>
      </c>
      <c r="Q1066" s="130" t="s">
        <v>417</v>
      </c>
      <c r="R1066" s="128">
        <v>10</v>
      </c>
      <c r="S1066" s="130" t="s">
        <v>2691</v>
      </c>
    </row>
    <row r="1067" spans="1:19" x14ac:dyDescent="0.25">
      <c r="A1067" s="130" t="s">
        <v>2696</v>
      </c>
      <c r="B1067" s="130" t="s">
        <v>2697</v>
      </c>
      <c r="C1067" s="130" t="s">
        <v>134</v>
      </c>
      <c r="D1067" s="127" t="s">
        <v>860</v>
      </c>
      <c r="E1067" s="130" t="s">
        <v>2689</v>
      </c>
      <c r="F1067" s="130" t="s">
        <v>2690</v>
      </c>
      <c r="G1067" s="130" t="s">
        <v>137</v>
      </c>
      <c r="I1067" s="130" t="s">
        <v>1713</v>
      </c>
      <c r="J1067" s="130" t="s">
        <v>159</v>
      </c>
      <c r="K1067" s="130" t="s">
        <v>2689</v>
      </c>
      <c r="L1067" s="130" t="s">
        <v>417</v>
      </c>
      <c r="M1067" s="128">
        <v>10</v>
      </c>
      <c r="N1067" s="128">
        <f t="shared" si="16"/>
        <v>-2</v>
      </c>
      <c r="O1067" s="130" t="s">
        <v>134</v>
      </c>
      <c r="P1067" s="127" t="s">
        <v>860</v>
      </c>
      <c r="Q1067" s="130" t="s">
        <v>417</v>
      </c>
      <c r="R1067" s="128">
        <v>10</v>
      </c>
      <c r="S1067" s="130" t="s">
        <v>2691</v>
      </c>
    </row>
    <row r="1068" spans="1:19" x14ac:dyDescent="0.25">
      <c r="A1068" s="130" t="s">
        <v>2698</v>
      </c>
      <c r="B1068" s="130" t="s">
        <v>2699</v>
      </c>
      <c r="C1068" s="130" t="s">
        <v>134</v>
      </c>
      <c r="D1068" s="127" t="s">
        <v>860</v>
      </c>
      <c r="E1068" s="130" t="s">
        <v>2689</v>
      </c>
      <c r="F1068" s="130" t="s">
        <v>2690</v>
      </c>
      <c r="G1068" s="130" t="s">
        <v>137</v>
      </c>
      <c r="I1068" s="130" t="s">
        <v>1713</v>
      </c>
      <c r="J1068" s="130" t="s">
        <v>159</v>
      </c>
      <c r="K1068" s="130" t="s">
        <v>2689</v>
      </c>
      <c r="L1068" s="130" t="s">
        <v>417</v>
      </c>
      <c r="M1068" s="128">
        <v>10</v>
      </c>
      <c r="N1068" s="128">
        <f t="shared" si="16"/>
        <v>-2</v>
      </c>
      <c r="O1068" s="130" t="s">
        <v>134</v>
      </c>
      <c r="P1068" s="127" t="s">
        <v>860</v>
      </c>
      <c r="Q1068" s="130" t="s">
        <v>417</v>
      </c>
      <c r="R1068" s="128">
        <v>10</v>
      </c>
      <c r="S1068" s="130" t="s">
        <v>2691</v>
      </c>
    </row>
    <row r="1069" spans="1:19" x14ac:dyDescent="0.25">
      <c r="A1069" s="130" t="s">
        <v>2700</v>
      </c>
      <c r="B1069" s="130" t="s">
        <v>2701</v>
      </c>
      <c r="C1069" s="130" t="s">
        <v>134</v>
      </c>
      <c r="D1069" s="130" t="s">
        <v>134</v>
      </c>
      <c r="E1069" s="130" t="s">
        <v>2700</v>
      </c>
      <c r="F1069" s="130" t="s">
        <v>2701</v>
      </c>
      <c r="G1069" s="130" t="s">
        <v>137</v>
      </c>
      <c r="I1069" s="130" t="s">
        <v>1713</v>
      </c>
      <c r="J1069" s="130" t="s">
        <v>159</v>
      </c>
      <c r="K1069" s="130" t="s">
        <v>2700</v>
      </c>
      <c r="L1069" s="130" t="s">
        <v>417</v>
      </c>
      <c r="M1069" s="128">
        <v>12</v>
      </c>
      <c r="N1069" s="128">
        <f t="shared" si="16"/>
        <v>0</v>
      </c>
      <c r="O1069" s="130" t="s">
        <v>134</v>
      </c>
      <c r="P1069" s="130" t="s">
        <v>134</v>
      </c>
      <c r="Q1069" s="130" t="s">
        <v>417</v>
      </c>
      <c r="R1069" s="128">
        <v>12</v>
      </c>
      <c r="S1069" s="130" t="s">
        <v>2702</v>
      </c>
    </row>
    <row r="1070" spans="1:19" x14ac:dyDescent="0.25">
      <c r="A1070" s="130" t="s">
        <v>2703</v>
      </c>
      <c r="B1070" s="130" t="s">
        <v>2704</v>
      </c>
      <c r="C1070" s="130" t="s">
        <v>159</v>
      </c>
      <c r="D1070" s="130" t="s">
        <v>159</v>
      </c>
      <c r="E1070" s="130" t="s">
        <v>2705</v>
      </c>
      <c r="F1070" s="130" t="s">
        <v>2631</v>
      </c>
      <c r="G1070" s="130" t="s">
        <v>137</v>
      </c>
      <c r="I1070" s="130" t="s">
        <v>1713</v>
      </c>
      <c r="J1070" s="130" t="s">
        <v>159</v>
      </c>
      <c r="K1070" s="130" t="s">
        <v>2705</v>
      </c>
      <c r="L1070" s="130" t="s">
        <v>417</v>
      </c>
      <c r="M1070" s="128">
        <v>9</v>
      </c>
      <c r="N1070" s="128">
        <f t="shared" si="16"/>
        <v>-3</v>
      </c>
      <c r="O1070" s="130" t="s">
        <v>159</v>
      </c>
      <c r="P1070" s="130" t="s">
        <v>159</v>
      </c>
      <c r="Q1070" s="130" t="s">
        <v>160</v>
      </c>
      <c r="R1070" s="128">
        <v>0</v>
      </c>
      <c r="S1070" s="130" t="s">
        <v>2631</v>
      </c>
    </row>
    <row r="1071" spans="1:19" x14ac:dyDescent="0.25">
      <c r="A1071" s="130" t="s">
        <v>2706</v>
      </c>
      <c r="B1071" s="130" t="s">
        <v>2707</v>
      </c>
      <c r="C1071" s="130" t="s">
        <v>134</v>
      </c>
      <c r="D1071" s="130" t="s">
        <v>134</v>
      </c>
      <c r="E1071" s="130" t="s">
        <v>2705</v>
      </c>
      <c r="F1071" s="130" t="s">
        <v>2631</v>
      </c>
      <c r="G1071" s="130" t="s">
        <v>137</v>
      </c>
      <c r="I1071" s="130" t="s">
        <v>1713</v>
      </c>
      <c r="J1071" s="130" t="s">
        <v>159</v>
      </c>
      <c r="K1071" s="130" t="s">
        <v>2705</v>
      </c>
      <c r="L1071" s="130" t="s">
        <v>2630</v>
      </c>
      <c r="M1071" s="128">
        <v>9</v>
      </c>
      <c r="N1071" s="128">
        <f t="shared" si="16"/>
        <v>-7</v>
      </c>
      <c r="O1071" s="130" t="s">
        <v>134</v>
      </c>
      <c r="P1071" s="130" t="s">
        <v>134</v>
      </c>
      <c r="Q1071" s="130" t="s">
        <v>2630</v>
      </c>
      <c r="R1071" s="128">
        <v>9</v>
      </c>
      <c r="S1071" s="130" t="s">
        <v>2631</v>
      </c>
    </row>
    <row r="1072" spans="1:19" x14ac:dyDescent="0.25">
      <c r="A1072" s="130" t="s">
        <v>2708</v>
      </c>
      <c r="B1072" s="130" t="s">
        <v>2709</v>
      </c>
      <c r="C1072" s="130" t="s">
        <v>134</v>
      </c>
      <c r="D1072" s="130" t="s">
        <v>134</v>
      </c>
      <c r="E1072" s="130" t="s">
        <v>2705</v>
      </c>
      <c r="F1072" s="130" t="s">
        <v>2631</v>
      </c>
      <c r="G1072" s="130" t="s">
        <v>137</v>
      </c>
      <c r="I1072" s="130" t="s">
        <v>1713</v>
      </c>
      <c r="J1072" s="130" t="s">
        <v>159</v>
      </c>
      <c r="K1072" s="130" t="s">
        <v>2705</v>
      </c>
      <c r="L1072" s="130" t="s">
        <v>2630</v>
      </c>
      <c r="M1072" s="128">
        <v>9</v>
      </c>
      <c r="N1072" s="128">
        <f t="shared" si="16"/>
        <v>-7</v>
      </c>
      <c r="O1072" s="130" t="s">
        <v>134</v>
      </c>
      <c r="P1072" s="130" t="s">
        <v>134</v>
      </c>
      <c r="Q1072" s="130" t="s">
        <v>2630</v>
      </c>
      <c r="R1072" s="128">
        <v>9</v>
      </c>
      <c r="S1072" s="130" t="s">
        <v>2631</v>
      </c>
    </row>
    <row r="1073" spans="1:19" x14ac:dyDescent="0.25">
      <c r="A1073" s="130" t="s">
        <v>2710</v>
      </c>
      <c r="B1073" s="130" t="s">
        <v>2711</v>
      </c>
      <c r="C1073" s="130" t="s">
        <v>134</v>
      </c>
      <c r="D1073" s="130" t="s">
        <v>134</v>
      </c>
      <c r="E1073" s="130" t="s">
        <v>2705</v>
      </c>
      <c r="F1073" s="130" t="s">
        <v>2631</v>
      </c>
      <c r="G1073" s="130" t="s">
        <v>137</v>
      </c>
      <c r="I1073" s="130" t="s">
        <v>1713</v>
      </c>
      <c r="J1073" s="130" t="s">
        <v>159</v>
      </c>
      <c r="K1073" s="130" t="s">
        <v>2705</v>
      </c>
      <c r="L1073" s="130" t="s">
        <v>2630</v>
      </c>
      <c r="M1073" s="128">
        <v>9</v>
      </c>
      <c r="N1073" s="128">
        <f t="shared" si="16"/>
        <v>-7</v>
      </c>
      <c r="O1073" s="130" t="s">
        <v>134</v>
      </c>
      <c r="P1073" s="130" t="s">
        <v>134</v>
      </c>
      <c r="Q1073" s="130" t="s">
        <v>2630</v>
      </c>
      <c r="R1073" s="128">
        <v>9</v>
      </c>
      <c r="S1073" s="130" t="s">
        <v>2631</v>
      </c>
    </row>
    <row r="1074" spans="1:19" x14ac:dyDescent="0.25">
      <c r="A1074" s="130" t="s">
        <v>2712</v>
      </c>
      <c r="B1074" s="130" t="s">
        <v>2713</v>
      </c>
      <c r="C1074" s="130" t="s">
        <v>134</v>
      </c>
      <c r="D1074" s="130" t="s">
        <v>134</v>
      </c>
      <c r="E1074" s="130" t="s">
        <v>2705</v>
      </c>
      <c r="F1074" s="130" t="s">
        <v>2631</v>
      </c>
      <c r="G1074" s="130" t="s">
        <v>137</v>
      </c>
      <c r="I1074" s="130" t="s">
        <v>1713</v>
      </c>
      <c r="J1074" s="130" t="s">
        <v>159</v>
      </c>
      <c r="K1074" s="130" t="s">
        <v>2705</v>
      </c>
      <c r="L1074" s="130" t="s">
        <v>417</v>
      </c>
      <c r="M1074" s="128">
        <v>9</v>
      </c>
      <c r="N1074" s="128">
        <f t="shared" si="16"/>
        <v>-3</v>
      </c>
      <c r="O1074" s="130" t="s">
        <v>134</v>
      </c>
      <c r="P1074" s="130" t="s">
        <v>134</v>
      </c>
      <c r="Q1074" s="130" t="s">
        <v>417</v>
      </c>
      <c r="R1074" s="128">
        <v>9</v>
      </c>
      <c r="S1074" s="130" t="s">
        <v>2631</v>
      </c>
    </row>
    <row r="1075" spans="1:19" x14ac:dyDescent="0.25">
      <c r="A1075" s="130" t="s">
        <v>2714</v>
      </c>
      <c r="B1075" s="130" t="s">
        <v>2715</v>
      </c>
      <c r="C1075" s="130" t="s">
        <v>1020</v>
      </c>
      <c r="D1075" s="130" t="s">
        <v>1020</v>
      </c>
      <c r="E1075" s="130" t="s">
        <v>2705</v>
      </c>
      <c r="F1075" s="130" t="s">
        <v>2631</v>
      </c>
      <c r="G1075" s="130" t="s">
        <v>137</v>
      </c>
      <c r="I1075" s="130" t="s">
        <v>1713</v>
      </c>
      <c r="J1075" s="130" t="s">
        <v>159</v>
      </c>
      <c r="K1075" s="130" t="s">
        <v>2705</v>
      </c>
      <c r="L1075" s="130" t="s">
        <v>160</v>
      </c>
      <c r="M1075" s="128">
        <v>0</v>
      </c>
      <c r="N1075" s="128">
        <f t="shared" si="16"/>
        <v>0</v>
      </c>
      <c r="O1075" s="130" t="s">
        <v>1020</v>
      </c>
      <c r="P1075" s="130" t="s">
        <v>1020</v>
      </c>
      <c r="Q1075" s="130" t="s">
        <v>160</v>
      </c>
      <c r="R1075" s="128">
        <v>0</v>
      </c>
      <c r="S1075" s="130" t="s">
        <v>2631</v>
      </c>
    </row>
    <row r="1076" spans="1:19" x14ac:dyDescent="0.25">
      <c r="A1076" s="130" t="s">
        <v>2716</v>
      </c>
      <c r="B1076" s="130" t="s">
        <v>2717</v>
      </c>
      <c r="C1076" s="130" t="s">
        <v>134</v>
      </c>
      <c r="D1076" s="130" t="s">
        <v>134</v>
      </c>
      <c r="E1076" s="130" t="s">
        <v>2705</v>
      </c>
      <c r="F1076" s="130" t="s">
        <v>2631</v>
      </c>
      <c r="G1076" s="130" t="s">
        <v>137</v>
      </c>
      <c r="I1076" s="130" t="s">
        <v>1713</v>
      </c>
      <c r="J1076" s="130" t="s">
        <v>159</v>
      </c>
      <c r="K1076" s="130" t="s">
        <v>2705</v>
      </c>
      <c r="L1076" s="130" t="s">
        <v>417</v>
      </c>
      <c r="M1076" s="128">
        <v>9</v>
      </c>
      <c r="N1076" s="128">
        <f t="shared" si="16"/>
        <v>-3</v>
      </c>
      <c r="O1076" s="130" t="s">
        <v>134</v>
      </c>
      <c r="P1076" s="130" t="s">
        <v>134</v>
      </c>
      <c r="Q1076" s="130" t="s">
        <v>417</v>
      </c>
      <c r="R1076" s="128">
        <v>9</v>
      </c>
      <c r="S1076" s="130" t="s">
        <v>2631</v>
      </c>
    </row>
    <row r="1077" spans="1:19" x14ac:dyDescent="0.25">
      <c r="A1077" s="130" t="s">
        <v>2718</v>
      </c>
      <c r="B1077" s="130" t="s">
        <v>2719</v>
      </c>
      <c r="C1077" s="130" t="s">
        <v>134</v>
      </c>
      <c r="D1077" s="130" t="s">
        <v>134</v>
      </c>
      <c r="E1077" s="130" t="s">
        <v>2705</v>
      </c>
      <c r="F1077" s="130" t="s">
        <v>2631</v>
      </c>
      <c r="G1077" s="130" t="s">
        <v>137</v>
      </c>
      <c r="I1077" s="130" t="s">
        <v>1713</v>
      </c>
      <c r="J1077" s="130" t="s">
        <v>159</v>
      </c>
      <c r="K1077" s="130" t="s">
        <v>2705</v>
      </c>
      <c r="L1077" s="130" t="s">
        <v>417</v>
      </c>
      <c r="M1077" s="128">
        <v>9</v>
      </c>
      <c r="N1077" s="128">
        <f t="shared" si="16"/>
        <v>-3</v>
      </c>
      <c r="O1077" s="130" t="s">
        <v>134</v>
      </c>
      <c r="P1077" s="130" t="s">
        <v>134</v>
      </c>
      <c r="Q1077" s="130" t="s">
        <v>417</v>
      </c>
      <c r="R1077" s="128">
        <v>9</v>
      </c>
      <c r="S1077" s="130" t="s">
        <v>2631</v>
      </c>
    </row>
    <row r="1078" spans="1:19" x14ac:dyDescent="0.25">
      <c r="A1078" s="130" t="s">
        <v>2720</v>
      </c>
      <c r="B1078" s="130" t="s">
        <v>2721</v>
      </c>
      <c r="C1078" s="130" t="s">
        <v>134</v>
      </c>
      <c r="D1078" s="130" t="s">
        <v>134</v>
      </c>
      <c r="E1078" s="130" t="s">
        <v>2705</v>
      </c>
      <c r="F1078" s="130" t="s">
        <v>2631</v>
      </c>
      <c r="G1078" s="130" t="s">
        <v>137</v>
      </c>
      <c r="I1078" s="130" t="s">
        <v>1713</v>
      </c>
      <c r="J1078" s="130" t="s">
        <v>159</v>
      </c>
      <c r="K1078" s="130" t="s">
        <v>2705</v>
      </c>
      <c r="L1078" s="130" t="s">
        <v>417</v>
      </c>
      <c r="M1078" s="128">
        <v>9</v>
      </c>
      <c r="N1078" s="128">
        <f t="shared" si="16"/>
        <v>-3</v>
      </c>
      <c r="O1078" s="130" t="s">
        <v>134</v>
      </c>
      <c r="P1078" s="130" t="s">
        <v>134</v>
      </c>
      <c r="Q1078" s="130" t="s">
        <v>417</v>
      </c>
      <c r="R1078" s="128">
        <v>9</v>
      </c>
      <c r="S1078" s="130" t="s">
        <v>2631</v>
      </c>
    </row>
    <row r="1079" spans="1:19" x14ac:dyDescent="0.25">
      <c r="A1079" s="130" t="s">
        <v>2722</v>
      </c>
      <c r="B1079" s="130" t="s">
        <v>2723</v>
      </c>
      <c r="C1079" s="130" t="s">
        <v>134</v>
      </c>
      <c r="D1079" s="130" t="s">
        <v>134</v>
      </c>
      <c r="E1079" s="130" t="s">
        <v>2705</v>
      </c>
      <c r="F1079" s="130" t="s">
        <v>2631</v>
      </c>
      <c r="G1079" s="130" t="s">
        <v>137</v>
      </c>
      <c r="I1079" s="130" t="s">
        <v>1713</v>
      </c>
      <c r="J1079" s="130" t="s">
        <v>159</v>
      </c>
      <c r="K1079" s="130" t="s">
        <v>2705</v>
      </c>
      <c r="L1079" s="130" t="s">
        <v>417</v>
      </c>
      <c r="M1079" s="128">
        <v>9</v>
      </c>
      <c r="N1079" s="128">
        <f t="shared" si="16"/>
        <v>-3</v>
      </c>
      <c r="O1079" s="130" t="s">
        <v>134</v>
      </c>
      <c r="P1079" s="130" t="s">
        <v>134</v>
      </c>
      <c r="Q1079" s="130" t="s">
        <v>417</v>
      </c>
      <c r="R1079" s="128">
        <v>9</v>
      </c>
      <c r="S1079" s="130" t="s">
        <v>2631</v>
      </c>
    </row>
    <row r="1080" spans="1:19" x14ac:dyDescent="0.25">
      <c r="A1080" s="130" t="s">
        <v>2724</v>
      </c>
      <c r="B1080" s="130" t="s">
        <v>2725</v>
      </c>
      <c r="C1080" s="130" t="s">
        <v>134</v>
      </c>
      <c r="D1080" s="130" t="s">
        <v>134</v>
      </c>
      <c r="E1080" s="130" t="s">
        <v>2705</v>
      </c>
      <c r="F1080" s="130" t="s">
        <v>2631</v>
      </c>
      <c r="G1080" s="130" t="s">
        <v>137</v>
      </c>
      <c r="I1080" s="130" t="s">
        <v>1713</v>
      </c>
      <c r="J1080" s="130" t="s">
        <v>159</v>
      </c>
      <c r="K1080" s="130" t="s">
        <v>2705</v>
      </c>
      <c r="L1080" s="130" t="s">
        <v>417</v>
      </c>
      <c r="M1080" s="128">
        <v>9</v>
      </c>
      <c r="N1080" s="128">
        <f t="shared" si="16"/>
        <v>-3</v>
      </c>
      <c r="O1080" s="130" t="s">
        <v>134</v>
      </c>
      <c r="P1080" s="130" t="s">
        <v>134</v>
      </c>
      <c r="Q1080" s="130" t="s">
        <v>417</v>
      </c>
      <c r="R1080" s="128">
        <v>9</v>
      </c>
      <c r="S1080" s="130" t="s">
        <v>2631</v>
      </c>
    </row>
    <row r="1081" spans="1:19" x14ac:dyDescent="0.25">
      <c r="A1081" s="130" t="s">
        <v>2726</v>
      </c>
      <c r="B1081" s="130" t="s">
        <v>2727</v>
      </c>
      <c r="C1081" s="130" t="s">
        <v>159</v>
      </c>
      <c r="D1081" s="130" t="s">
        <v>159</v>
      </c>
      <c r="E1081" s="130" t="s">
        <v>2705</v>
      </c>
      <c r="F1081" s="130" t="s">
        <v>2631</v>
      </c>
      <c r="G1081" s="130" t="s">
        <v>137</v>
      </c>
      <c r="I1081" s="130" t="s">
        <v>1713</v>
      </c>
      <c r="J1081" s="130" t="s">
        <v>159</v>
      </c>
      <c r="K1081" s="130" t="s">
        <v>2705</v>
      </c>
      <c r="L1081" s="130" t="s">
        <v>417</v>
      </c>
      <c r="M1081" s="128">
        <v>9</v>
      </c>
      <c r="N1081" s="128">
        <f t="shared" si="16"/>
        <v>-3</v>
      </c>
      <c r="O1081" s="130" t="s">
        <v>159</v>
      </c>
      <c r="P1081" s="130" t="s">
        <v>159</v>
      </c>
      <c r="Q1081" s="130" t="s">
        <v>160</v>
      </c>
      <c r="R1081" s="128">
        <v>0</v>
      </c>
      <c r="S1081" s="130" t="s">
        <v>2631</v>
      </c>
    </row>
    <row r="1082" spans="1:19" x14ac:dyDescent="0.25">
      <c r="A1082" s="130" t="s">
        <v>2728</v>
      </c>
      <c r="B1082" s="130" t="s">
        <v>2729</v>
      </c>
      <c r="C1082" s="130" t="s">
        <v>134</v>
      </c>
      <c r="D1082" s="130" t="s">
        <v>134</v>
      </c>
      <c r="E1082" s="130" t="s">
        <v>2705</v>
      </c>
      <c r="F1082" s="130" t="s">
        <v>2631</v>
      </c>
      <c r="G1082" s="130" t="s">
        <v>137</v>
      </c>
      <c r="I1082" s="130" t="s">
        <v>1713</v>
      </c>
      <c r="J1082" s="130" t="s">
        <v>159</v>
      </c>
      <c r="K1082" s="130" t="s">
        <v>2705</v>
      </c>
      <c r="L1082" s="130" t="s">
        <v>417</v>
      </c>
      <c r="M1082" s="128">
        <v>9</v>
      </c>
      <c r="N1082" s="128">
        <f t="shared" si="16"/>
        <v>-3</v>
      </c>
      <c r="O1082" s="130" t="s">
        <v>134</v>
      </c>
      <c r="P1082" s="130" t="s">
        <v>134</v>
      </c>
      <c r="Q1082" s="130" t="s">
        <v>417</v>
      </c>
      <c r="R1082" s="128">
        <v>9</v>
      </c>
      <c r="S1082" s="130" t="s">
        <v>2631</v>
      </c>
    </row>
    <row r="1083" spans="1:19" x14ac:dyDescent="0.25">
      <c r="A1083" s="130" t="s">
        <v>2730</v>
      </c>
      <c r="B1083" s="130" t="s">
        <v>2731</v>
      </c>
      <c r="C1083" s="130" t="s">
        <v>159</v>
      </c>
      <c r="D1083" s="130" t="s">
        <v>159</v>
      </c>
      <c r="E1083" s="130" t="s">
        <v>2655</v>
      </c>
      <c r="F1083" s="130" t="s">
        <v>2656</v>
      </c>
      <c r="G1083" s="130" t="s">
        <v>137</v>
      </c>
      <c r="I1083" s="130" t="s">
        <v>138</v>
      </c>
      <c r="K1083" s="130" t="s">
        <v>2655</v>
      </c>
      <c r="L1083" s="130" t="s">
        <v>417</v>
      </c>
      <c r="M1083" s="128">
        <v>10</v>
      </c>
      <c r="N1083" s="128">
        <f t="shared" si="16"/>
        <v>-2</v>
      </c>
      <c r="O1083" s="130" t="s">
        <v>159</v>
      </c>
      <c r="P1083" s="130" t="s">
        <v>159</v>
      </c>
      <c r="Q1083" s="130" t="s">
        <v>160</v>
      </c>
      <c r="R1083" s="128">
        <v>0</v>
      </c>
      <c r="S1083" s="130" t="s">
        <v>140</v>
      </c>
    </row>
    <row r="1084" spans="1:19" x14ac:dyDescent="0.25">
      <c r="A1084" s="130" t="s">
        <v>2732</v>
      </c>
      <c r="B1084" s="130" t="s">
        <v>2733</v>
      </c>
      <c r="C1084" s="130" t="s">
        <v>134</v>
      </c>
      <c r="D1084" s="130" t="s">
        <v>134</v>
      </c>
      <c r="E1084" s="130" t="s">
        <v>2734</v>
      </c>
      <c r="F1084" s="130" t="s">
        <v>2735</v>
      </c>
      <c r="G1084" s="130" t="s">
        <v>137</v>
      </c>
      <c r="I1084" s="130" t="s">
        <v>138</v>
      </c>
      <c r="K1084" s="130" t="s">
        <v>2734</v>
      </c>
      <c r="L1084" s="130" t="s">
        <v>417</v>
      </c>
      <c r="M1084" s="128">
        <v>10</v>
      </c>
      <c r="N1084" s="128">
        <f t="shared" si="16"/>
        <v>-2</v>
      </c>
      <c r="O1084" s="130" t="s">
        <v>134</v>
      </c>
      <c r="P1084" s="130" t="s">
        <v>134</v>
      </c>
      <c r="Q1084" s="130" t="s">
        <v>417</v>
      </c>
      <c r="R1084" s="128">
        <v>10</v>
      </c>
      <c r="S1084" s="130" t="s">
        <v>140</v>
      </c>
    </row>
    <row r="1085" spans="1:19" x14ac:dyDescent="0.25">
      <c r="A1085" s="130" t="s">
        <v>2736</v>
      </c>
      <c r="B1085" s="130" t="s">
        <v>2737</v>
      </c>
      <c r="C1085" s="130" t="s">
        <v>134</v>
      </c>
      <c r="D1085" s="130" t="s">
        <v>134</v>
      </c>
      <c r="E1085" s="130" t="s">
        <v>2736</v>
      </c>
      <c r="F1085" s="130" t="s">
        <v>2737</v>
      </c>
      <c r="G1085" s="130" t="s">
        <v>137</v>
      </c>
      <c r="I1085" s="130" t="s">
        <v>1713</v>
      </c>
      <c r="J1085" s="130" t="s">
        <v>159</v>
      </c>
      <c r="K1085" s="130" t="s">
        <v>2736</v>
      </c>
      <c r="L1085" s="130" t="s">
        <v>417</v>
      </c>
      <c r="M1085" s="128">
        <v>12</v>
      </c>
      <c r="N1085" s="128">
        <f t="shared" si="16"/>
        <v>0</v>
      </c>
      <c r="O1085" s="130" t="s">
        <v>134</v>
      </c>
      <c r="P1085" s="130" t="s">
        <v>134</v>
      </c>
      <c r="Q1085" s="130" t="s">
        <v>417</v>
      </c>
      <c r="R1085" s="128">
        <v>12</v>
      </c>
      <c r="S1085" s="130" t="s">
        <v>2702</v>
      </c>
    </row>
    <row r="1086" spans="1:19" x14ac:dyDescent="0.25">
      <c r="A1086" s="130" t="s">
        <v>2738</v>
      </c>
      <c r="B1086" s="130" t="s">
        <v>2739</v>
      </c>
      <c r="C1086" s="130" t="s">
        <v>134</v>
      </c>
      <c r="D1086" s="130" t="s">
        <v>134</v>
      </c>
      <c r="E1086" s="130" t="s">
        <v>2740</v>
      </c>
      <c r="F1086" s="130" t="s">
        <v>2739</v>
      </c>
      <c r="G1086" s="130" t="s">
        <v>137</v>
      </c>
      <c r="I1086" s="130" t="s">
        <v>1713</v>
      </c>
      <c r="J1086" s="130" t="s">
        <v>159</v>
      </c>
      <c r="K1086" s="130" t="s">
        <v>2740</v>
      </c>
      <c r="L1086" s="130" t="s">
        <v>417</v>
      </c>
      <c r="M1086" s="128">
        <v>12</v>
      </c>
      <c r="N1086" s="128">
        <f t="shared" si="16"/>
        <v>0</v>
      </c>
      <c r="O1086" s="130" t="s">
        <v>134</v>
      </c>
      <c r="P1086" s="130" t="s">
        <v>134</v>
      </c>
      <c r="Q1086" s="130" t="s">
        <v>417</v>
      </c>
      <c r="R1086" s="128">
        <v>12</v>
      </c>
      <c r="S1086" s="130" t="s">
        <v>2702</v>
      </c>
    </row>
    <row r="1087" spans="1:19" x14ac:dyDescent="0.25">
      <c r="A1087" s="130" t="s">
        <v>2741</v>
      </c>
      <c r="B1087" s="130" t="s">
        <v>2739</v>
      </c>
      <c r="C1087" s="130" t="s">
        <v>134</v>
      </c>
      <c r="D1087" s="130" t="s">
        <v>134</v>
      </c>
      <c r="E1087" s="130" t="s">
        <v>2740</v>
      </c>
      <c r="F1087" s="130" t="s">
        <v>2739</v>
      </c>
      <c r="G1087" s="130" t="s">
        <v>137</v>
      </c>
      <c r="I1087" s="130" t="s">
        <v>1713</v>
      </c>
      <c r="J1087" s="130" t="s">
        <v>159</v>
      </c>
      <c r="K1087" s="130" t="s">
        <v>2740</v>
      </c>
      <c r="L1087" s="130" t="s">
        <v>417</v>
      </c>
      <c r="M1087" s="128">
        <v>12</v>
      </c>
      <c r="N1087" s="128">
        <f t="shared" si="16"/>
        <v>0</v>
      </c>
      <c r="O1087" s="130" t="s">
        <v>134</v>
      </c>
      <c r="P1087" s="130" t="s">
        <v>134</v>
      </c>
      <c r="Q1087" s="130" t="s">
        <v>417</v>
      </c>
      <c r="R1087" s="128">
        <v>12</v>
      </c>
      <c r="S1087" s="130" t="s">
        <v>2702</v>
      </c>
    </row>
    <row r="1088" spans="1:19" x14ac:dyDescent="0.25">
      <c r="A1088" s="130" t="s">
        <v>2742</v>
      </c>
      <c r="B1088" s="130" t="s">
        <v>2743</v>
      </c>
      <c r="C1088" s="130" t="s">
        <v>134</v>
      </c>
      <c r="D1088" s="130" t="s">
        <v>134</v>
      </c>
      <c r="E1088" s="130" t="s">
        <v>2744</v>
      </c>
      <c r="F1088" s="130" t="s">
        <v>2745</v>
      </c>
      <c r="G1088" s="130" t="s">
        <v>137</v>
      </c>
      <c r="I1088" s="130" t="s">
        <v>1713</v>
      </c>
      <c r="J1088" s="130" t="s">
        <v>159</v>
      </c>
      <c r="K1088" s="130" t="s">
        <v>2744</v>
      </c>
      <c r="L1088" s="130" t="s">
        <v>417</v>
      </c>
      <c r="M1088" s="128">
        <v>12</v>
      </c>
      <c r="N1088" s="128">
        <f t="shared" si="16"/>
        <v>0</v>
      </c>
      <c r="O1088" s="130" t="s">
        <v>134</v>
      </c>
      <c r="P1088" s="130" t="s">
        <v>134</v>
      </c>
      <c r="Q1088" s="130" t="s">
        <v>417</v>
      </c>
      <c r="R1088" s="128">
        <v>12</v>
      </c>
      <c r="S1088" s="130" t="s">
        <v>2702</v>
      </c>
    </row>
    <row r="1089" spans="1:19" x14ac:dyDescent="0.25">
      <c r="A1089" s="130" t="s">
        <v>2746</v>
      </c>
      <c r="B1089" s="130" t="s">
        <v>2747</v>
      </c>
      <c r="C1089" s="130" t="s">
        <v>134</v>
      </c>
      <c r="D1089" s="130" t="s">
        <v>134</v>
      </c>
      <c r="E1089" s="130" t="s">
        <v>2744</v>
      </c>
      <c r="F1089" s="130" t="s">
        <v>2745</v>
      </c>
      <c r="G1089" s="130" t="s">
        <v>137</v>
      </c>
      <c r="I1089" s="130" t="s">
        <v>1713</v>
      </c>
      <c r="J1089" s="130" t="s">
        <v>159</v>
      </c>
      <c r="K1089" s="130" t="s">
        <v>2744</v>
      </c>
      <c r="L1089" s="130" t="s">
        <v>417</v>
      </c>
      <c r="M1089" s="128">
        <v>12</v>
      </c>
      <c r="N1089" s="128">
        <f t="shared" si="16"/>
        <v>0</v>
      </c>
      <c r="O1089" s="130" t="s">
        <v>134</v>
      </c>
      <c r="P1089" s="130" t="s">
        <v>134</v>
      </c>
      <c r="Q1089" s="130" t="s">
        <v>417</v>
      </c>
      <c r="R1089" s="128">
        <v>12</v>
      </c>
      <c r="S1089" s="130" t="s">
        <v>2702</v>
      </c>
    </row>
    <row r="1090" spans="1:19" x14ac:dyDescent="0.25">
      <c r="A1090" s="130" t="s">
        <v>2748</v>
      </c>
      <c r="B1090" s="130" t="s">
        <v>2749</v>
      </c>
      <c r="C1090" s="130" t="s">
        <v>134</v>
      </c>
      <c r="D1090" s="130" t="s">
        <v>134</v>
      </c>
      <c r="E1090" s="130" t="s">
        <v>2744</v>
      </c>
      <c r="F1090" s="130" t="s">
        <v>2745</v>
      </c>
      <c r="G1090" s="130" t="s">
        <v>137</v>
      </c>
      <c r="I1090" s="130" t="s">
        <v>1713</v>
      </c>
      <c r="J1090" s="130" t="s">
        <v>159</v>
      </c>
      <c r="K1090" s="130" t="s">
        <v>2744</v>
      </c>
      <c r="L1090" s="130" t="s">
        <v>417</v>
      </c>
      <c r="M1090" s="128">
        <v>12</v>
      </c>
      <c r="N1090" s="128">
        <f t="shared" si="16"/>
        <v>0</v>
      </c>
      <c r="O1090" s="130" t="s">
        <v>134</v>
      </c>
      <c r="P1090" s="130" t="s">
        <v>134</v>
      </c>
      <c r="Q1090" s="130" t="s">
        <v>417</v>
      </c>
      <c r="R1090" s="128">
        <v>12</v>
      </c>
      <c r="S1090" s="130" t="s">
        <v>2702</v>
      </c>
    </row>
    <row r="1091" spans="1:19" x14ac:dyDescent="0.25">
      <c r="A1091" s="130" t="s">
        <v>2750</v>
      </c>
      <c r="B1091" s="130" t="s">
        <v>2751</v>
      </c>
      <c r="C1091" s="130" t="s">
        <v>134</v>
      </c>
      <c r="D1091" s="130" t="s">
        <v>134</v>
      </c>
      <c r="E1091" s="130" t="s">
        <v>2750</v>
      </c>
      <c r="F1091" s="130" t="s">
        <v>2751</v>
      </c>
      <c r="G1091" s="130" t="s">
        <v>137</v>
      </c>
      <c r="I1091" s="130" t="s">
        <v>1713</v>
      </c>
      <c r="J1091" s="130" t="s">
        <v>159</v>
      </c>
      <c r="K1091" s="130" t="s">
        <v>2750</v>
      </c>
      <c r="L1091" s="130" t="s">
        <v>417</v>
      </c>
      <c r="M1091" s="128">
        <v>12</v>
      </c>
      <c r="N1091" s="128">
        <f t="shared" ref="N1091:N1154" si="17">M1091-L1091</f>
        <v>0</v>
      </c>
      <c r="O1091" s="130" t="s">
        <v>134</v>
      </c>
      <c r="P1091" s="130" t="s">
        <v>134</v>
      </c>
      <c r="Q1091" s="130" t="s">
        <v>417</v>
      </c>
      <c r="R1091" s="128">
        <v>12</v>
      </c>
      <c r="S1091" s="130" t="s">
        <v>2702</v>
      </c>
    </row>
    <row r="1092" spans="1:19" x14ac:dyDescent="0.25">
      <c r="A1092" s="130" t="s">
        <v>2752</v>
      </c>
      <c r="B1092" s="130" t="s">
        <v>2753</v>
      </c>
      <c r="C1092" s="130" t="s">
        <v>134</v>
      </c>
      <c r="D1092" s="130" t="s">
        <v>134</v>
      </c>
      <c r="E1092" s="130" t="s">
        <v>2754</v>
      </c>
      <c r="F1092" s="130" t="s">
        <v>2755</v>
      </c>
      <c r="G1092" s="130" t="s">
        <v>137</v>
      </c>
      <c r="I1092" s="130" t="s">
        <v>1713</v>
      </c>
      <c r="J1092" s="130" t="s">
        <v>159</v>
      </c>
      <c r="K1092" s="130" t="s">
        <v>2754</v>
      </c>
      <c r="L1092" s="130" t="s">
        <v>417</v>
      </c>
      <c r="M1092" s="128">
        <v>12</v>
      </c>
      <c r="N1092" s="128">
        <f t="shared" si="17"/>
        <v>0</v>
      </c>
      <c r="O1092" s="130" t="s">
        <v>134</v>
      </c>
      <c r="P1092" s="130" t="s">
        <v>134</v>
      </c>
      <c r="Q1092" s="130" t="s">
        <v>417</v>
      </c>
      <c r="R1092" s="128">
        <v>12</v>
      </c>
      <c r="S1092" s="130" t="s">
        <v>2702</v>
      </c>
    </row>
    <row r="1093" spans="1:19" x14ac:dyDescent="0.25">
      <c r="A1093" s="130" t="s">
        <v>2756</v>
      </c>
      <c r="B1093" s="130" t="s">
        <v>2757</v>
      </c>
      <c r="C1093" s="130" t="s">
        <v>134</v>
      </c>
      <c r="D1093" s="130" t="s">
        <v>134</v>
      </c>
      <c r="E1093" s="130" t="s">
        <v>2754</v>
      </c>
      <c r="F1093" s="130" t="s">
        <v>2755</v>
      </c>
      <c r="G1093" s="130" t="s">
        <v>137</v>
      </c>
      <c r="I1093" s="130" t="s">
        <v>1713</v>
      </c>
      <c r="J1093" s="130" t="s">
        <v>159</v>
      </c>
      <c r="K1093" s="130" t="s">
        <v>2754</v>
      </c>
      <c r="L1093" s="130" t="s">
        <v>417</v>
      </c>
      <c r="M1093" s="128">
        <v>12</v>
      </c>
      <c r="N1093" s="128">
        <f t="shared" si="17"/>
        <v>0</v>
      </c>
      <c r="O1093" s="130" t="s">
        <v>134</v>
      </c>
      <c r="P1093" s="130" t="s">
        <v>134</v>
      </c>
      <c r="Q1093" s="130" t="s">
        <v>417</v>
      </c>
      <c r="R1093" s="128">
        <v>12</v>
      </c>
      <c r="S1093" s="130" t="s">
        <v>2702</v>
      </c>
    </row>
    <row r="1094" spans="1:19" x14ac:dyDescent="0.25">
      <c r="A1094" s="130" t="s">
        <v>2758</v>
      </c>
      <c r="B1094" s="130" t="s">
        <v>2759</v>
      </c>
      <c r="C1094" s="130" t="s">
        <v>134</v>
      </c>
      <c r="D1094" s="130" t="s">
        <v>134</v>
      </c>
      <c r="E1094" s="130" t="s">
        <v>2754</v>
      </c>
      <c r="F1094" s="130" t="s">
        <v>2755</v>
      </c>
      <c r="G1094" s="130" t="s">
        <v>137</v>
      </c>
      <c r="I1094" s="130" t="s">
        <v>1713</v>
      </c>
      <c r="J1094" s="130" t="s">
        <v>159</v>
      </c>
      <c r="K1094" s="130" t="s">
        <v>2754</v>
      </c>
      <c r="L1094" s="130" t="s">
        <v>417</v>
      </c>
      <c r="M1094" s="128">
        <v>12</v>
      </c>
      <c r="N1094" s="128">
        <f t="shared" si="17"/>
        <v>0</v>
      </c>
      <c r="O1094" s="130" t="s">
        <v>134</v>
      </c>
      <c r="P1094" s="130" t="s">
        <v>134</v>
      </c>
      <c r="Q1094" s="130" t="s">
        <v>417</v>
      </c>
      <c r="R1094" s="128">
        <v>12</v>
      </c>
      <c r="S1094" s="130" t="s">
        <v>2702</v>
      </c>
    </row>
    <row r="1095" spans="1:19" x14ac:dyDescent="0.25">
      <c r="A1095" s="130" t="s">
        <v>2760</v>
      </c>
      <c r="B1095" s="130" t="s">
        <v>2761</v>
      </c>
      <c r="C1095" s="130" t="s">
        <v>134</v>
      </c>
      <c r="D1095" s="130" t="s">
        <v>134</v>
      </c>
      <c r="E1095" s="130" t="s">
        <v>2754</v>
      </c>
      <c r="F1095" s="130" t="s">
        <v>2755</v>
      </c>
      <c r="G1095" s="130" t="s">
        <v>137</v>
      </c>
      <c r="I1095" s="130" t="s">
        <v>1713</v>
      </c>
      <c r="J1095" s="130" t="s">
        <v>159</v>
      </c>
      <c r="K1095" s="130" t="s">
        <v>2754</v>
      </c>
      <c r="L1095" s="130" t="s">
        <v>417</v>
      </c>
      <c r="M1095" s="128">
        <v>12</v>
      </c>
      <c r="N1095" s="128">
        <f t="shared" si="17"/>
        <v>0</v>
      </c>
      <c r="O1095" s="130" t="s">
        <v>134</v>
      </c>
      <c r="P1095" s="130" t="s">
        <v>134</v>
      </c>
      <c r="Q1095" s="130" t="s">
        <v>417</v>
      </c>
      <c r="R1095" s="128">
        <v>12</v>
      </c>
      <c r="S1095" s="130" t="s">
        <v>2702</v>
      </c>
    </row>
    <row r="1096" spans="1:19" x14ac:dyDescent="0.25">
      <c r="A1096" s="130" t="s">
        <v>2762</v>
      </c>
      <c r="B1096" s="130" t="s">
        <v>2763</v>
      </c>
      <c r="C1096" s="130" t="s">
        <v>134</v>
      </c>
      <c r="D1096" s="130" t="s">
        <v>134</v>
      </c>
      <c r="E1096" s="130" t="s">
        <v>2754</v>
      </c>
      <c r="F1096" s="130" t="s">
        <v>2755</v>
      </c>
      <c r="G1096" s="130" t="s">
        <v>137</v>
      </c>
      <c r="I1096" s="130" t="s">
        <v>1713</v>
      </c>
      <c r="J1096" s="130" t="s">
        <v>159</v>
      </c>
      <c r="K1096" s="130" t="s">
        <v>2754</v>
      </c>
      <c r="L1096" s="130" t="s">
        <v>417</v>
      </c>
      <c r="M1096" s="128">
        <v>12</v>
      </c>
      <c r="N1096" s="128">
        <f t="shared" si="17"/>
        <v>0</v>
      </c>
      <c r="O1096" s="130" t="s">
        <v>134</v>
      </c>
      <c r="P1096" s="130" t="s">
        <v>134</v>
      </c>
      <c r="Q1096" s="130" t="s">
        <v>417</v>
      </c>
      <c r="R1096" s="128">
        <v>12</v>
      </c>
      <c r="S1096" s="130" t="s">
        <v>2702</v>
      </c>
    </row>
    <row r="1097" spans="1:19" x14ac:dyDescent="0.25">
      <c r="A1097" s="130" t="s">
        <v>2764</v>
      </c>
      <c r="B1097" s="130" t="s">
        <v>2765</v>
      </c>
      <c r="C1097" s="130" t="s">
        <v>159</v>
      </c>
      <c r="D1097" s="130" t="s">
        <v>159</v>
      </c>
      <c r="E1097" s="130" t="s">
        <v>2750</v>
      </c>
      <c r="F1097" s="130" t="s">
        <v>2751</v>
      </c>
      <c r="G1097" s="130" t="s">
        <v>159</v>
      </c>
      <c r="I1097" s="130" t="s">
        <v>1532</v>
      </c>
      <c r="J1097" s="130" t="s">
        <v>159</v>
      </c>
      <c r="K1097" s="130" t="s">
        <v>2750</v>
      </c>
      <c r="L1097" s="130" t="s">
        <v>417</v>
      </c>
      <c r="M1097" s="128">
        <v>12</v>
      </c>
      <c r="N1097" s="128">
        <f t="shared" si="17"/>
        <v>0</v>
      </c>
      <c r="O1097" s="130" t="s">
        <v>159</v>
      </c>
      <c r="P1097" s="130" t="s">
        <v>159</v>
      </c>
      <c r="Q1097" s="130" t="s">
        <v>160</v>
      </c>
      <c r="R1097" s="128">
        <v>0</v>
      </c>
      <c r="S1097" s="130" t="s">
        <v>2702</v>
      </c>
    </row>
    <row r="1098" spans="1:19" x14ac:dyDescent="0.25">
      <c r="A1098" s="130" t="s">
        <v>2766</v>
      </c>
      <c r="B1098" s="130" t="s">
        <v>2767</v>
      </c>
      <c r="C1098" s="130" t="s">
        <v>134</v>
      </c>
      <c r="D1098" s="130" t="s">
        <v>134</v>
      </c>
      <c r="E1098" s="130" t="s">
        <v>2766</v>
      </c>
      <c r="F1098" s="130" t="s">
        <v>2767</v>
      </c>
      <c r="G1098" s="130" t="s">
        <v>137</v>
      </c>
      <c r="I1098" s="130" t="s">
        <v>1713</v>
      </c>
      <c r="J1098" s="130" t="s">
        <v>159</v>
      </c>
      <c r="K1098" s="130" t="s">
        <v>2766</v>
      </c>
      <c r="L1098" s="130" t="s">
        <v>417</v>
      </c>
      <c r="M1098" s="128">
        <v>12</v>
      </c>
      <c r="N1098" s="128">
        <f t="shared" si="17"/>
        <v>0</v>
      </c>
      <c r="O1098" s="130" t="s">
        <v>134</v>
      </c>
      <c r="P1098" s="130" t="s">
        <v>134</v>
      </c>
      <c r="Q1098" s="130" t="s">
        <v>417</v>
      </c>
      <c r="R1098" s="128">
        <v>12</v>
      </c>
      <c r="S1098" s="130" t="s">
        <v>2702</v>
      </c>
    </row>
    <row r="1099" spans="1:19" x14ac:dyDescent="0.25">
      <c r="A1099" s="130" t="s">
        <v>2768</v>
      </c>
      <c r="B1099" s="130" t="s">
        <v>2769</v>
      </c>
      <c r="C1099" s="130" t="s">
        <v>134</v>
      </c>
      <c r="D1099" s="130" t="s">
        <v>134</v>
      </c>
      <c r="E1099" s="130" t="s">
        <v>2705</v>
      </c>
      <c r="F1099" s="130" t="s">
        <v>2631</v>
      </c>
      <c r="G1099" s="130" t="s">
        <v>137</v>
      </c>
      <c r="I1099" s="130" t="s">
        <v>1713</v>
      </c>
      <c r="J1099" s="130" t="s">
        <v>159</v>
      </c>
      <c r="K1099" s="130" t="s">
        <v>2705</v>
      </c>
      <c r="L1099" s="130" t="s">
        <v>417</v>
      </c>
      <c r="M1099" s="128">
        <v>9</v>
      </c>
      <c r="N1099" s="128">
        <f t="shared" si="17"/>
        <v>-3</v>
      </c>
      <c r="O1099" s="130" t="s">
        <v>134</v>
      </c>
      <c r="P1099" s="130" t="s">
        <v>134</v>
      </c>
      <c r="Q1099" s="130" t="s">
        <v>417</v>
      </c>
      <c r="R1099" s="128">
        <v>9</v>
      </c>
      <c r="S1099" s="130" t="s">
        <v>2631</v>
      </c>
    </row>
    <row r="1100" spans="1:19" x14ac:dyDescent="0.25">
      <c r="A1100" s="130" t="s">
        <v>2770</v>
      </c>
      <c r="B1100" s="130" t="s">
        <v>2771</v>
      </c>
      <c r="C1100" s="130" t="s">
        <v>134</v>
      </c>
      <c r="D1100" s="130" t="s">
        <v>134</v>
      </c>
      <c r="E1100" s="130" t="s">
        <v>2772</v>
      </c>
      <c r="F1100" s="130" t="s">
        <v>2773</v>
      </c>
      <c r="G1100" s="130" t="s">
        <v>137</v>
      </c>
      <c r="H1100" s="130" t="s">
        <v>159</v>
      </c>
      <c r="I1100" s="130" t="s">
        <v>1713</v>
      </c>
      <c r="J1100" s="130" t="s">
        <v>159</v>
      </c>
      <c r="K1100" s="130" t="s">
        <v>2772</v>
      </c>
      <c r="L1100" s="130" t="s">
        <v>417</v>
      </c>
      <c r="M1100" s="128">
        <v>9</v>
      </c>
      <c r="N1100" s="128">
        <f t="shared" si="17"/>
        <v>-3</v>
      </c>
      <c r="O1100" s="130" t="s">
        <v>134</v>
      </c>
      <c r="P1100" s="130" t="s">
        <v>134</v>
      </c>
      <c r="Q1100" s="130" t="s">
        <v>417</v>
      </c>
      <c r="R1100" s="128">
        <v>9</v>
      </c>
      <c r="S1100" s="130" t="s">
        <v>2631</v>
      </c>
    </row>
    <row r="1101" spans="1:19" x14ac:dyDescent="0.25">
      <c r="A1101" s="130" t="s">
        <v>2774</v>
      </c>
      <c r="B1101" s="130" t="s">
        <v>2775</v>
      </c>
      <c r="C1101" s="130" t="s">
        <v>134</v>
      </c>
      <c r="D1101" s="130" t="s">
        <v>134</v>
      </c>
      <c r="E1101" s="130" t="s">
        <v>2776</v>
      </c>
      <c r="F1101" s="130" t="s">
        <v>2777</v>
      </c>
      <c r="G1101" s="130" t="s">
        <v>137</v>
      </c>
      <c r="I1101" s="130" t="s">
        <v>1532</v>
      </c>
      <c r="J1101" s="130" t="s">
        <v>159</v>
      </c>
      <c r="K1101" s="130" t="s">
        <v>2776</v>
      </c>
      <c r="L1101" s="130" t="s">
        <v>1883</v>
      </c>
      <c r="M1101" s="128">
        <v>9</v>
      </c>
      <c r="N1101" s="128">
        <f t="shared" si="17"/>
        <v>-2</v>
      </c>
      <c r="O1101" s="130" t="s">
        <v>134</v>
      </c>
      <c r="P1101" s="130" t="s">
        <v>134</v>
      </c>
      <c r="Q1101" s="130" t="s">
        <v>1883</v>
      </c>
      <c r="R1101" s="128">
        <v>9</v>
      </c>
      <c r="S1101" s="130" t="s">
        <v>2778</v>
      </c>
    </row>
    <row r="1102" spans="1:19" x14ac:dyDescent="0.25">
      <c r="A1102" s="130" t="s">
        <v>2779</v>
      </c>
      <c r="B1102" s="130" t="s">
        <v>2780</v>
      </c>
      <c r="C1102" s="130" t="s">
        <v>134</v>
      </c>
      <c r="D1102" s="130" t="s">
        <v>134</v>
      </c>
      <c r="E1102" s="130" t="s">
        <v>2776</v>
      </c>
      <c r="F1102" s="130" t="s">
        <v>2777</v>
      </c>
      <c r="G1102" s="130" t="s">
        <v>137</v>
      </c>
      <c r="I1102" s="130" t="s">
        <v>1532</v>
      </c>
      <c r="J1102" s="130" t="s">
        <v>159</v>
      </c>
      <c r="K1102" s="130" t="s">
        <v>2776</v>
      </c>
      <c r="L1102" s="130" t="s">
        <v>1883</v>
      </c>
      <c r="M1102" s="128">
        <v>9</v>
      </c>
      <c r="N1102" s="128">
        <f t="shared" si="17"/>
        <v>-2</v>
      </c>
      <c r="O1102" s="130" t="s">
        <v>134</v>
      </c>
      <c r="P1102" s="130" t="s">
        <v>134</v>
      </c>
      <c r="Q1102" s="130" t="s">
        <v>1883</v>
      </c>
      <c r="R1102" s="128">
        <v>9</v>
      </c>
      <c r="S1102" s="130" t="s">
        <v>2778</v>
      </c>
    </row>
    <row r="1103" spans="1:19" x14ac:dyDescent="0.25">
      <c r="A1103" s="130" t="s">
        <v>2781</v>
      </c>
      <c r="B1103" s="130" t="s">
        <v>2782</v>
      </c>
      <c r="C1103" s="130" t="s">
        <v>134</v>
      </c>
      <c r="D1103" s="130" t="s">
        <v>134</v>
      </c>
      <c r="E1103" s="130" t="s">
        <v>2781</v>
      </c>
      <c r="F1103" s="130" t="s">
        <v>2782</v>
      </c>
      <c r="G1103" s="130" t="s">
        <v>137</v>
      </c>
      <c r="I1103" s="130" t="s">
        <v>1713</v>
      </c>
      <c r="J1103" s="130" t="s">
        <v>159</v>
      </c>
      <c r="K1103" s="130" t="s">
        <v>2781</v>
      </c>
      <c r="L1103" s="130" t="s">
        <v>417</v>
      </c>
      <c r="M1103" s="128">
        <v>9</v>
      </c>
      <c r="N1103" s="128">
        <f t="shared" si="17"/>
        <v>-3</v>
      </c>
      <c r="O1103" s="130" t="s">
        <v>134</v>
      </c>
      <c r="P1103" s="130" t="s">
        <v>134</v>
      </c>
      <c r="Q1103" s="130" t="s">
        <v>417</v>
      </c>
      <c r="R1103" s="128">
        <v>9</v>
      </c>
      <c r="S1103" s="130" t="s">
        <v>2631</v>
      </c>
    </row>
    <row r="1104" spans="1:19" x14ac:dyDescent="0.25">
      <c r="A1104" s="130" t="s">
        <v>2783</v>
      </c>
      <c r="B1104" s="130" t="s">
        <v>2784</v>
      </c>
      <c r="C1104" s="130" t="s">
        <v>134</v>
      </c>
      <c r="D1104" s="130" t="s">
        <v>134</v>
      </c>
      <c r="E1104" s="130" t="s">
        <v>2783</v>
      </c>
      <c r="F1104" s="130" t="s">
        <v>2784</v>
      </c>
      <c r="G1104" s="130" t="s">
        <v>137</v>
      </c>
      <c r="I1104" s="130" t="s">
        <v>1713</v>
      </c>
      <c r="J1104" s="130" t="s">
        <v>159</v>
      </c>
      <c r="K1104" s="130" t="s">
        <v>2783</v>
      </c>
      <c r="L1104" s="130" t="s">
        <v>417</v>
      </c>
      <c r="M1104" s="128">
        <v>9</v>
      </c>
      <c r="N1104" s="128">
        <f t="shared" si="17"/>
        <v>-3</v>
      </c>
      <c r="O1104" s="130" t="s">
        <v>134</v>
      </c>
      <c r="P1104" s="130" t="s">
        <v>134</v>
      </c>
      <c r="Q1104" s="130" t="s">
        <v>417</v>
      </c>
      <c r="R1104" s="128">
        <v>9</v>
      </c>
      <c r="S1104" s="130" t="s">
        <v>2631</v>
      </c>
    </row>
    <row r="1105" spans="1:19" x14ac:dyDescent="0.25">
      <c r="A1105" s="130" t="s">
        <v>2785</v>
      </c>
      <c r="B1105" s="130" t="s">
        <v>2786</v>
      </c>
      <c r="C1105" s="130" t="s">
        <v>134</v>
      </c>
      <c r="D1105" s="130" t="s">
        <v>134</v>
      </c>
      <c r="E1105" s="130" t="s">
        <v>2785</v>
      </c>
      <c r="F1105" s="130" t="s">
        <v>2786</v>
      </c>
      <c r="G1105" s="130" t="s">
        <v>137</v>
      </c>
      <c r="I1105" s="130" t="s">
        <v>1713</v>
      </c>
      <c r="J1105" s="130" t="s">
        <v>159</v>
      </c>
      <c r="K1105" s="130" t="s">
        <v>2785</v>
      </c>
      <c r="L1105" s="130" t="s">
        <v>417</v>
      </c>
      <c r="M1105" s="128">
        <v>12</v>
      </c>
      <c r="N1105" s="128">
        <f t="shared" si="17"/>
        <v>0</v>
      </c>
      <c r="O1105" s="130" t="s">
        <v>134</v>
      </c>
      <c r="P1105" s="130" t="s">
        <v>134</v>
      </c>
      <c r="Q1105" s="130" t="s">
        <v>417</v>
      </c>
      <c r="R1105" s="128">
        <v>12</v>
      </c>
      <c r="S1105" s="130" t="s">
        <v>2702</v>
      </c>
    </row>
    <row r="1106" spans="1:19" x14ac:dyDescent="0.25">
      <c r="A1106" s="130" t="s">
        <v>2787</v>
      </c>
      <c r="B1106" s="130" t="s">
        <v>2788</v>
      </c>
      <c r="C1106" s="130" t="s">
        <v>159</v>
      </c>
      <c r="D1106" s="130" t="s">
        <v>159</v>
      </c>
      <c r="E1106" s="130" t="s">
        <v>2787</v>
      </c>
      <c r="F1106" s="130" t="s">
        <v>2788</v>
      </c>
      <c r="G1106" s="130" t="s">
        <v>137</v>
      </c>
      <c r="I1106" s="130" t="s">
        <v>1713</v>
      </c>
      <c r="J1106" s="130" t="s">
        <v>159</v>
      </c>
      <c r="K1106" s="130" t="s">
        <v>2787</v>
      </c>
      <c r="L1106" s="130" t="s">
        <v>417</v>
      </c>
      <c r="M1106" s="128">
        <v>12</v>
      </c>
      <c r="N1106" s="128">
        <f t="shared" si="17"/>
        <v>0</v>
      </c>
      <c r="O1106" s="130" t="s">
        <v>159</v>
      </c>
      <c r="P1106" s="130" t="s">
        <v>159</v>
      </c>
      <c r="Q1106" s="130" t="s">
        <v>160</v>
      </c>
      <c r="R1106" s="128">
        <v>0</v>
      </c>
      <c r="S1106" s="130" t="s">
        <v>2702</v>
      </c>
    </row>
    <row r="1107" spans="1:19" x14ac:dyDescent="0.25">
      <c r="A1107" s="130" t="s">
        <v>2789</v>
      </c>
      <c r="B1107" s="130" t="s">
        <v>2790</v>
      </c>
      <c r="C1107" s="130" t="s">
        <v>159</v>
      </c>
      <c r="D1107" s="130" t="s">
        <v>159</v>
      </c>
      <c r="E1107" s="130" t="s">
        <v>2789</v>
      </c>
      <c r="F1107" s="130" t="s">
        <v>2790</v>
      </c>
      <c r="G1107" s="130" t="s">
        <v>137</v>
      </c>
      <c r="I1107" s="130" t="s">
        <v>1713</v>
      </c>
      <c r="J1107" s="130" t="s">
        <v>159</v>
      </c>
      <c r="K1107" s="130" t="s">
        <v>2789</v>
      </c>
      <c r="L1107" s="130" t="s">
        <v>417</v>
      </c>
      <c r="M1107" s="128">
        <v>12</v>
      </c>
      <c r="N1107" s="128">
        <f t="shared" si="17"/>
        <v>0</v>
      </c>
      <c r="O1107" s="130" t="s">
        <v>159</v>
      </c>
      <c r="P1107" s="130" t="s">
        <v>159</v>
      </c>
      <c r="Q1107" s="130" t="s">
        <v>160</v>
      </c>
      <c r="R1107" s="128">
        <v>0</v>
      </c>
      <c r="S1107" s="130" t="str">
        <f>VLOOKUP($A$2:$A$1217,[1]R_Sector_Mapping_working!$C$2:$S$1217,17,FALSE)</f>
        <v>Administrative and Support Service Activities (rent/leasing/office administrative)</v>
      </c>
    </row>
    <row r="1108" spans="1:19" x14ac:dyDescent="0.25">
      <c r="A1108" s="130" t="s">
        <v>2791</v>
      </c>
      <c r="B1108" s="130" t="s">
        <v>2792</v>
      </c>
      <c r="C1108" s="130" t="s">
        <v>134</v>
      </c>
      <c r="D1108" s="130" t="s">
        <v>134</v>
      </c>
      <c r="E1108" s="130" t="s">
        <v>2793</v>
      </c>
      <c r="F1108" s="130" t="s">
        <v>2794</v>
      </c>
      <c r="G1108" s="130" t="s">
        <v>137</v>
      </c>
      <c r="I1108" s="130" t="s">
        <v>1713</v>
      </c>
      <c r="J1108" s="130" t="s">
        <v>159</v>
      </c>
      <c r="K1108" s="130" t="s">
        <v>2795</v>
      </c>
      <c r="L1108" s="130" t="s">
        <v>417</v>
      </c>
      <c r="M1108" s="128">
        <v>12</v>
      </c>
      <c r="N1108" s="128">
        <f t="shared" si="17"/>
        <v>0</v>
      </c>
      <c r="O1108" s="130" t="s">
        <v>134</v>
      </c>
      <c r="P1108" s="130" t="s">
        <v>134</v>
      </c>
      <c r="Q1108" s="130" t="s">
        <v>417</v>
      </c>
      <c r="R1108" s="128">
        <v>12</v>
      </c>
      <c r="S1108" s="130" t="s">
        <v>2702</v>
      </c>
    </row>
    <row r="1109" spans="1:19" x14ac:dyDescent="0.25">
      <c r="A1109" s="130" t="s">
        <v>2796</v>
      </c>
      <c r="B1109" s="130" t="s">
        <v>2797</v>
      </c>
      <c r="C1109" s="130" t="s">
        <v>134</v>
      </c>
      <c r="D1109" s="130" t="s">
        <v>134</v>
      </c>
      <c r="E1109" s="130" t="s">
        <v>2798</v>
      </c>
      <c r="F1109" s="130" t="s">
        <v>2794</v>
      </c>
      <c r="G1109" s="130" t="s">
        <v>137</v>
      </c>
      <c r="I1109" s="130" t="s">
        <v>1713</v>
      </c>
      <c r="J1109" s="130" t="s">
        <v>159</v>
      </c>
      <c r="K1109" s="130" t="s">
        <v>2795</v>
      </c>
      <c r="L1109" s="130" t="s">
        <v>417</v>
      </c>
      <c r="M1109" s="128">
        <v>12</v>
      </c>
      <c r="N1109" s="128">
        <f t="shared" si="17"/>
        <v>0</v>
      </c>
      <c r="O1109" s="130" t="s">
        <v>134</v>
      </c>
      <c r="P1109" s="130" t="s">
        <v>134</v>
      </c>
      <c r="Q1109" s="130" t="s">
        <v>417</v>
      </c>
      <c r="R1109" s="128">
        <v>12</v>
      </c>
      <c r="S1109" s="130" t="s">
        <v>2702</v>
      </c>
    </row>
    <row r="1110" spans="1:19" x14ac:dyDescent="0.25">
      <c r="A1110" s="130" t="s">
        <v>2799</v>
      </c>
      <c r="B1110" s="130" t="s">
        <v>2800</v>
      </c>
      <c r="C1110" s="130" t="s">
        <v>134</v>
      </c>
      <c r="D1110" s="130" t="s">
        <v>134</v>
      </c>
      <c r="E1110" s="130" t="s">
        <v>2799</v>
      </c>
      <c r="F1110" s="130" t="s">
        <v>2800</v>
      </c>
      <c r="G1110" s="130" t="s">
        <v>137</v>
      </c>
      <c r="I1110" s="130" t="s">
        <v>416</v>
      </c>
      <c r="J1110" s="130" t="s">
        <v>159</v>
      </c>
      <c r="K1110" s="130" t="s">
        <v>2799</v>
      </c>
      <c r="L1110" s="130" t="s">
        <v>139</v>
      </c>
      <c r="M1110" s="128">
        <v>12</v>
      </c>
      <c r="N1110" s="128">
        <f t="shared" si="17"/>
        <v>2</v>
      </c>
      <c r="O1110" s="130" t="s">
        <v>134</v>
      </c>
      <c r="P1110" s="130" t="s">
        <v>134</v>
      </c>
      <c r="Q1110" s="130" t="s">
        <v>139</v>
      </c>
      <c r="R1110" s="128">
        <v>12</v>
      </c>
      <c r="S1110" s="130" t="s">
        <v>2702</v>
      </c>
    </row>
    <row r="1111" spans="1:19" x14ac:dyDescent="0.25">
      <c r="A1111" s="130" t="s">
        <v>2801</v>
      </c>
      <c r="B1111" s="130" t="s">
        <v>2802</v>
      </c>
      <c r="C1111" s="130" t="s">
        <v>159</v>
      </c>
      <c r="D1111" s="130" t="s">
        <v>159</v>
      </c>
      <c r="E1111" s="130" t="s">
        <v>2801</v>
      </c>
      <c r="F1111" s="130" t="s">
        <v>2802</v>
      </c>
      <c r="G1111" s="130" t="s">
        <v>137</v>
      </c>
      <c r="I1111" s="130" t="s">
        <v>1713</v>
      </c>
      <c r="J1111" s="130" t="s">
        <v>159</v>
      </c>
      <c r="K1111" s="130" t="s">
        <v>2801</v>
      </c>
      <c r="L1111" s="130" t="s">
        <v>417</v>
      </c>
      <c r="M1111" s="128">
        <v>12</v>
      </c>
      <c r="N1111" s="128">
        <f t="shared" si="17"/>
        <v>0</v>
      </c>
      <c r="O1111" s="130" t="s">
        <v>159</v>
      </c>
      <c r="P1111" s="130" t="s">
        <v>159</v>
      </c>
      <c r="Q1111" s="130" t="s">
        <v>160</v>
      </c>
      <c r="R1111" s="128">
        <v>0</v>
      </c>
      <c r="S1111" s="130" t="s">
        <v>2702</v>
      </c>
    </row>
    <row r="1112" spans="1:19" x14ac:dyDescent="0.25">
      <c r="A1112" s="130" t="s">
        <v>2803</v>
      </c>
      <c r="B1112" s="130" t="s">
        <v>2804</v>
      </c>
      <c r="C1112" s="130" t="s">
        <v>1020</v>
      </c>
      <c r="D1112" s="130" t="s">
        <v>1020</v>
      </c>
      <c r="E1112" s="130" t="s">
        <v>2805</v>
      </c>
      <c r="F1112" s="130" t="s">
        <v>2806</v>
      </c>
      <c r="G1112" s="130" t="s">
        <v>137</v>
      </c>
      <c r="H1112" s="130" t="s">
        <v>159</v>
      </c>
      <c r="I1112" s="130" t="s">
        <v>1532</v>
      </c>
      <c r="J1112" s="130" t="s">
        <v>159</v>
      </c>
      <c r="K1112" s="130" t="s">
        <v>2805</v>
      </c>
      <c r="L1112" s="130" t="s">
        <v>160</v>
      </c>
      <c r="M1112" s="128">
        <v>0</v>
      </c>
      <c r="N1112" s="128">
        <f t="shared" si="17"/>
        <v>0</v>
      </c>
      <c r="O1112" s="130" t="s">
        <v>1020</v>
      </c>
      <c r="P1112" s="130" t="s">
        <v>1020</v>
      </c>
      <c r="Q1112" s="130" t="s">
        <v>160</v>
      </c>
      <c r="R1112" s="128">
        <v>0</v>
      </c>
      <c r="S1112" s="130" t="s">
        <v>2806</v>
      </c>
    </row>
    <row r="1113" spans="1:19" x14ac:dyDescent="0.25">
      <c r="A1113" s="130" t="s">
        <v>2807</v>
      </c>
      <c r="B1113" s="130" t="s">
        <v>2808</v>
      </c>
      <c r="C1113" s="130" t="s">
        <v>1020</v>
      </c>
      <c r="D1113" s="130" t="s">
        <v>1020</v>
      </c>
      <c r="E1113" s="130" t="s">
        <v>2805</v>
      </c>
      <c r="F1113" s="130" t="s">
        <v>2806</v>
      </c>
      <c r="G1113" s="130" t="s">
        <v>137</v>
      </c>
      <c r="H1113" s="130" t="s">
        <v>159</v>
      </c>
      <c r="I1113" s="130" t="s">
        <v>1532</v>
      </c>
      <c r="J1113" s="130" t="s">
        <v>159</v>
      </c>
      <c r="K1113" s="130" t="s">
        <v>2805</v>
      </c>
      <c r="L1113" s="130" t="s">
        <v>160</v>
      </c>
      <c r="M1113" s="128">
        <v>0</v>
      </c>
      <c r="N1113" s="128">
        <f t="shared" si="17"/>
        <v>0</v>
      </c>
      <c r="O1113" s="130" t="s">
        <v>1020</v>
      </c>
      <c r="P1113" s="130" t="s">
        <v>1020</v>
      </c>
      <c r="Q1113" s="130" t="s">
        <v>160</v>
      </c>
      <c r="R1113" s="128">
        <v>0</v>
      </c>
      <c r="S1113" s="130" t="s">
        <v>2806</v>
      </c>
    </row>
    <row r="1114" spans="1:19" x14ac:dyDescent="0.25">
      <c r="A1114" s="130" t="s">
        <v>2809</v>
      </c>
      <c r="B1114" s="130" t="s">
        <v>2810</v>
      </c>
      <c r="C1114" s="130" t="s">
        <v>1020</v>
      </c>
      <c r="D1114" s="130" t="s">
        <v>1020</v>
      </c>
      <c r="E1114" s="130" t="s">
        <v>2805</v>
      </c>
      <c r="F1114" s="130" t="s">
        <v>2806</v>
      </c>
      <c r="G1114" s="130" t="s">
        <v>137</v>
      </c>
      <c r="H1114" s="130" t="s">
        <v>159</v>
      </c>
      <c r="I1114" s="130" t="s">
        <v>1532</v>
      </c>
      <c r="J1114" s="130" t="s">
        <v>159</v>
      </c>
      <c r="K1114" s="130" t="s">
        <v>2805</v>
      </c>
      <c r="L1114" s="130" t="s">
        <v>160</v>
      </c>
      <c r="M1114" s="128">
        <v>0</v>
      </c>
      <c r="N1114" s="128">
        <f t="shared" si="17"/>
        <v>0</v>
      </c>
      <c r="O1114" s="130" t="s">
        <v>1020</v>
      </c>
      <c r="P1114" s="130" t="s">
        <v>1020</v>
      </c>
      <c r="Q1114" s="130" t="s">
        <v>160</v>
      </c>
      <c r="R1114" s="128">
        <v>0</v>
      </c>
      <c r="S1114" s="130" t="s">
        <v>2806</v>
      </c>
    </row>
    <row r="1115" spans="1:19" x14ac:dyDescent="0.25">
      <c r="A1115" s="130" t="s">
        <v>2811</v>
      </c>
      <c r="B1115" s="130" t="s">
        <v>2812</v>
      </c>
      <c r="C1115" s="130" t="s">
        <v>1020</v>
      </c>
      <c r="D1115" s="130" t="s">
        <v>1020</v>
      </c>
      <c r="E1115" s="130" t="s">
        <v>2805</v>
      </c>
      <c r="F1115" s="130" t="s">
        <v>2806</v>
      </c>
      <c r="G1115" s="130" t="s">
        <v>137</v>
      </c>
      <c r="H1115" s="130" t="s">
        <v>159</v>
      </c>
      <c r="I1115" s="130" t="s">
        <v>1532</v>
      </c>
      <c r="J1115" s="130" t="s">
        <v>159</v>
      </c>
      <c r="K1115" s="130" t="s">
        <v>2805</v>
      </c>
      <c r="L1115" s="130" t="s">
        <v>160</v>
      </c>
      <c r="M1115" s="128">
        <v>0</v>
      </c>
      <c r="N1115" s="128">
        <f t="shared" si="17"/>
        <v>0</v>
      </c>
      <c r="O1115" s="130" t="s">
        <v>1020</v>
      </c>
      <c r="P1115" s="130" t="s">
        <v>1020</v>
      </c>
      <c r="Q1115" s="130" t="s">
        <v>160</v>
      </c>
      <c r="R1115" s="128">
        <v>0</v>
      </c>
      <c r="S1115" s="130" t="s">
        <v>2806</v>
      </c>
    </row>
    <row r="1116" spans="1:19" x14ac:dyDescent="0.25">
      <c r="A1116" s="130" t="s">
        <v>2813</v>
      </c>
      <c r="B1116" s="130" t="s">
        <v>2814</v>
      </c>
      <c r="C1116" s="130" t="s">
        <v>1020</v>
      </c>
      <c r="D1116" s="130" t="s">
        <v>1020</v>
      </c>
      <c r="E1116" s="130" t="s">
        <v>2805</v>
      </c>
      <c r="F1116" s="130" t="s">
        <v>2806</v>
      </c>
      <c r="G1116" s="130" t="s">
        <v>137</v>
      </c>
      <c r="H1116" s="130" t="s">
        <v>159</v>
      </c>
      <c r="I1116" s="130" t="s">
        <v>1532</v>
      </c>
      <c r="J1116" s="130" t="s">
        <v>159</v>
      </c>
      <c r="K1116" s="130" t="s">
        <v>2805</v>
      </c>
      <c r="L1116" s="130" t="s">
        <v>160</v>
      </c>
      <c r="M1116" s="128">
        <v>0</v>
      </c>
      <c r="N1116" s="128">
        <f t="shared" si="17"/>
        <v>0</v>
      </c>
      <c r="O1116" s="130" t="s">
        <v>1020</v>
      </c>
      <c r="P1116" s="130" t="s">
        <v>1020</v>
      </c>
      <c r="Q1116" s="130" t="s">
        <v>160</v>
      </c>
      <c r="R1116" s="128">
        <v>0</v>
      </c>
      <c r="S1116" s="130" t="s">
        <v>2806</v>
      </c>
    </row>
    <row r="1117" spans="1:19" x14ac:dyDescent="0.25">
      <c r="A1117" s="130" t="s">
        <v>2815</v>
      </c>
      <c r="B1117" s="130" t="s">
        <v>2816</v>
      </c>
      <c r="C1117" s="130" t="s">
        <v>1020</v>
      </c>
      <c r="D1117" s="130" t="s">
        <v>1020</v>
      </c>
      <c r="E1117" s="130" t="s">
        <v>2805</v>
      </c>
      <c r="F1117" s="130" t="s">
        <v>2806</v>
      </c>
      <c r="G1117" s="130" t="s">
        <v>137</v>
      </c>
      <c r="H1117" s="130" t="s">
        <v>159</v>
      </c>
      <c r="I1117" s="130" t="s">
        <v>1532</v>
      </c>
      <c r="J1117" s="130" t="s">
        <v>159</v>
      </c>
      <c r="K1117" s="130" t="s">
        <v>2805</v>
      </c>
      <c r="L1117" s="130" t="s">
        <v>160</v>
      </c>
      <c r="M1117" s="128">
        <v>0</v>
      </c>
      <c r="N1117" s="128">
        <f t="shared" si="17"/>
        <v>0</v>
      </c>
      <c r="O1117" s="130" t="s">
        <v>1020</v>
      </c>
      <c r="P1117" s="130" t="s">
        <v>1020</v>
      </c>
      <c r="Q1117" s="130" t="s">
        <v>160</v>
      </c>
      <c r="R1117" s="128">
        <v>0</v>
      </c>
      <c r="S1117" s="130" t="s">
        <v>2806</v>
      </c>
    </row>
    <row r="1118" spans="1:19" x14ac:dyDescent="0.25">
      <c r="A1118" s="130" t="s">
        <v>2817</v>
      </c>
      <c r="B1118" s="130" t="s">
        <v>2818</v>
      </c>
      <c r="C1118" s="130" t="s">
        <v>1020</v>
      </c>
      <c r="D1118" s="130" t="s">
        <v>1020</v>
      </c>
      <c r="E1118" s="130" t="s">
        <v>2805</v>
      </c>
      <c r="F1118" s="130" t="s">
        <v>2806</v>
      </c>
      <c r="G1118" s="130" t="s">
        <v>137</v>
      </c>
      <c r="H1118" s="130" t="s">
        <v>159</v>
      </c>
      <c r="I1118" s="130" t="s">
        <v>1532</v>
      </c>
      <c r="J1118" s="130" t="s">
        <v>159</v>
      </c>
      <c r="K1118" s="130" t="s">
        <v>2805</v>
      </c>
      <c r="L1118" s="130" t="s">
        <v>160</v>
      </c>
      <c r="M1118" s="128">
        <v>0</v>
      </c>
      <c r="N1118" s="128">
        <f t="shared" si="17"/>
        <v>0</v>
      </c>
      <c r="O1118" s="130" t="s">
        <v>1020</v>
      </c>
      <c r="P1118" s="130" t="s">
        <v>1020</v>
      </c>
      <c r="Q1118" s="130" t="s">
        <v>160</v>
      </c>
      <c r="R1118" s="128">
        <v>0</v>
      </c>
      <c r="S1118" s="130" t="s">
        <v>2806</v>
      </c>
    </row>
    <row r="1119" spans="1:19" x14ac:dyDescent="0.25">
      <c r="A1119" s="130" t="s">
        <v>2819</v>
      </c>
      <c r="B1119" s="130" t="s">
        <v>2820</v>
      </c>
      <c r="C1119" s="130" t="s">
        <v>1020</v>
      </c>
      <c r="D1119" s="130" t="s">
        <v>1020</v>
      </c>
      <c r="E1119" s="130" t="s">
        <v>2805</v>
      </c>
      <c r="F1119" s="130" t="s">
        <v>2806</v>
      </c>
      <c r="G1119" s="130" t="s">
        <v>137</v>
      </c>
      <c r="H1119" s="130" t="s">
        <v>159</v>
      </c>
      <c r="I1119" s="130" t="s">
        <v>1532</v>
      </c>
      <c r="J1119" s="130" t="s">
        <v>159</v>
      </c>
      <c r="K1119" s="130" t="s">
        <v>2805</v>
      </c>
      <c r="L1119" s="130" t="s">
        <v>160</v>
      </c>
      <c r="M1119" s="128">
        <v>0</v>
      </c>
      <c r="N1119" s="128">
        <f t="shared" si="17"/>
        <v>0</v>
      </c>
      <c r="O1119" s="130" t="s">
        <v>1020</v>
      </c>
      <c r="P1119" s="130" t="s">
        <v>1020</v>
      </c>
      <c r="Q1119" s="130" t="s">
        <v>160</v>
      </c>
      <c r="R1119" s="128">
        <v>0</v>
      </c>
      <c r="S1119" s="130" t="s">
        <v>2806</v>
      </c>
    </row>
    <row r="1120" spans="1:19" x14ac:dyDescent="0.25">
      <c r="A1120" s="130" t="s">
        <v>2821</v>
      </c>
      <c r="B1120" s="130" t="s">
        <v>2822</v>
      </c>
      <c r="C1120" s="130" t="s">
        <v>1020</v>
      </c>
      <c r="D1120" s="130" t="s">
        <v>1020</v>
      </c>
      <c r="E1120" s="130" t="s">
        <v>2805</v>
      </c>
      <c r="F1120" s="130" t="s">
        <v>2806</v>
      </c>
      <c r="G1120" s="130" t="s">
        <v>137</v>
      </c>
      <c r="H1120" s="130" t="s">
        <v>159</v>
      </c>
      <c r="I1120" s="130" t="s">
        <v>1532</v>
      </c>
      <c r="J1120" s="130" t="s">
        <v>159</v>
      </c>
      <c r="K1120" s="130" t="s">
        <v>2805</v>
      </c>
      <c r="L1120" s="130" t="s">
        <v>160</v>
      </c>
      <c r="M1120" s="128">
        <v>0</v>
      </c>
      <c r="N1120" s="128">
        <f t="shared" si="17"/>
        <v>0</v>
      </c>
      <c r="O1120" s="130" t="s">
        <v>1020</v>
      </c>
      <c r="P1120" s="130" t="s">
        <v>1020</v>
      </c>
      <c r="Q1120" s="130" t="s">
        <v>160</v>
      </c>
      <c r="R1120" s="128">
        <v>0</v>
      </c>
      <c r="S1120" s="130" t="s">
        <v>2806</v>
      </c>
    </row>
    <row r="1121" spans="1:19" x14ac:dyDescent="0.25">
      <c r="A1121" s="130" t="s">
        <v>2823</v>
      </c>
      <c r="B1121" s="130" t="s">
        <v>2824</v>
      </c>
      <c r="C1121" s="130" t="s">
        <v>1020</v>
      </c>
      <c r="D1121" s="130" t="s">
        <v>1020</v>
      </c>
      <c r="E1121" s="130" t="s">
        <v>2805</v>
      </c>
      <c r="F1121" s="130" t="s">
        <v>2806</v>
      </c>
      <c r="G1121" s="130" t="s">
        <v>137</v>
      </c>
      <c r="H1121" s="130" t="s">
        <v>159</v>
      </c>
      <c r="I1121" s="130" t="s">
        <v>1532</v>
      </c>
      <c r="J1121" s="130" t="s">
        <v>159</v>
      </c>
      <c r="K1121" s="130" t="s">
        <v>2805</v>
      </c>
      <c r="L1121" s="130" t="s">
        <v>160</v>
      </c>
      <c r="M1121" s="128">
        <v>0</v>
      </c>
      <c r="N1121" s="128">
        <f t="shared" si="17"/>
        <v>0</v>
      </c>
      <c r="O1121" s="130" t="s">
        <v>1020</v>
      </c>
      <c r="P1121" s="130" t="s">
        <v>1020</v>
      </c>
      <c r="Q1121" s="130" t="s">
        <v>160</v>
      </c>
      <c r="R1121" s="128">
        <v>0</v>
      </c>
      <c r="S1121" s="130" t="s">
        <v>2806</v>
      </c>
    </row>
    <row r="1122" spans="1:19" x14ac:dyDescent="0.25">
      <c r="A1122" s="130" t="s">
        <v>2825</v>
      </c>
      <c r="B1122" s="130" t="s">
        <v>2826</v>
      </c>
      <c r="C1122" s="130" t="s">
        <v>1020</v>
      </c>
      <c r="D1122" s="130" t="s">
        <v>1020</v>
      </c>
      <c r="E1122" s="130" t="s">
        <v>2805</v>
      </c>
      <c r="F1122" s="130" t="s">
        <v>2806</v>
      </c>
      <c r="G1122" s="130" t="s">
        <v>137</v>
      </c>
      <c r="H1122" s="130" t="s">
        <v>159</v>
      </c>
      <c r="I1122" s="130" t="s">
        <v>1532</v>
      </c>
      <c r="J1122" s="130" t="s">
        <v>159</v>
      </c>
      <c r="K1122" s="130" t="s">
        <v>2805</v>
      </c>
      <c r="L1122" s="130" t="s">
        <v>160</v>
      </c>
      <c r="M1122" s="128">
        <v>0</v>
      </c>
      <c r="N1122" s="128">
        <f t="shared" si="17"/>
        <v>0</v>
      </c>
      <c r="O1122" s="130" t="s">
        <v>1020</v>
      </c>
      <c r="P1122" s="130" t="s">
        <v>1020</v>
      </c>
      <c r="Q1122" s="130" t="s">
        <v>160</v>
      </c>
      <c r="R1122" s="128">
        <v>0</v>
      </c>
      <c r="S1122" s="130" t="s">
        <v>2806</v>
      </c>
    </row>
    <row r="1123" spans="1:19" x14ac:dyDescent="0.25">
      <c r="A1123" s="130" t="s">
        <v>2827</v>
      </c>
      <c r="B1123" s="130" t="s">
        <v>2828</v>
      </c>
      <c r="C1123" s="130" t="s">
        <v>1020</v>
      </c>
      <c r="D1123" s="130" t="s">
        <v>1020</v>
      </c>
      <c r="E1123" s="130" t="s">
        <v>2805</v>
      </c>
      <c r="F1123" s="130" t="s">
        <v>2806</v>
      </c>
      <c r="G1123" s="130" t="s">
        <v>137</v>
      </c>
      <c r="H1123" s="130" t="s">
        <v>159</v>
      </c>
      <c r="I1123" s="130" t="s">
        <v>1532</v>
      </c>
      <c r="J1123" s="130" t="s">
        <v>159</v>
      </c>
      <c r="K1123" s="130" t="s">
        <v>2805</v>
      </c>
      <c r="L1123" s="130" t="s">
        <v>160</v>
      </c>
      <c r="M1123" s="128">
        <v>0</v>
      </c>
      <c r="N1123" s="128">
        <f t="shared" si="17"/>
        <v>0</v>
      </c>
      <c r="O1123" s="130" t="s">
        <v>1020</v>
      </c>
      <c r="P1123" s="130" t="s">
        <v>1020</v>
      </c>
      <c r="Q1123" s="130" t="s">
        <v>160</v>
      </c>
      <c r="R1123" s="128">
        <v>0</v>
      </c>
      <c r="S1123" s="130" t="s">
        <v>2806</v>
      </c>
    </row>
    <row r="1124" spans="1:19" x14ac:dyDescent="0.25">
      <c r="A1124" s="130" t="s">
        <v>2829</v>
      </c>
      <c r="B1124" s="130" t="s">
        <v>2830</v>
      </c>
      <c r="C1124" s="130" t="s">
        <v>1020</v>
      </c>
      <c r="D1124" s="130" t="s">
        <v>1020</v>
      </c>
      <c r="E1124" s="130" t="s">
        <v>2805</v>
      </c>
      <c r="F1124" s="130" t="s">
        <v>2806</v>
      </c>
      <c r="G1124" s="130" t="s">
        <v>137</v>
      </c>
      <c r="H1124" s="130" t="s">
        <v>159</v>
      </c>
      <c r="I1124" s="130" t="s">
        <v>1532</v>
      </c>
      <c r="J1124" s="130" t="s">
        <v>159</v>
      </c>
      <c r="K1124" s="130" t="s">
        <v>2805</v>
      </c>
      <c r="L1124" s="130" t="s">
        <v>160</v>
      </c>
      <c r="M1124" s="128">
        <v>0</v>
      </c>
      <c r="N1124" s="128">
        <f t="shared" si="17"/>
        <v>0</v>
      </c>
      <c r="O1124" s="130" t="s">
        <v>1020</v>
      </c>
      <c r="P1124" s="130" t="s">
        <v>1020</v>
      </c>
      <c r="Q1124" s="130" t="s">
        <v>160</v>
      </c>
      <c r="R1124" s="128">
        <v>0</v>
      </c>
      <c r="S1124" s="130" t="s">
        <v>2806</v>
      </c>
    </row>
    <row r="1125" spans="1:19" x14ac:dyDescent="0.25">
      <c r="A1125" s="130" t="s">
        <v>2831</v>
      </c>
      <c r="B1125" s="130" t="s">
        <v>2832</v>
      </c>
      <c r="C1125" s="130" t="s">
        <v>1020</v>
      </c>
      <c r="D1125" s="130" t="s">
        <v>1020</v>
      </c>
      <c r="E1125" s="130" t="s">
        <v>2805</v>
      </c>
      <c r="F1125" s="130" t="s">
        <v>2806</v>
      </c>
      <c r="G1125" s="130" t="s">
        <v>137</v>
      </c>
      <c r="H1125" s="130" t="s">
        <v>159</v>
      </c>
      <c r="I1125" s="130" t="s">
        <v>1532</v>
      </c>
      <c r="J1125" s="130" t="s">
        <v>159</v>
      </c>
      <c r="K1125" s="130" t="s">
        <v>2805</v>
      </c>
      <c r="L1125" s="130" t="s">
        <v>160</v>
      </c>
      <c r="M1125" s="128">
        <v>0</v>
      </c>
      <c r="N1125" s="128">
        <f t="shared" si="17"/>
        <v>0</v>
      </c>
      <c r="O1125" s="130" t="s">
        <v>1020</v>
      </c>
      <c r="P1125" s="130" t="s">
        <v>1020</v>
      </c>
      <c r="Q1125" s="130" t="s">
        <v>160</v>
      </c>
      <c r="R1125" s="128">
        <v>0</v>
      </c>
      <c r="S1125" s="130" t="s">
        <v>2806</v>
      </c>
    </row>
    <row r="1126" spans="1:19" x14ac:dyDescent="0.25">
      <c r="A1126" s="130" t="s">
        <v>2833</v>
      </c>
      <c r="B1126" s="130" t="s">
        <v>2834</v>
      </c>
      <c r="C1126" s="130" t="s">
        <v>1020</v>
      </c>
      <c r="D1126" s="130" t="s">
        <v>1020</v>
      </c>
      <c r="E1126" s="130" t="s">
        <v>2805</v>
      </c>
      <c r="F1126" s="130" t="s">
        <v>2806</v>
      </c>
      <c r="G1126" s="130" t="s">
        <v>137</v>
      </c>
      <c r="H1126" s="130" t="s">
        <v>159</v>
      </c>
      <c r="I1126" s="130" t="s">
        <v>1532</v>
      </c>
      <c r="J1126" s="130" t="s">
        <v>159</v>
      </c>
      <c r="K1126" s="130" t="s">
        <v>2805</v>
      </c>
      <c r="L1126" s="130" t="s">
        <v>160</v>
      </c>
      <c r="M1126" s="128">
        <v>0</v>
      </c>
      <c r="N1126" s="128">
        <f t="shared" si="17"/>
        <v>0</v>
      </c>
      <c r="O1126" s="130" t="s">
        <v>1020</v>
      </c>
      <c r="P1126" s="130" t="s">
        <v>1020</v>
      </c>
      <c r="Q1126" s="130" t="s">
        <v>160</v>
      </c>
      <c r="R1126" s="128">
        <v>0</v>
      </c>
      <c r="S1126" s="130" t="s">
        <v>2806</v>
      </c>
    </row>
    <row r="1127" spans="1:19" x14ac:dyDescent="0.25">
      <c r="A1127" s="130" t="s">
        <v>2835</v>
      </c>
      <c r="B1127" s="130" t="s">
        <v>2836</v>
      </c>
      <c r="C1127" s="130" t="s">
        <v>1020</v>
      </c>
      <c r="D1127" s="130" t="s">
        <v>1020</v>
      </c>
      <c r="E1127" s="130" t="s">
        <v>2805</v>
      </c>
      <c r="F1127" s="130" t="s">
        <v>2806</v>
      </c>
      <c r="G1127" s="130" t="s">
        <v>137</v>
      </c>
      <c r="H1127" s="130" t="s">
        <v>159</v>
      </c>
      <c r="I1127" s="130" t="s">
        <v>1532</v>
      </c>
      <c r="J1127" s="130" t="s">
        <v>159</v>
      </c>
      <c r="K1127" s="130" t="s">
        <v>2805</v>
      </c>
      <c r="L1127" s="130" t="s">
        <v>160</v>
      </c>
      <c r="M1127" s="128">
        <v>0</v>
      </c>
      <c r="N1127" s="128">
        <f t="shared" si="17"/>
        <v>0</v>
      </c>
      <c r="O1127" s="130" t="s">
        <v>1020</v>
      </c>
      <c r="P1127" s="130" t="s">
        <v>1020</v>
      </c>
      <c r="Q1127" s="130" t="s">
        <v>160</v>
      </c>
      <c r="R1127" s="128">
        <v>0</v>
      </c>
      <c r="S1127" s="130" t="s">
        <v>2806</v>
      </c>
    </row>
    <row r="1128" spans="1:19" x14ac:dyDescent="0.25">
      <c r="A1128" s="130" t="s">
        <v>2837</v>
      </c>
      <c r="B1128" s="130" t="s">
        <v>2838</v>
      </c>
      <c r="C1128" s="130" t="s">
        <v>1020</v>
      </c>
      <c r="D1128" s="130" t="s">
        <v>1020</v>
      </c>
      <c r="E1128" s="130" t="s">
        <v>2805</v>
      </c>
      <c r="F1128" s="130" t="s">
        <v>2806</v>
      </c>
      <c r="G1128" s="130" t="s">
        <v>137</v>
      </c>
      <c r="H1128" s="130" t="s">
        <v>159</v>
      </c>
      <c r="I1128" s="130" t="s">
        <v>1532</v>
      </c>
      <c r="J1128" s="130" t="s">
        <v>159</v>
      </c>
      <c r="K1128" s="130" t="s">
        <v>2805</v>
      </c>
      <c r="L1128" s="130" t="s">
        <v>160</v>
      </c>
      <c r="M1128" s="128">
        <v>0</v>
      </c>
      <c r="N1128" s="128">
        <f t="shared" si="17"/>
        <v>0</v>
      </c>
      <c r="O1128" s="130" t="s">
        <v>1020</v>
      </c>
      <c r="P1128" s="130" t="s">
        <v>1020</v>
      </c>
      <c r="Q1128" s="130" t="s">
        <v>160</v>
      </c>
      <c r="R1128" s="128">
        <v>0</v>
      </c>
      <c r="S1128" s="130" t="s">
        <v>2806</v>
      </c>
    </row>
    <row r="1129" spans="1:19" x14ac:dyDescent="0.25">
      <c r="A1129" s="130" t="s">
        <v>2839</v>
      </c>
      <c r="B1129" s="130" t="s">
        <v>2840</v>
      </c>
      <c r="C1129" s="130" t="s">
        <v>1020</v>
      </c>
      <c r="D1129" s="130" t="s">
        <v>1020</v>
      </c>
      <c r="E1129" s="130" t="s">
        <v>2805</v>
      </c>
      <c r="F1129" s="130" t="s">
        <v>2806</v>
      </c>
      <c r="G1129" s="130" t="s">
        <v>137</v>
      </c>
      <c r="H1129" s="130" t="s">
        <v>159</v>
      </c>
      <c r="I1129" s="130" t="s">
        <v>1532</v>
      </c>
      <c r="J1129" s="130" t="s">
        <v>159</v>
      </c>
      <c r="K1129" s="130" t="s">
        <v>2805</v>
      </c>
      <c r="L1129" s="130" t="s">
        <v>160</v>
      </c>
      <c r="M1129" s="128">
        <v>0</v>
      </c>
      <c r="N1129" s="128">
        <f t="shared" si="17"/>
        <v>0</v>
      </c>
      <c r="O1129" s="130" t="s">
        <v>1020</v>
      </c>
      <c r="P1129" s="130" t="s">
        <v>1020</v>
      </c>
      <c r="Q1129" s="130" t="s">
        <v>160</v>
      </c>
      <c r="R1129" s="128">
        <v>0</v>
      </c>
      <c r="S1129" s="130" t="s">
        <v>2806</v>
      </c>
    </row>
    <row r="1130" spans="1:19" x14ac:dyDescent="0.25">
      <c r="A1130" s="130" t="s">
        <v>2841</v>
      </c>
      <c r="B1130" s="130" t="s">
        <v>2842</v>
      </c>
      <c r="C1130" s="130" t="s">
        <v>1020</v>
      </c>
      <c r="D1130" s="130" t="s">
        <v>1020</v>
      </c>
      <c r="E1130" s="130" t="s">
        <v>2805</v>
      </c>
      <c r="F1130" s="130" t="s">
        <v>2806</v>
      </c>
      <c r="G1130" s="130" t="s">
        <v>137</v>
      </c>
      <c r="H1130" s="130" t="s">
        <v>159</v>
      </c>
      <c r="I1130" s="130" t="s">
        <v>1532</v>
      </c>
      <c r="J1130" s="130" t="s">
        <v>159</v>
      </c>
      <c r="K1130" s="130" t="s">
        <v>2805</v>
      </c>
      <c r="L1130" s="130" t="s">
        <v>160</v>
      </c>
      <c r="M1130" s="128">
        <v>0</v>
      </c>
      <c r="N1130" s="128">
        <f t="shared" si="17"/>
        <v>0</v>
      </c>
      <c r="O1130" s="130" t="s">
        <v>1020</v>
      </c>
      <c r="P1130" s="130" t="s">
        <v>1020</v>
      </c>
      <c r="Q1130" s="130" t="s">
        <v>160</v>
      </c>
      <c r="R1130" s="128">
        <v>0</v>
      </c>
      <c r="S1130" s="130" t="s">
        <v>2806</v>
      </c>
    </row>
    <row r="1131" spans="1:19" x14ac:dyDescent="0.25">
      <c r="A1131" s="130" t="s">
        <v>2843</v>
      </c>
      <c r="B1131" s="130" t="s">
        <v>2844</v>
      </c>
      <c r="C1131" s="130" t="s">
        <v>1020</v>
      </c>
      <c r="D1131" s="130" t="s">
        <v>1020</v>
      </c>
      <c r="E1131" s="130" t="s">
        <v>2805</v>
      </c>
      <c r="F1131" s="130" t="s">
        <v>2806</v>
      </c>
      <c r="G1131" s="130" t="s">
        <v>137</v>
      </c>
      <c r="H1131" s="130" t="s">
        <v>159</v>
      </c>
      <c r="I1131" s="130" t="s">
        <v>1532</v>
      </c>
      <c r="J1131" s="130" t="s">
        <v>159</v>
      </c>
      <c r="K1131" s="130" t="s">
        <v>2805</v>
      </c>
      <c r="L1131" s="130" t="s">
        <v>160</v>
      </c>
      <c r="M1131" s="128">
        <v>0</v>
      </c>
      <c r="N1131" s="128">
        <f t="shared" si="17"/>
        <v>0</v>
      </c>
      <c r="O1131" s="130" t="s">
        <v>1020</v>
      </c>
      <c r="P1131" s="130" t="s">
        <v>1020</v>
      </c>
      <c r="Q1131" s="130" t="s">
        <v>160</v>
      </c>
      <c r="R1131" s="128">
        <v>0</v>
      </c>
      <c r="S1131" s="130" t="s">
        <v>2806</v>
      </c>
    </row>
    <row r="1132" spans="1:19" x14ac:dyDescent="0.25">
      <c r="A1132" s="130" t="s">
        <v>2845</v>
      </c>
      <c r="B1132" s="130" t="s">
        <v>2846</v>
      </c>
      <c r="C1132" s="130" t="s">
        <v>159</v>
      </c>
      <c r="D1132" s="130" t="s">
        <v>159</v>
      </c>
      <c r="E1132" s="130" t="s">
        <v>2845</v>
      </c>
      <c r="F1132" s="130" t="s">
        <v>2846</v>
      </c>
      <c r="G1132" s="130" t="s">
        <v>137</v>
      </c>
      <c r="I1132" s="130" t="s">
        <v>1532</v>
      </c>
      <c r="J1132" s="130" t="s">
        <v>159</v>
      </c>
      <c r="K1132" s="130" t="s">
        <v>2845</v>
      </c>
      <c r="L1132" s="130" t="s">
        <v>160</v>
      </c>
      <c r="M1132" s="128">
        <v>0</v>
      </c>
      <c r="N1132" s="128">
        <f t="shared" si="17"/>
        <v>0</v>
      </c>
      <c r="O1132" s="130" t="s">
        <v>159</v>
      </c>
      <c r="P1132" s="130" t="s">
        <v>159</v>
      </c>
      <c r="Q1132" s="130" t="s">
        <v>160</v>
      </c>
      <c r="R1132" s="128">
        <v>0</v>
      </c>
      <c r="S1132" s="130" t="s">
        <v>2846</v>
      </c>
    </row>
    <row r="1133" spans="1:19" x14ac:dyDescent="0.25">
      <c r="A1133" s="130" t="s">
        <v>2847</v>
      </c>
      <c r="B1133" s="130" t="s">
        <v>2848</v>
      </c>
      <c r="C1133" s="130" t="s">
        <v>159</v>
      </c>
      <c r="D1133" s="130" t="s">
        <v>159</v>
      </c>
      <c r="E1133" s="130" t="s">
        <v>2847</v>
      </c>
      <c r="F1133" s="130" t="s">
        <v>2848</v>
      </c>
      <c r="G1133" s="130" t="s">
        <v>137</v>
      </c>
      <c r="I1133" s="130" t="s">
        <v>1532</v>
      </c>
      <c r="J1133" s="130" t="s">
        <v>159</v>
      </c>
      <c r="K1133" s="130" t="s">
        <v>2847</v>
      </c>
      <c r="L1133" s="130" t="s">
        <v>160</v>
      </c>
      <c r="M1133" s="128">
        <v>0</v>
      </c>
      <c r="N1133" s="128">
        <f t="shared" si="17"/>
        <v>0</v>
      </c>
      <c r="O1133" s="130" t="s">
        <v>159</v>
      </c>
      <c r="P1133" s="130" t="s">
        <v>159</v>
      </c>
      <c r="Q1133" s="130" t="s">
        <v>160</v>
      </c>
      <c r="R1133" s="128">
        <v>0</v>
      </c>
      <c r="S1133" s="130" t="s">
        <v>2848</v>
      </c>
    </row>
    <row r="1134" spans="1:19" x14ac:dyDescent="0.25">
      <c r="A1134" s="130" t="s">
        <v>2849</v>
      </c>
      <c r="B1134" s="130" t="s">
        <v>2850</v>
      </c>
      <c r="C1134" s="130" t="s">
        <v>159</v>
      </c>
      <c r="D1134" s="130" t="s">
        <v>159</v>
      </c>
      <c r="E1134" s="130" t="s">
        <v>2849</v>
      </c>
      <c r="F1134" s="130" t="s">
        <v>2850</v>
      </c>
      <c r="G1134" s="130" t="s">
        <v>137</v>
      </c>
      <c r="I1134" s="130" t="s">
        <v>1532</v>
      </c>
      <c r="J1134" s="130" t="s">
        <v>159</v>
      </c>
      <c r="K1134" s="130" t="s">
        <v>2849</v>
      </c>
      <c r="L1134" s="130" t="s">
        <v>2630</v>
      </c>
      <c r="M1134" s="128">
        <v>13</v>
      </c>
      <c r="N1134" s="128">
        <f t="shared" si="17"/>
        <v>-3</v>
      </c>
      <c r="O1134" s="130" t="s">
        <v>159</v>
      </c>
      <c r="P1134" s="130" t="s">
        <v>159</v>
      </c>
      <c r="Q1134" s="130" t="s">
        <v>160</v>
      </c>
      <c r="R1134" s="128">
        <v>0</v>
      </c>
      <c r="S1134" s="130" t="s">
        <v>2851</v>
      </c>
    </row>
    <row r="1135" spans="1:19" x14ac:dyDescent="0.25">
      <c r="A1135" s="130" t="s">
        <v>2852</v>
      </c>
      <c r="B1135" s="130" t="s">
        <v>2853</v>
      </c>
      <c r="C1135" s="130" t="s">
        <v>159</v>
      </c>
      <c r="D1135" s="130" t="s">
        <v>159</v>
      </c>
      <c r="E1135" s="130" t="s">
        <v>2854</v>
      </c>
      <c r="F1135" s="130" t="s">
        <v>2855</v>
      </c>
      <c r="G1135" s="130" t="s">
        <v>137</v>
      </c>
      <c r="I1135" s="130" t="s">
        <v>1532</v>
      </c>
      <c r="J1135" s="130" t="s">
        <v>159</v>
      </c>
      <c r="K1135" s="130" t="s">
        <v>2854</v>
      </c>
      <c r="L1135" s="130" t="s">
        <v>2630</v>
      </c>
      <c r="M1135" s="128">
        <v>13</v>
      </c>
      <c r="N1135" s="128">
        <f t="shared" si="17"/>
        <v>-3</v>
      </c>
      <c r="O1135" s="130" t="s">
        <v>159</v>
      </c>
      <c r="P1135" s="130" t="s">
        <v>159</v>
      </c>
      <c r="Q1135" s="130" t="s">
        <v>160</v>
      </c>
      <c r="R1135" s="128">
        <v>0</v>
      </c>
      <c r="S1135" s="130" t="s">
        <v>2851</v>
      </c>
    </row>
    <row r="1136" spans="1:19" x14ac:dyDescent="0.25">
      <c r="A1136" s="130" t="s">
        <v>2856</v>
      </c>
      <c r="B1136" s="130" t="s">
        <v>2857</v>
      </c>
      <c r="C1136" s="130" t="s">
        <v>134</v>
      </c>
      <c r="D1136" s="130" t="s">
        <v>134</v>
      </c>
      <c r="E1136" s="130" t="s">
        <v>2858</v>
      </c>
      <c r="F1136" s="130" t="s">
        <v>2859</v>
      </c>
      <c r="G1136" s="130" t="s">
        <v>137</v>
      </c>
      <c r="I1136" s="130" t="s">
        <v>1532</v>
      </c>
      <c r="J1136" s="130" t="s">
        <v>159</v>
      </c>
      <c r="K1136" s="130" t="s">
        <v>2858</v>
      </c>
      <c r="L1136" s="130" t="s">
        <v>2630</v>
      </c>
      <c r="M1136" s="128">
        <v>13</v>
      </c>
      <c r="N1136" s="128">
        <f t="shared" si="17"/>
        <v>-3</v>
      </c>
      <c r="O1136" s="130" t="s">
        <v>134</v>
      </c>
      <c r="P1136" s="130" t="s">
        <v>134</v>
      </c>
      <c r="Q1136" s="130" t="s">
        <v>2630</v>
      </c>
      <c r="R1136" s="128">
        <v>13</v>
      </c>
      <c r="S1136" s="130" t="s">
        <v>2851</v>
      </c>
    </row>
    <row r="1137" spans="1:19" x14ac:dyDescent="0.25">
      <c r="A1137" s="130" t="s">
        <v>2860</v>
      </c>
      <c r="B1137" s="130" t="s">
        <v>2861</v>
      </c>
      <c r="C1137" s="130" t="s">
        <v>159</v>
      </c>
      <c r="D1137" s="130" t="s">
        <v>159</v>
      </c>
      <c r="E1137" s="130" t="s">
        <v>2858</v>
      </c>
      <c r="F1137" s="130" t="s">
        <v>2859</v>
      </c>
      <c r="G1137" s="130" t="s">
        <v>137</v>
      </c>
      <c r="I1137" s="130" t="s">
        <v>1532</v>
      </c>
      <c r="J1137" s="130" t="s">
        <v>159</v>
      </c>
      <c r="K1137" s="130" t="s">
        <v>2858</v>
      </c>
      <c r="L1137" s="130" t="s">
        <v>2630</v>
      </c>
      <c r="M1137" s="128">
        <v>13</v>
      </c>
      <c r="N1137" s="128">
        <f t="shared" si="17"/>
        <v>-3</v>
      </c>
      <c r="O1137" s="130" t="s">
        <v>159</v>
      </c>
      <c r="P1137" s="130" t="s">
        <v>159</v>
      </c>
      <c r="Q1137" s="130" t="s">
        <v>160</v>
      </c>
      <c r="R1137" s="128">
        <v>0</v>
      </c>
      <c r="S1137" s="130" t="s">
        <v>2851</v>
      </c>
    </row>
    <row r="1138" spans="1:19" x14ac:dyDescent="0.25">
      <c r="A1138" s="130" t="s">
        <v>2862</v>
      </c>
      <c r="B1138" s="130" t="s">
        <v>2863</v>
      </c>
      <c r="C1138" s="130" t="s">
        <v>134</v>
      </c>
      <c r="D1138" s="130" t="s">
        <v>134</v>
      </c>
      <c r="E1138" s="130" t="s">
        <v>2864</v>
      </c>
      <c r="F1138" s="130" t="s">
        <v>2865</v>
      </c>
      <c r="G1138" s="130" t="s">
        <v>137</v>
      </c>
      <c r="I1138" s="130" t="s">
        <v>1532</v>
      </c>
      <c r="J1138" s="130" t="s">
        <v>159</v>
      </c>
      <c r="K1138" s="130" t="s">
        <v>2864</v>
      </c>
      <c r="L1138" s="130" t="s">
        <v>2630</v>
      </c>
      <c r="M1138" s="128">
        <v>13</v>
      </c>
      <c r="N1138" s="128">
        <f t="shared" si="17"/>
        <v>-3</v>
      </c>
      <c r="O1138" s="130" t="s">
        <v>134</v>
      </c>
      <c r="P1138" s="130" t="s">
        <v>134</v>
      </c>
      <c r="Q1138" s="130" t="s">
        <v>2630</v>
      </c>
      <c r="R1138" s="128">
        <v>13</v>
      </c>
      <c r="S1138" s="130" t="s">
        <v>2851</v>
      </c>
    </row>
    <row r="1139" spans="1:19" x14ac:dyDescent="0.25">
      <c r="A1139" s="130" t="s">
        <v>2866</v>
      </c>
      <c r="B1139" s="130" t="s">
        <v>2867</v>
      </c>
      <c r="C1139" s="130" t="s">
        <v>134</v>
      </c>
      <c r="D1139" s="130" t="s">
        <v>134</v>
      </c>
      <c r="E1139" s="130" t="s">
        <v>2864</v>
      </c>
      <c r="F1139" s="130" t="s">
        <v>2865</v>
      </c>
      <c r="G1139" s="130" t="s">
        <v>137</v>
      </c>
      <c r="I1139" s="130" t="s">
        <v>1532</v>
      </c>
      <c r="J1139" s="130" t="s">
        <v>159</v>
      </c>
      <c r="K1139" s="130" t="s">
        <v>2864</v>
      </c>
      <c r="L1139" s="130" t="s">
        <v>2630</v>
      </c>
      <c r="M1139" s="128">
        <v>13</v>
      </c>
      <c r="N1139" s="128">
        <f t="shared" si="17"/>
        <v>-3</v>
      </c>
      <c r="O1139" s="130" t="s">
        <v>134</v>
      </c>
      <c r="P1139" s="130" t="s">
        <v>134</v>
      </c>
      <c r="Q1139" s="130" t="s">
        <v>2630</v>
      </c>
      <c r="R1139" s="128">
        <v>13</v>
      </c>
      <c r="S1139" s="130" t="s">
        <v>2851</v>
      </c>
    </row>
    <row r="1140" spans="1:19" x14ac:dyDescent="0.25">
      <c r="A1140" s="130" t="s">
        <v>2868</v>
      </c>
      <c r="B1140" s="130" t="s">
        <v>2869</v>
      </c>
      <c r="C1140" s="130" t="s">
        <v>134</v>
      </c>
      <c r="D1140" s="130" t="s">
        <v>134</v>
      </c>
      <c r="E1140" s="130" t="s">
        <v>2864</v>
      </c>
      <c r="F1140" s="130" t="s">
        <v>2865</v>
      </c>
      <c r="G1140" s="130" t="s">
        <v>137</v>
      </c>
      <c r="I1140" s="130" t="s">
        <v>1532</v>
      </c>
      <c r="J1140" s="130" t="s">
        <v>159</v>
      </c>
      <c r="K1140" s="130" t="s">
        <v>2864</v>
      </c>
      <c r="L1140" s="130" t="s">
        <v>2630</v>
      </c>
      <c r="M1140" s="128">
        <v>13</v>
      </c>
      <c r="N1140" s="128">
        <f t="shared" si="17"/>
        <v>-3</v>
      </c>
      <c r="O1140" s="130" t="s">
        <v>134</v>
      </c>
      <c r="P1140" s="130" t="s">
        <v>134</v>
      </c>
      <c r="Q1140" s="130" t="s">
        <v>2630</v>
      </c>
      <c r="R1140" s="128">
        <v>13</v>
      </c>
      <c r="S1140" s="130" t="s">
        <v>2851</v>
      </c>
    </row>
    <row r="1141" spans="1:19" x14ac:dyDescent="0.25">
      <c r="A1141" s="130" t="s">
        <v>2870</v>
      </c>
      <c r="B1141" s="130" t="s">
        <v>2871</v>
      </c>
      <c r="C1141" s="130" t="s">
        <v>159</v>
      </c>
      <c r="D1141" s="130" t="s">
        <v>159</v>
      </c>
      <c r="E1141" s="130" t="s">
        <v>2864</v>
      </c>
      <c r="F1141" s="130" t="s">
        <v>2865</v>
      </c>
      <c r="G1141" s="130" t="s">
        <v>137</v>
      </c>
      <c r="I1141" s="130" t="s">
        <v>1532</v>
      </c>
      <c r="J1141" s="130" t="s">
        <v>159</v>
      </c>
      <c r="K1141" s="130" t="s">
        <v>2864</v>
      </c>
      <c r="L1141" s="130" t="s">
        <v>2630</v>
      </c>
      <c r="M1141" s="128">
        <v>13</v>
      </c>
      <c r="N1141" s="128">
        <f t="shared" si="17"/>
        <v>-3</v>
      </c>
      <c r="O1141" s="130" t="s">
        <v>159</v>
      </c>
      <c r="P1141" s="130" t="s">
        <v>159</v>
      </c>
      <c r="Q1141" s="130" t="s">
        <v>160</v>
      </c>
      <c r="R1141" s="128">
        <v>0</v>
      </c>
      <c r="S1141" s="130" t="s">
        <v>2851</v>
      </c>
    </row>
    <row r="1142" spans="1:19" x14ac:dyDescent="0.25">
      <c r="A1142" s="130" t="s">
        <v>2872</v>
      </c>
      <c r="B1142" s="130" t="s">
        <v>2873</v>
      </c>
      <c r="C1142" s="130" t="s">
        <v>159</v>
      </c>
      <c r="D1142" s="130" t="s">
        <v>159</v>
      </c>
      <c r="E1142" s="130" t="s">
        <v>2872</v>
      </c>
      <c r="F1142" s="130" t="s">
        <v>2873</v>
      </c>
      <c r="G1142" s="130" t="s">
        <v>137</v>
      </c>
      <c r="I1142" s="130" t="s">
        <v>1532</v>
      </c>
      <c r="J1142" s="130" t="s">
        <v>159</v>
      </c>
      <c r="K1142" s="130" t="s">
        <v>2872</v>
      </c>
      <c r="L1142" s="130" t="s">
        <v>2630</v>
      </c>
      <c r="M1142" s="128">
        <v>13</v>
      </c>
      <c r="N1142" s="128">
        <f t="shared" si="17"/>
        <v>-3</v>
      </c>
      <c r="O1142" s="130" t="s">
        <v>159</v>
      </c>
      <c r="P1142" s="130" t="s">
        <v>159</v>
      </c>
      <c r="Q1142" s="130" t="s">
        <v>160</v>
      </c>
      <c r="R1142" s="128">
        <v>0</v>
      </c>
      <c r="S1142" s="130" t="s">
        <v>2851</v>
      </c>
    </row>
    <row r="1143" spans="1:19" x14ac:dyDescent="0.25">
      <c r="A1143" s="130" t="s">
        <v>2874</v>
      </c>
      <c r="B1143" s="130" t="s">
        <v>2875</v>
      </c>
      <c r="C1143" s="130" t="s">
        <v>134</v>
      </c>
      <c r="D1143" s="130" t="s">
        <v>134</v>
      </c>
      <c r="E1143" s="130" t="s">
        <v>2876</v>
      </c>
      <c r="F1143" s="130" t="s">
        <v>2877</v>
      </c>
      <c r="G1143" s="130" t="s">
        <v>137</v>
      </c>
      <c r="I1143" s="130" t="s">
        <v>1532</v>
      </c>
      <c r="J1143" s="130" t="s">
        <v>159</v>
      </c>
      <c r="K1143" s="130" t="s">
        <v>2876</v>
      </c>
      <c r="L1143" s="130" t="s">
        <v>2618</v>
      </c>
      <c r="M1143" s="128">
        <v>15</v>
      </c>
      <c r="N1143" s="128">
        <f t="shared" si="17"/>
        <v>-10</v>
      </c>
      <c r="O1143" s="130" t="s">
        <v>134</v>
      </c>
      <c r="P1143" s="130" t="s">
        <v>134</v>
      </c>
      <c r="Q1143" s="130" t="s">
        <v>2618</v>
      </c>
      <c r="R1143" s="128">
        <v>15</v>
      </c>
      <c r="S1143" s="130" t="s">
        <v>2619</v>
      </c>
    </row>
    <row r="1144" spans="1:19" x14ac:dyDescent="0.25">
      <c r="A1144" s="130" t="s">
        <v>2878</v>
      </c>
      <c r="B1144" s="130" t="s">
        <v>2879</v>
      </c>
      <c r="C1144" s="130" t="s">
        <v>134</v>
      </c>
      <c r="D1144" s="130" t="s">
        <v>134</v>
      </c>
      <c r="E1144" s="130" t="s">
        <v>2876</v>
      </c>
      <c r="F1144" s="130" t="s">
        <v>2877</v>
      </c>
      <c r="G1144" s="130" t="s">
        <v>137</v>
      </c>
      <c r="I1144" s="130" t="s">
        <v>1532</v>
      </c>
      <c r="J1144" s="130" t="s">
        <v>159</v>
      </c>
      <c r="K1144" s="130" t="s">
        <v>2876</v>
      </c>
      <c r="L1144" s="130" t="s">
        <v>2618</v>
      </c>
      <c r="M1144" s="128">
        <v>15</v>
      </c>
      <c r="N1144" s="128">
        <f t="shared" si="17"/>
        <v>-10</v>
      </c>
      <c r="O1144" s="130" t="s">
        <v>134</v>
      </c>
      <c r="P1144" s="130" t="s">
        <v>134</v>
      </c>
      <c r="Q1144" s="130" t="s">
        <v>2618</v>
      </c>
      <c r="R1144" s="128">
        <v>15</v>
      </c>
      <c r="S1144" s="130" t="s">
        <v>2619</v>
      </c>
    </row>
    <row r="1145" spans="1:19" x14ac:dyDescent="0.25">
      <c r="A1145" s="130" t="s">
        <v>2880</v>
      </c>
      <c r="B1145" s="130" t="s">
        <v>2881</v>
      </c>
      <c r="C1145" s="130" t="s">
        <v>134</v>
      </c>
      <c r="D1145" s="130" t="s">
        <v>134</v>
      </c>
      <c r="E1145" s="130" t="s">
        <v>2876</v>
      </c>
      <c r="F1145" s="130" t="s">
        <v>2877</v>
      </c>
      <c r="G1145" s="130" t="s">
        <v>137</v>
      </c>
      <c r="I1145" s="130" t="s">
        <v>1532</v>
      </c>
      <c r="J1145" s="130" t="s">
        <v>159</v>
      </c>
      <c r="K1145" s="130" t="s">
        <v>2876</v>
      </c>
      <c r="L1145" s="130" t="s">
        <v>2618</v>
      </c>
      <c r="M1145" s="128">
        <v>15</v>
      </c>
      <c r="N1145" s="128">
        <f t="shared" si="17"/>
        <v>-10</v>
      </c>
      <c r="O1145" s="130" t="s">
        <v>134</v>
      </c>
      <c r="P1145" s="130" t="s">
        <v>134</v>
      </c>
      <c r="Q1145" s="130" t="s">
        <v>2618</v>
      </c>
      <c r="R1145" s="128">
        <v>15</v>
      </c>
      <c r="S1145" s="130" t="s">
        <v>2619</v>
      </c>
    </row>
    <row r="1146" spans="1:19" x14ac:dyDescent="0.25">
      <c r="A1146" s="130" t="s">
        <v>2882</v>
      </c>
      <c r="B1146" s="130" t="s">
        <v>2883</v>
      </c>
      <c r="C1146" s="130" t="s">
        <v>134</v>
      </c>
      <c r="D1146" s="130" t="s">
        <v>134</v>
      </c>
      <c r="E1146" s="130" t="s">
        <v>2876</v>
      </c>
      <c r="F1146" s="130" t="s">
        <v>2877</v>
      </c>
      <c r="G1146" s="130" t="s">
        <v>137</v>
      </c>
      <c r="I1146" s="130" t="s">
        <v>1532</v>
      </c>
      <c r="J1146" s="130" t="s">
        <v>159</v>
      </c>
      <c r="K1146" s="130" t="s">
        <v>2876</v>
      </c>
      <c r="L1146" s="130" t="s">
        <v>2618</v>
      </c>
      <c r="M1146" s="128">
        <v>15</v>
      </c>
      <c r="N1146" s="128">
        <f t="shared" si="17"/>
        <v>-10</v>
      </c>
      <c r="O1146" s="130" t="s">
        <v>134</v>
      </c>
      <c r="P1146" s="130" t="s">
        <v>134</v>
      </c>
      <c r="Q1146" s="130" t="s">
        <v>2618</v>
      </c>
      <c r="R1146" s="128">
        <v>15</v>
      </c>
      <c r="S1146" s="130" t="s">
        <v>2619</v>
      </c>
    </row>
    <row r="1147" spans="1:19" x14ac:dyDescent="0.25">
      <c r="A1147" s="130" t="s">
        <v>2884</v>
      </c>
      <c r="B1147" s="130" t="s">
        <v>2885</v>
      </c>
      <c r="C1147" s="130" t="s">
        <v>134</v>
      </c>
      <c r="D1147" s="130" t="s">
        <v>134</v>
      </c>
      <c r="E1147" s="130" t="s">
        <v>2876</v>
      </c>
      <c r="F1147" s="130" t="s">
        <v>2877</v>
      </c>
      <c r="G1147" s="130" t="s">
        <v>137</v>
      </c>
      <c r="I1147" s="130" t="s">
        <v>1532</v>
      </c>
      <c r="J1147" s="130" t="s">
        <v>159</v>
      </c>
      <c r="K1147" s="130" t="s">
        <v>2876</v>
      </c>
      <c r="L1147" s="130" t="s">
        <v>2618</v>
      </c>
      <c r="M1147" s="128">
        <v>15</v>
      </c>
      <c r="N1147" s="128">
        <f t="shared" si="17"/>
        <v>-10</v>
      </c>
      <c r="O1147" s="130" t="s">
        <v>134</v>
      </c>
      <c r="P1147" s="130" t="s">
        <v>134</v>
      </c>
      <c r="Q1147" s="130" t="s">
        <v>2618</v>
      </c>
      <c r="R1147" s="128">
        <v>15</v>
      </c>
      <c r="S1147" s="130" t="s">
        <v>2619</v>
      </c>
    </row>
    <row r="1148" spans="1:19" x14ac:dyDescent="0.25">
      <c r="A1148" s="130" t="s">
        <v>2886</v>
      </c>
      <c r="B1148" s="130" t="s">
        <v>2887</v>
      </c>
      <c r="C1148" s="130" t="s">
        <v>134</v>
      </c>
      <c r="D1148" s="130" t="s">
        <v>134</v>
      </c>
      <c r="E1148" s="130" t="s">
        <v>2876</v>
      </c>
      <c r="F1148" s="130" t="s">
        <v>2877</v>
      </c>
      <c r="G1148" s="130" t="s">
        <v>137</v>
      </c>
      <c r="I1148" s="130" t="s">
        <v>1532</v>
      </c>
      <c r="J1148" s="130" t="s">
        <v>159</v>
      </c>
      <c r="K1148" s="130" t="s">
        <v>2876</v>
      </c>
      <c r="L1148" s="130" t="s">
        <v>2618</v>
      </c>
      <c r="M1148" s="128">
        <v>15</v>
      </c>
      <c r="N1148" s="128">
        <f t="shared" si="17"/>
        <v>-10</v>
      </c>
      <c r="O1148" s="130" t="s">
        <v>134</v>
      </c>
      <c r="P1148" s="130" t="s">
        <v>134</v>
      </c>
      <c r="Q1148" s="130" t="s">
        <v>2618</v>
      </c>
      <c r="R1148" s="128">
        <v>15</v>
      </c>
      <c r="S1148" s="130" t="s">
        <v>2619</v>
      </c>
    </row>
    <row r="1149" spans="1:19" x14ac:dyDescent="0.25">
      <c r="A1149" s="130" t="s">
        <v>2888</v>
      </c>
      <c r="B1149" s="130" t="s">
        <v>2889</v>
      </c>
      <c r="C1149" s="130" t="s">
        <v>134</v>
      </c>
      <c r="D1149" s="130" t="s">
        <v>134</v>
      </c>
      <c r="E1149" s="130" t="s">
        <v>2876</v>
      </c>
      <c r="F1149" s="130" t="s">
        <v>2877</v>
      </c>
      <c r="G1149" s="130" t="s">
        <v>137</v>
      </c>
      <c r="I1149" s="130" t="s">
        <v>1532</v>
      </c>
      <c r="J1149" s="130" t="s">
        <v>159</v>
      </c>
      <c r="K1149" s="130" t="s">
        <v>2876</v>
      </c>
      <c r="L1149" s="130" t="s">
        <v>2618</v>
      </c>
      <c r="M1149" s="128">
        <v>15</v>
      </c>
      <c r="N1149" s="128">
        <f t="shared" si="17"/>
        <v>-10</v>
      </c>
      <c r="O1149" s="130" t="s">
        <v>134</v>
      </c>
      <c r="P1149" s="130" t="s">
        <v>134</v>
      </c>
      <c r="Q1149" s="130" t="s">
        <v>2618</v>
      </c>
      <c r="R1149" s="128">
        <v>15</v>
      </c>
      <c r="S1149" s="130" t="s">
        <v>2619</v>
      </c>
    </row>
    <row r="1150" spans="1:19" x14ac:dyDescent="0.25">
      <c r="A1150" s="130" t="s">
        <v>2890</v>
      </c>
      <c r="B1150" s="130" t="s">
        <v>2891</v>
      </c>
      <c r="C1150" s="130" t="s">
        <v>134</v>
      </c>
      <c r="D1150" s="130" t="s">
        <v>134</v>
      </c>
      <c r="E1150" s="130" t="s">
        <v>2876</v>
      </c>
      <c r="F1150" s="130" t="s">
        <v>2877</v>
      </c>
      <c r="G1150" s="130" t="s">
        <v>137</v>
      </c>
      <c r="I1150" s="130" t="s">
        <v>1532</v>
      </c>
      <c r="J1150" s="130" t="s">
        <v>159</v>
      </c>
      <c r="K1150" s="130" t="s">
        <v>2876</v>
      </c>
      <c r="L1150" s="130" t="s">
        <v>2618</v>
      </c>
      <c r="M1150" s="128">
        <v>15</v>
      </c>
      <c r="N1150" s="128">
        <f t="shared" si="17"/>
        <v>-10</v>
      </c>
      <c r="O1150" s="130" t="s">
        <v>134</v>
      </c>
      <c r="P1150" s="130" t="s">
        <v>134</v>
      </c>
      <c r="Q1150" s="130" t="s">
        <v>2618</v>
      </c>
      <c r="R1150" s="128">
        <v>15</v>
      </c>
      <c r="S1150" s="130" t="s">
        <v>2619</v>
      </c>
    </row>
    <row r="1151" spans="1:19" x14ac:dyDescent="0.25">
      <c r="A1151" s="130" t="s">
        <v>2892</v>
      </c>
      <c r="B1151" s="130" t="s">
        <v>2893</v>
      </c>
      <c r="C1151" s="130" t="s">
        <v>134</v>
      </c>
      <c r="D1151" s="130" t="s">
        <v>134</v>
      </c>
      <c r="E1151" s="130" t="s">
        <v>2876</v>
      </c>
      <c r="F1151" s="130" t="s">
        <v>2877</v>
      </c>
      <c r="G1151" s="130" t="s">
        <v>137</v>
      </c>
      <c r="I1151" s="130" t="s">
        <v>1532</v>
      </c>
      <c r="J1151" s="130" t="s">
        <v>159</v>
      </c>
      <c r="K1151" s="130" t="s">
        <v>2876</v>
      </c>
      <c r="L1151" s="130" t="s">
        <v>2618</v>
      </c>
      <c r="M1151" s="128">
        <v>15</v>
      </c>
      <c r="N1151" s="128">
        <f t="shared" si="17"/>
        <v>-10</v>
      </c>
      <c r="O1151" s="130" t="s">
        <v>134</v>
      </c>
      <c r="P1151" s="130" t="s">
        <v>134</v>
      </c>
      <c r="Q1151" s="130" t="s">
        <v>2618</v>
      </c>
      <c r="R1151" s="128">
        <v>15</v>
      </c>
      <c r="S1151" s="130" t="s">
        <v>2619</v>
      </c>
    </row>
    <row r="1152" spans="1:19" x14ac:dyDescent="0.25">
      <c r="A1152" s="130" t="s">
        <v>2894</v>
      </c>
      <c r="B1152" s="130" t="s">
        <v>2895</v>
      </c>
      <c r="C1152" s="130" t="s">
        <v>134</v>
      </c>
      <c r="D1152" s="130" t="s">
        <v>134</v>
      </c>
      <c r="E1152" s="130" t="s">
        <v>2876</v>
      </c>
      <c r="F1152" s="130" t="s">
        <v>2877</v>
      </c>
      <c r="G1152" s="130" t="s">
        <v>137</v>
      </c>
      <c r="I1152" s="130" t="s">
        <v>1532</v>
      </c>
      <c r="J1152" s="130" t="s">
        <v>159</v>
      </c>
      <c r="K1152" s="130" t="s">
        <v>2876</v>
      </c>
      <c r="L1152" s="130" t="s">
        <v>2618</v>
      </c>
      <c r="M1152" s="128">
        <v>15</v>
      </c>
      <c r="N1152" s="128">
        <f t="shared" si="17"/>
        <v>-10</v>
      </c>
      <c r="O1152" s="130" t="s">
        <v>134</v>
      </c>
      <c r="P1152" s="130" t="s">
        <v>134</v>
      </c>
      <c r="Q1152" s="130" t="s">
        <v>2618</v>
      </c>
      <c r="R1152" s="128">
        <v>15</v>
      </c>
      <c r="S1152" s="130" t="s">
        <v>2619</v>
      </c>
    </row>
    <row r="1153" spans="1:19" x14ac:dyDescent="0.25">
      <c r="A1153" s="130" t="s">
        <v>2896</v>
      </c>
      <c r="B1153" s="130" t="s">
        <v>2897</v>
      </c>
      <c r="C1153" s="130" t="s">
        <v>134</v>
      </c>
      <c r="D1153" s="130" t="s">
        <v>134</v>
      </c>
      <c r="E1153" s="130" t="s">
        <v>2876</v>
      </c>
      <c r="F1153" s="130" t="s">
        <v>2877</v>
      </c>
      <c r="G1153" s="130" t="s">
        <v>137</v>
      </c>
      <c r="I1153" s="130" t="s">
        <v>1532</v>
      </c>
      <c r="J1153" s="130" t="s">
        <v>159</v>
      </c>
      <c r="K1153" s="130" t="s">
        <v>2876</v>
      </c>
      <c r="L1153" s="130" t="s">
        <v>2618</v>
      </c>
      <c r="M1153" s="128">
        <v>15</v>
      </c>
      <c r="N1153" s="128">
        <f t="shared" si="17"/>
        <v>-10</v>
      </c>
      <c r="O1153" s="130" t="s">
        <v>134</v>
      </c>
      <c r="P1153" s="130" t="s">
        <v>134</v>
      </c>
      <c r="Q1153" s="130" t="s">
        <v>2618</v>
      </c>
      <c r="R1153" s="128">
        <v>15</v>
      </c>
      <c r="S1153" s="130" t="s">
        <v>2619</v>
      </c>
    </row>
    <row r="1154" spans="1:19" x14ac:dyDescent="0.25">
      <c r="A1154" s="130" t="s">
        <v>2898</v>
      </c>
      <c r="B1154" s="130" t="s">
        <v>2899</v>
      </c>
      <c r="C1154" s="130" t="s">
        <v>134</v>
      </c>
      <c r="D1154" s="130" t="s">
        <v>134</v>
      </c>
      <c r="E1154" s="130" t="s">
        <v>2876</v>
      </c>
      <c r="F1154" s="130" t="s">
        <v>2877</v>
      </c>
      <c r="G1154" s="130" t="s">
        <v>137</v>
      </c>
      <c r="I1154" s="130" t="s">
        <v>1532</v>
      </c>
      <c r="J1154" s="130" t="s">
        <v>159</v>
      </c>
      <c r="K1154" s="130" t="s">
        <v>2876</v>
      </c>
      <c r="L1154" s="130" t="s">
        <v>2618</v>
      </c>
      <c r="M1154" s="128">
        <v>15</v>
      </c>
      <c r="N1154" s="128">
        <f t="shared" si="17"/>
        <v>-10</v>
      </c>
      <c r="O1154" s="130" t="s">
        <v>134</v>
      </c>
      <c r="P1154" s="130" t="s">
        <v>134</v>
      </c>
      <c r="Q1154" s="130" t="s">
        <v>2618</v>
      </c>
      <c r="R1154" s="128">
        <v>15</v>
      </c>
      <c r="S1154" s="130" t="s">
        <v>2619</v>
      </c>
    </row>
    <row r="1155" spans="1:19" x14ac:dyDescent="0.25">
      <c r="A1155" s="130" t="s">
        <v>2900</v>
      </c>
      <c r="B1155" s="130" t="s">
        <v>2901</v>
      </c>
      <c r="C1155" s="130" t="s">
        <v>134</v>
      </c>
      <c r="D1155" s="130" t="s">
        <v>134</v>
      </c>
      <c r="E1155" s="130" t="s">
        <v>2876</v>
      </c>
      <c r="F1155" s="130" t="s">
        <v>2877</v>
      </c>
      <c r="G1155" s="130" t="s">
        <v>137</v>
      </c>
      <c r="I1155" s="130" t="s">
        <v>1532</v>
      </c>
      <c r="J1155" s="130" t="s">
        <v>159</v>
      </c>
      <c r="K1155" s="130" t="s">
        <v>2876</v>
      </c>
      <c r="L1155" s="130" t="s">
        <v>2618</v>
      </c>
      <c r="M1155" s="128">
        <v>15</v>
      </c>
      <c r="N1155" s="128">
        <f t="shared" ref="N1155:N1217" si="18">M1155-L1155</f>
        <v>-10</v>
      </c>
      <c r="O1155" s="130" t="s">
        <v>134</v>
      </c>
      <c r="P1155" s="130" t="s">
        <v>134</v>
      </c>
      <c r="Q1155" s="130" t="s">
        <v>2618</v>
      </c>
      <c r="R1155" s="128">
        <v>15</v>
      </c>
      <c r="S1155" s="130" t="s">
        <v>2619</v>
      </c>
    </row>
    <row r="1156" spans="1:19" x14ac:dyDescent="0.25">
      <c r="A1156" s="130" t="s">
        <v>2902</v>
      </c>
      <c r="B1156" s="130" t="s">
        <v>2903</v>
      </c>
      <c r="C1156" s="130" t="s">
        <v>134</v>
      </c>
      <c r="D1156" s="130" t="s">
        <v>134</v>
      </c>
      <c r="E1156" s="130" t="s">
        <v>2876</v>
      </c>
      <c r="F1156" s="130" t="s">
        <v>2877</v>
      </c>
      <c r="G1156" s="130" t="s">
        <v>137</v>
      </c>
      <c r="I1156" s="130" t="s">
        <v>1532</v>
      </c>
      <c r="J1156" s="130" t="s">
        <v>159</v>
      </c>
      <c r="K1156" s="130" t="s">
        <v>2876</v>
      </c>
      <c r="L1156" s="130" t="s">
        <v>2618</v>
      </c>
      <c r="M1156" s="128">
        <v>15</v>
      </c>
      <c r="N1156" s="128">
        <f t="shared" si="18"/>
        <v>-10</v>
      </c>
      <c r="O1156" s="130" t="s">
        <v>134</v>
      </c>
      <c r="P1156" s="130" t="s">
        <v>134</v>
      </c>
      <c r="Q1156" s="130" t="s">
        <v>2618</v>
      </c>
      <c r="R1156" s="128">
        <v>15</v>
      </c>
      <c r="S1156" s="130" t="s">
        <v>2619</v>
      </c>
    </row>
    <row r="1157" spans="1:19" x14ac:dyDescent="0.25">
      <c r="A1157" s="130" t="s">
        <v>2904</v>
      </c>
      <c r="B1157" s="130" t="s">
        <v>2905</v>
      </c>
      <c r="C1157" s="130" t="s">
        <v>134</v>
      </c>
      <c r="D1157" s="130" t="s">
        <v>134</v>
      </c>
      <c r="E1157" s="130" t="s">
        <v>2876</v>
      </c>
      <c r="F1157" s="130" t="s">
        <v>2877</v>
      </c>
      <c r="G1157" s="130" t="s">
        <v>137</v>
      </c>
      <c r="I1157" s="130" t="s">
        <v>1532</v>
      </c>
      <c r="J1157" s="130" t="s">
        <v>159</v>
      </c>
      <c r="K1157" s="130" t="s">
        <v>2876</v>
      </c>
      <c r="L1157" s="130" t="s">
        <v>2618</v>
      </c>
      <c r="M1157" s="128">
        <v>15</v>
      </c>
      <c r="N1157" s="128">
        <f t="shared" si="18"/>
        <v>-10</v>
      </c>
      <c r="O1157" s="130" t="s">
        <v>134</v>
      </c>
      <c r="P1157" s="130" t="s">
        <v>134</v>
      </c>
      <c r="Q1157" s="130" t="s">
        <v>2618</v>
      </c>
      <c r="R1157" s="128">
        <v>15</v>
      </c>
      <c r="S1157" s="130" t="s">
        <v>2619</v>
      </c>
    </row>
    <row r="1158" spans="1:19" x14ac:dyDescent="0.25">
      <c r="A1158" s="130" t="s">
        <v>2906</v>
      </c>
      <c r="B1158" s="130" t="s">
        <v>2907</v>
      </c>
      <c r="C1158" s="130" t="s">
        <v>134</v>
      </c>
      <c r="D1158" s="130" t="s">
        <v>134</v>
      </c>
      <c r="E1158" s="130" t="s">
        <v>2876</v>
      </c>
      <c r="F1158" s="130" t="s">
        <v>2877</v>
      </c>
      <c r="G1158" s="130" t="s">
        <v>137</v>
      </c>
      <c r="I1158" s="130" t="s">
        <v>1532</v>
      </c>
      <c r="J1158" s="130" t="s">
        <v>159</v>
      </c>
      <c r="K1158" s="130" t="s">
        <v>2876</v>
      </c>
      <c r="L1158" s="130" t="s">
        <v>2618</v>
      </c>
      <c r="M1158" s="128">
        <v>15</v>
      </c>
      <c r="N1158" s="128">
        <f t="shared" si="18"/>
        <v>-10</v>
      </c>
      <c r="O1158" s="130" t="s">
        <v>134</v>
      </c>
      <c r="P1158" s="130" t="s">
        <v>134</v>
      </c>
      <c r="Q1158" s="130" t="s">
        <v>2618</v>
      </c>
      <c r="R1158" s="128">
        <v>15</v>
      </c>
      <c r="S1158" s="130" t="s">
        <v>2619</v>
      </c>
    </row>
    <row r="1159" spans="1:19" x14ac:dyDescent="0.25">
      <c r="A1159" s="130" t="s">
        <v>2908</v>
      </c>
      <c r="B1159" s="130" t="s">
        <v>2909</v>
      </c>
      <c r="C1159" s="130" t="s">
        <v>134</v>
      </c>
      <c r="D1159" s="130" t="s">
        <v>134</v>
      </c>
      <c r="E1159" s="130" t="s">
        <v>2876</v>
      </c>
      <c r="F1159" s="130" t="s">
        <v>2877</v>
      </c>
      <c r="G1159" s="130" t="s">
        <v>137</v>
      </c>
      <c r="I1159" s="130" t="s">
        <v>1532</v>
      </c>
      <c r="J1159" s="130" t="s">
        <v>159</v>
      </c>
      <c r="K1159" s="130" t="s">
        <v>2876</v>
      </c>
      <c r="L1159" s="130" t="s">
        <v>2618</v>
      </c>
      <c r="M1159" s="128">
        <v>15</v>
      </c>
      <c r="N1159" s="128">
        <f t="shared" si="18"/>
        <v>-10</v>
      </c>
      <c r="O1159" s="130" t="s">
        <v>134</v>
      </c>
      <c r="P1159" s="130" t="s">
        <v>134</v>
      </c>
      <c r="Q1159" s="130" t="s">
        <v>2618</v>
      </c>
      <c r="R1159" s="128">
        <v>15</v>
      </c>
      <c r="S1159" s="130" t="s">
        <v>2619</v>
      </c>
    </row>
    <row r="1160" spans="1:19" x14ac:dyDescent="0.25">
      <c r="A1160" s="130" t="s">
        <v>2910</v>
      </c>
      <c r="B1160" s="130" t="s">
        <v>2911</v>
      </c>
      <c r="C1160" s="130" t="s">
        <v>134</v>
      </c>
      <c r="D1160" s="130" t="s">
        <v>134</v>
      </c>
      <c r="E1160" s="130" t="s">
        <v>2876</v>
      </c>
      <c r="F1160" s="130" t="s">
        <v>2877</v>
      </c>
      <c r="G1160" s="130" t="s">
        <v>137</v>
      </c>
      <c r="I1160" s="130" t="s">
        <v>1532</v>
      </c>
      <c r="J1160" s="130" t="s">
        <v>159</v>
      </c>
      <c r="K1160" s="130" t="s">
        <v>2876</v>
      </c>
      <c r="L1160" s="130" t="s">
        <v>2618</v>
      </c>
      <c r="M1160" s="128">
        <v>15</v>
      </c>
      <c r="N1160" s="128">
        <f t="shared" si="18"/>
        <v>-10</v>
      </c>
      <c r="O1160" s="130" t="s">
        <v>134</v>
      </c>
      <c r="P1160" s="130" t="s">
        <v>134</v>
      </c>
      <c r="Q1160" s="130" t="s">
        <v>2618</v>
      </c>
      <c r="R1160" s="128">
        <v>15</v>
      </c>
      <c r="S1160" s="130" t="s">
        <v>2619</v>
      </c>
    </row>
    <row r="1161" spans="1:19" x14ac:dyDescent="0.25">
      <c r="A1161" s="130" t="s">
        <v>2912</v>
      </c>
      <c r="B1161" s="130" t="s">
        <v>2913</v>
      </c>
      <c r="C1161" s="130" t="s">
        <v>134</v>
      </c>
      <c r="D1161" s="130" t="s">
        <v>134</v>
      </c>
      <c r="E1161" s="130" t="s">
        <v>2912</v>
      </c>
      <c r="F1161" s="130" t="s">
        <v>2913</v>
      </c>
      <c r="G1161" s="130" t="s">
        <v>137</v>
      </c>
      <c r="I1161" s="130" t="s">
        <v>1532</v>
      </c>
      <c r="J1161" s="130" t="s">
        <v>159</v>
      </c>
      <c r="K1161" s="130" t="s">
        <v>2912</v>
      </c>
      <c r="L1161" s="130" t="s">
        <v>2618</v>
      </c>
      <c r="M1161" s="128">
        <v>15</v>
      </c>
      <c r="N1161" s="128">
        <f t="shared" si="18"/>
        <v>-10</v>
      </c>
      <c r="O1161" s="130" t="s">
        <v>134</v>
      </c>
      <c r="P1161" s="130" t="s">
        <v>134</v>
      </c>
      <c r="Q1161" s="130" t="s">
        <v>2618</v>
      </c>
      <c r="R1161" s="128">
        <v>15</v>
      </c>
      <c r="S1161" s="130" t="s">
        <v>2619</v>
      </c>
    </row>
    <row r="1162" spans="1:19" x14ac:dyDescent="0.25">
      <c r="A1162" s="130" t="s">
        <v>2914</v>
      </c>
      <c r="B1162" s="130" t="s">
        <v>2915</v>
      </c>
      <c r="C1162" s="130" t="s">
        <v>134</v>
      </c>
      <c r="D1162" s="130" t="s">
        <v>134</v>
      </c>
      <c r="E1162" s="130" t="s">
        <v>2916</v>
      </c>
      <c r="F1162" s="130" t="s">
        <v>2917</v>
      </c>
      <c r="G1162" s="130" t="s">
        <v>137</v>
      </c>
      <c r="I1162" s="130" t="s">
        <v>1532</v>
      </c>
      <c r="J1162" s="130" t="s">
        <v>159</v>
      </c>
      <c r="K1162" s="130" t="s">
        <v>2916</v>
      </c>
      <c r="L1162" s="130" t="s">
        <v>2618</v>
      </c>
      <c r="M1162" s="128">
        <v>15</v>
      </c>
      <c r="N1162" s="128">
        <f t="shared" si="18"/>
        <v>-10</v>
      </c>
      <c r="O1162" s="130" t="s">
        <v>134</v>
      </c>
      <c r="P1162" s="130" t="s">
        <v>134</v>
      </c>
      <c r="Q1162" s="130" t="s">
        <v>2618</v>
      </c>
      <c r="R1162" s="128">
        <v>15</v>
      </c>
      <c r="S1162" s="130" t="s">
        <v>2619</v>
      </c>
    </row>
    <row r="1163" spans="1:19" x14ac:dyDescent="0.25">
      <c r="A1163" s="130" t="s">
        <v>2918</v>
      </c>
      <c r="B1163" s="130" t="s">
        <v>2919</v>
      </c>
      <c r="C1163" s="130" t="s">
        <v>1020</v>
      </c>
      <c r="D1163" s="130" t="s">
        <v>1020</v>
      </c>
      <c r="E1163" s="130" t="s">
        <v>2920</v>
      </c>
      <c r="F1163" s="130" t="s">
        <v>2921</v>
      </c>
      <c r="G1163" s="130" t="s">
        <v>137</v>
      </c>
      <c r="I1163" s="130" t="s">
        <v>1532</v>
      </c>
      <c r="J1163" s="130" t="s">
        <v>159</v>
      </c>
      <c r="K1163" s="130" t="s">
        <v>2920</v>
      </c>
      <c r="L1163" s="130" t="s">
        <v>160</v>
      </c>
      <c r="M1163" s="128">
        <v>0</v>
      </c>
      <c r="N1163" s="128">
        <f t="shared" si="18"/>
        <v>0</v>
      </c>
      <c r="O1163" s="130" t="s">
        <v>1020</v>
      </c>
      <c r="P1163" s="130" t="s">
        <v>1020</v>
      </c>
      <c r="Q1163" s="130" t="s">
        <v>160</v>
      </c>
      <c r="R1163" s="128">
        <v>0</v>
      </c>
      <c r="S1163" s="130" t="s">
        <v>2921</v>
      </c>
    </row>
    <row r="1164" spans="1:19" x14ac:dyDescent="0.25">
      <c r="A1164" s="130" t="s">
        <v>2922</v>
      </c>
      <c r="B1164" s="130" t="s">
        <v>2923</v>
      </c>
      <c r="C1164" s="130" t="s">
        <v>1020</v>
      </c>
      <c r="D1164" s="130" t="s">
        <v>1020</v>
      </c>
      <c r="E1164" s="130" t="s">
        <v>2924</v>
      </c>
      <c r="F1164" s="130" t="s">
        <v>2925</v>
      </c>
      <c r="G1164" s="130" t="s">
        <v>137</v>
      </c>
      <c r="I1164" s="130" t="s">
        <v>1532</v>
      </c>
      <c r="J1164" s="130" t="s">
        <v>159</v>
      </c>
      <c r="K1164" s="130" t="s">
        <v>2924</v>
      </c>
      <c r="L1164" s="130" t="s">
        <v>160</v>
      </c>
      <c r="M1164" s="128">
        <v>0</v>
      </c>
      <c r="N1164" s="128">
        <f t="shared" si="18"/>
        <v>0</v>
      </c>
      <c r="O1164" s="130" t="s">
        <v>1020</v>
      </c>
      <c r="P1164" s="130" t="s">
        <v>1020</v>
      </c>
      <c r="Q1164" s="130" t="s">
        <v>160</v>
      </c>
      <c r="R1164" s="128">
        <v>0</v>
      </c>
      <c r="S1164" s="130" t="s">
        <v>2925</v>
      </c>
    </row>
    <row r="1165" spans="1:19" x14ac:dyDescent="0.25">
      <c r="A1165" s="130" t="s">
        <v>2924</v>
      </c>
      <c r="B1165" s="130" t="s">
        <v>2926</v>
      </c>
      <c r="C1165" s="130" t="s">
        <v>1020</v>
      </c>
      <c r="D1165" s="130" t="s">
        <v>1020</v>
      </c>
      <c r="E1165" s="130" t="s">
        <v>2924</v>
      </c>
      <c r="F1165" s="130" t="s">
        <v>2925</v>
      </c>
      <c r="G1165" s="130" t="s">
        <v>137</v>
      </c>
      <c r="I1165" s="130" t="s">
        <v>1532</v>
      </c>
      <c r="J1165" s="130" t="s">
        <v>159</v>
      </c>
      <c r="K1165" s="130" t="s">
        <v>2924</v>
      </c>
      <c r="L1165" s="130" t="s">
        <v>160</v>
      </c>
      <c r="M1165" s="128">
        <v>0</v>
      </c>
      <c r="N1165" s="128">
        <f t="shared" si="18"/>
        <v>0</v>
      </c>
      <c r="O1165" s="130" t="s">
        <v>1020</v>
      </c>
      <c r="P1165" s="130" t="s">
        <v>1020</v>
      </c>
      <c r="Q1165" s="130" t="s">
        <v>160</v>
      </c>
      <c r="R1165" s="128">
        <v>0</v>
      </c>
      <c r="S1165" s="130" t="s">
        <v>2925</v>
      </c>
    </row>
    <row r="1166" spans="1:19" x14ac:dyDescent="0.25">
      <c r="A1166" s="130" t="s">
        <v>2927</v>
      </c>
      <c r="B1166" s="130" t="s">
        <v>2928</v>
      </c>
      <c r="C1166" s="130" t="s">
        <v>134</v>
      </c>
      <c r="D1166" s="130" t="s">
        <v>134</v>
      </c>
      <c r="E1166" s="130" t="s">
        <v>2924</v>
      </c>
      <c r="F1166" s="130" t="s">
        <v>2925</v>
      </c>
      <c r="G1166" s="130" t="s">
        <v>137</v>
      </c>
      <c r="I1166" s="130" t="s">
        <v>1532</v>
      </c>
      <c r="J1166" s="130" t="s">
        <v>159</v>
      </c>
      <c r="K1166" s="130" t="s">
        <v>2924</v>
      </c>
      <c r="L1166" s="130" t="s">
        <v>417</v>
      </c>
      <c r="M1166" s="128">
        <v>0</v>
      </c>
      <c r="N1166" s="128">
        <f t="shared" si="18"/>
        <v>-12</v>
      </c>
      <c r="O1166" s="130" t="s">
        <v>134</v>
      </c>
      <c r="P1166" s="130" t="s">
        <v>134</v>
      </c>
      <c r="Q1166" s="130" t="s">
        <v>417</v>
      </c>
      <c r="R1166" s="128">
        <v>0</v>
      </c>
      <c r="S1166" s="130" t="s">
        <v>2925</v>
      </c>
    </row>
    <row r="1167" spans="1:19" x14ac:dyDescent="0.25">
      <c r="A1167" s="130" t="s">
        <v>2929</v>
      </c>
      <c r="B1167" s="130" t="s">
        <v>2930</v>
      </c>
      <c r="C1167" s="130" t="s">
        <v>159</v>
      </c>
      <c r="D1167" s="130" t="s">
        <v>159</v>
      </c>
      <c r="E1167" s="130" t="s">
        <v>2924</v>
      </c>
      <c r="F1167" s="130" t="s">
        <v>2925</v>
      </c>
      <c r="G1167" s="130" t="s">
        <v>137</v>
      </c>
      <c r="I1167" s="130" t="s">
        <v>1532</v>
      </c>
      <c r="J1167" s="130" t="s">
        <v>159</v>
      </c>
      <c r="K1167" s="130" t="s">
        <v>2924</v>
      </c>
      <c r="L1167" s="130" t="s">
        <v>417</v>
      </c>
      <c r="M1167" s="128">
        <v>0</v>
      </c>
      <c r="N1167" s="128">
        <f t="shared" si="18"/>
        <v>-12</v>
      </c>
      <c r="O1167" s="130" t="s">
        <v>159</v>
      </c>
      <c r="P1167" s="130" t="s">
        <v>159</v>
      </c>
      <c r="Q1167" s="130" t="s">
        <v>160</v>
      </c>
      <c r="R1167" s="128">
        <v>0</v>
      </c>
      <c r="S1167" s="130" t="s">
        <v>2925</v>
      </c>
    </row>
    <row r="1168" spans="1:19" x14ac:dyDescent="0.25">
      <c r="A1168" s="130" t="s">
        <v>2931</v>
      </c>
      <c r="B1168" s="130" t="s">
        <v>2932</v>
      </c>
      <c r="C1168" s="130" t="s">
        <v>134</v>
      </c>
      <c r="D1168" s="130" t="s">
        <v>134</v>
      </c>
      <c r="E1168" s="130" t="s">
        <v>2924</v>
      </c>
      <c r="F1168" s="130" t="s">
        <v>2925</v>
      </c>
      <c r="G1168" s="130" t="s">
        <v>137</v>
      </c>
      <c r="I1168" s="130" t="s">
        <v>1532</v>
      </c>
      <c r="J1168" s="130" t="s">
        <v>159</v>
      </c>
      <c r="K1168" s="130" t="s">
        <v>2924</v>
      </c>
      <c r="L1168" s="130" t="s">
        <v>417</v>
      </c>
      <c r="M1168" s="128">
        <v>0</v>
      </c>
      <c r="N1168" s="128">
        <f t="shared" si="18"/>
        <v>-12</v>
      </c>
      <c r="O1168" s="130" t="s">
        <v>134</v>
      </c>
      <c r="P1168" s="130" t="s">
        <v>134</v>
      </c>
      <c r="Q1168" s="130" t="s">
        <v>417</v>
      </c>
      <c r="R1168" s="128">
        <v>0</v>
      </c>
      <c r="S1168" s="130" t="s">
        <v>2925</v>
      </c>
    </row>
    <row r="1169" spans="1:19" x14ac:dyDescent="0.25">
      <c r="A1169" s="130" t="s">
        <v>2933</v>
      </c>
      <c r="B1169" s="130" t="s">
        <v>2934</v>
      </c>
      <c r="C1169" s="130" t="s">
        <v>159</v>
      </c>
      <c r="D1169" s="130" t="s">
        <v>159</v>
      </c>
      <c r="E1169" s="130" t="s">
        <v>2935</v>
      </c>
      <c r="F1169" s="130" t="s">
        <v>2936</v>
      </c>
      <c r="G1169" s="130" t="s">
        <v>159</v>
      </c>
      <c r="I1169" s="130" t="s">
        <v>1532</v>
      </c>
      <c r="J1169" s="130" t="s">
        <v>159</v>
      </c>
      <c r="K1169" s="130" t="s">
        <v>2935</v>
      </c>
      <c r="L1169" s="130" t="s">
        <v>417</v>
      </c>
      <c r="M1169" s="128">
        <v>10</v>
      </c>
      <c r="N1169" s="128">
        <f t="shared" si="18"/>
        <v>-2</v>
      </c>
      <c r="O1169" s="130" t="s">
        <v>159</v>
      </c>
      <c r="P1169" s="130" t="s">
        <v>159</v>
      </c>
      <c r="Q1169" s="130" t="s">
        <v>160</v>
      </c>
      <c r="R1169" s="128">
        <v>0</v>
      </c>
      <c r="S1169" s="130" t="s">
        <v>2937</v>
      </c>
    </row>
    <row r="1170" spans="1:19" x14ac:dyDescent="0.25">
      <c r="A1170" s="130" t="s">
        <v>2938</v>
      </c>
      <c r="B1170" s="130" t="s">
        <v>2939</v>
      </c>
      <c r="C1170" s="130" t="s">
        <v>159</v>
      </c>
      <c r="D1170" s="130" t="s">
        <v>159</v>
      </c>
      <c r="E1170" s="130" t="s">
        <v>2935</v>
      </c>
      <c r="F1170" s="130" t="s">
        <v>2936</v>
      </c>
      <c r="G1170" s="130" t="s">
        <v>159</v>
      </c>
      <c r="I1170" s="130" t="s">
        <v>1532</v>
      </c>
      <c r="J1170" s="130" t="s">
        <v>159</v>
      </c>
      <c r="K1170" s="130" t="s">
        <v>2935</v>
      </c>
      <c r="L1170" s="130" t="s">
        <v>417</v>
      </c>
      <c r="M1170" s="128">
        <v>10</v>
      </c>
      <c r="N1170" s="128">
        <f t="shared" si="18"/>
        <v>-2</v>
      </c>
      <c r="O1170" s="130" t="s">
        <v>159</v>
      </c>
      <c r="P1170" s="130" t="s">
        <v>159</v>
      </c>
      <c r="Q1170" s="130" t="s">
        <v>160</v>
      </c>
      <c r="R1170" s="128">
        <v>0</v>
      </c>
      <c r="S1170" s="130" t="s">
        <v>2937</v>
      </c>
    </row>
    <row r="1171" spans="1:19" x14ac:dyDescent="0.25">
      <c r="A1171" s="130" t="s">
        <v>2940</v>
      </c>
      <c r="B1171" s="130" t="s">
        <v>2941</v>
      </c>
      <c r="C1171" s="130" t="s">
        <v>159</v>
      </c>
      <c r="D1171" s="130" t="s">
        <v>159</v>
      </c>
      <c r="E1171" s="130" t="s">
        <v>2935</v>
      </c>
      <c r="F1171" s="130" t="s">
        <v>2936</v>
      </c>
      <c r="G1171" s="130" t="s">
        <v>159</v>
      </c>
      <c r="I1171" s="130" t="s">
        <v>1532</v>
      </c>
      <c r="J1171" s="130" t="s">
        <v>159</v>
      </c>
      <c r="K1171" s="130" t="s">
        <v>2935</v>
      </c>
      <c r="L1171" s="130" t="s">
        <v>417</v>
      </c>
      <c r="M1171" s="128">
        <v>10</v>
      </c>
      <c r="N1171" s="128">
        <f t="shared" si="18"/>
        <v>-2</v>
      </c>
      <c r="O1171" s="130" t="s">
        <v>159</v>
      </c>
      <c r="P1171" s="130" t="s">
        <v>159</v>
      </c>
      <c r="Q1171" s="130" t="s">
        <v>160</v>
      </c>
      <c r="R1171" s="128">
        <v>0</v>
      </c>
      <c r="S1171" s="130" t="s">
        <v>2937</v>
      </c>
    </row>
    <row r="1172" spans="1:19" x14ac:dyDescent="0.25">
      <c r="A1172" s="130" t="s">
        <v>2942</v>
      </c>
      <c r="B1172" s="130" t="s">
        <v>2943</v>
      </c>
      <c r="C1172" s="130" t="s">
        <v>159</v>
      </c>
      <c r="D1172" s="130" t="s">
        <v>159</v>
      </c>
      <c r="E1172" s="130" t="s">
        <v>2944</v>
      </c>
      <c r="F1172" s="130" t="s">
        <v>2945</v>
      </c>
      <c r="G1172" s="130" t="s">
        <v>137</v>
      </c>
      <c r="I1172" s="130" t="s">
        <v>1532</v>
      </c>
      <c r="J1172" s="130" t="s">
        <v>159</v>
      </c>
      <c r="K1172" s="130" t="s">
        <v>2944</v>
      </c>
      <c r="L1172" s="130" t="s">
        <v>417</v>
      </c>
      <c r="M1172" s="128">
        <v>0</v>
      </c>
      <c r="N1172" s="128">
        <f t="shared" si="18"/>
        <v>-12</v>
      </c>
      <c r="O1172" s="130" t="s">
        <v>159</v>
      </c>
      <c r="P1172" s="130" t="s">
        <v>159</v>
      </c>
      <c r="Q1172" s="130" t="s">
        <v>160</v>
      </c>
      <c r="R1172" s="128">
        <v>0</v>
      </c>
      <c r="S1172" s="130" t="s">
        <v>2945</v>
      </c>
    </row>
    <row r="1173" spans="1:19" x14ac:dyDescent="0.25">
      <c r="A1173" s="130" t="s">
        <v>2946</v>
      </c>
      <c r="B1173" s="130" t="s">
        <v>2947</v>
      </c>
      <c r="C1173" s="130" t="s">
        <v>1020</v>
      </c>
      <c r="D1173" s="130" t="s">
        <v>1020</v>
      </c>
      <c r="E1173" s="130" t="s">
        <v>2944</v>
      </c>
      <c r="F1173" s="130" t="s">
        <v>2945</v>
      </c>
      <c r="G1173" s="130" t="s">
        <v>137</v>
      </c>
      <c r="I1173" s="130" t="s">
        <v>1532</v>
      </c>
      <c r="J1173" s="130" t="s">
        <v>159</v>
      </c>
      <c r="K1173" s="130" t="s">
        <v>2944</v>
      </c>
      <c r="L1173" s="130" t="s">
        <v>417</v>
      </c>
      <c r="M1173" s="128">
        <v>0</v>
      </c>
      <c r="N1173" s="128">
        <f t="shared" si="18"/>
        <v>-12</v>
      </c>
      <c r="O1173" s="130" t="s">
        <v>1020</v>
      </c>
      <c r="P1173" s="130" t="s">
        <v>1020</v>
      </c>
      <c r="Q1173" s="130" t="s">
        <v>160</v>
      </c>
      <c r="R1173" s="128">
        <v>0</v>
      </c>
      <c r="S1173" s="130" t="s">
        <v>2945</v>
      </c>
    </row>
    <row r="1174" spans="1:19" x14ac:dyDescent="0.25">
      <c r="A1174" s="130" t="s">
        <v>2944</v>
      </c>
      <c r="B1174" s="130" t="s">
        <v>2948</v>
      </c>
      <c r="C1174" s="130" t="s">
        <v>1020</v>
      </c>
      <c r="D1174" s="130" t="s">
        <v>1020</v>
      </c>
      <c r="E1174" s="130" t="s">
        <v>2944</v>
      </c>
      <c r="F1174" s="130" t="s">
        <v>2945</v>
      </c>
      <c r="G1174" s="130" t="s">
        <v>137</v>
      </c>
      <c r="I1174" s="130" t="s">
        <v>1532</v>
      </c>
      <c r="J1174" s="130" t="s">
        <v>159</v>
      </c>
      <c r="K1174" s="130" t="s">
        <v>2944</v>
      </c>
      <c r="L1174" s="130" t="s">
        <v>417</v>
      </c>
      <c r="M1174" s="128">
        <v>0</v>
      </c>
      <c r="N1174" s="128">
        <f t="shared" si="18"/>
        <v>-12</v>
      </c>
      <c r="O1174" s="130" t="s">
        <v>1020</v>
      </c>
      <c r="P1174" s="130" t="s">
        <v>1020</v>
      </c>
      <c r="Q1174" s="130" t="s">
        <v>160</v>
      </c>
      <c r="R1174" s="128">
        <v>0</v>
      </c>
      <c r="S1174" s="130" t="s">
        <v>2945</v>
      </c>
    </row>
    <row r="1175" spans="1:19" x14ac:dyDescent="0.25">
      <c r="A1175" s="130" t="s">
        <v>2949</v>
      </c>
      <c r="B1175" s="130" t="s">
        <v>2950</v>
      </c>
      <c r="C1175" s="130" t="s">
        <v>1020</v>
      </c>
      <c r="D1175" s="130" t="s">
        <v>1020</v>
      </c>
      <c r="E1175" s="130" t="s">
        <v>2944</v>
      </c>
      <c r="F1175" s="130" t="s">
        <v>2945</v>
      </c>
      <c r="G1175" s="130" t="s">
        <v>137</v>
      </c>
      <c r="I1175" s="130" t="s">
        <v>1532</v>
      </c>
      <c r="J1175" s="130" t="s">
        <v>159</v>
      </c>
      <c r="K1175" s="130" t="s">
        <v>2944</v>
      </c>
      <c r="L1175" s="130" t="s">
        <v>160</v>
      </c>
      <c r="M1175" s="128">
        <v>0</v>
      </c>
      <c r="N1175" s="128">
        <f t="shared" si="18"/>
        <v>0</v>
      </c>
      <c r="O1175" s="130" t="s">
        <v>1020</v>
      </c>
      <c r="P1175" s="130" t="s">
        <v>1020</v>
      </c>
      <c r="Q1175" s="130" t="s">
        <v>160</v>
      </c>
      <c r="R1175" s="128">
        <v>0</v>
      </c>
      <c r="S1175" s="130" t="s">
        <v>2945</v>
      </c>
    </row>
    <row r="1176" spans="1:19" x14ac:dyDescent="0.25">
      <c r="A1176" s="130" t="s">
        <v>2951</v>
      </c>
      <c r="B1176" s="130" t="s">
        <v>2952</v>
      </c>
      <c r="C1176" s="130" t="s">
        <v>1020</v>
      </c>
      <c r="D1176" s="130" t="s">
        <v>1020</v>
      </c>
      <c r="E1176" s="130" t="s">
        <v>2951</v>
      </c>
      <c r="F1176" s="130" t="s">
        <v>2952</v>
      </c>
      <c r="G1176" s="130" t="s">
        <v>137</v>
      </c>
      <c r="I1176" s="130" t="s">
        <v>1532</v>
      </c>
      <c r="J1176" s="130" t="s">
        <v>159</v>
      </c>
      <c r="K1176" s="130" t="s">
        <v>2951</v>
      </c>
      <c r="L1176" s="130" t="s">
        <v>160</v>
      </c>
      <c r="M1176" s="128">
        <v>0</v>
      </c>
      <c r="N1176" s="128">
        <f t="shared" si="18"/>
        <v>0</v>
      </c>
      <c r="O1176" s="130" t="s">
        <v>1020</v>
      </c>
      <c r="P1176" s="130" t="s">
        <v>1020</v>
      </c>
      <c r="Q1176" s="130" t="s">
        <v>160</v>
      </c>
      <c r="R1176" s="128">
        <v>0</v>
      </c>
      <c r="S1176" s="130" t="s">
        <v>2952</v>
      </c>
    </row>
    <row r="1177" spans="1:19" x14ac:dyDescent="0.25">
      <c r="A1177" s="130" t="s">
        <v>2953</v>
      </c>
      <c r="B1177" s="130" t="s">
        <v>2954</v>
      </c>
      <c r="C1177" s="130" t="s">
        <v>134</v>
      </c>
      <c r="D1177" s="130" t="s">
        <v>134</v>
      </c>
      <c r="E1177" s="130" t="s">
        <v>2955</v>
      </c>
      <c r="F1177" s="130" t="s">
        <v>2956</v>
      </c>
      <c r="G1177" s="130" t="s">
        <v>137</v>
      </c>
      <c r="I1177" s="130" t="s">
        <v>1532</v>
      </c>
      <c r="J1177" s="130" t="s">
        <v>159</v>
      </c>
      <c r="K1177" s="130" t="s">
        <v>2955</v>
      </c>
      <c r="L1177" s="130" t="s">
        <v>417</v>
      </c>
      <c r="M1177" s="128">
        <v>10</v>
      </c>
      <c r="N1177" s="128">
        <f t="shared" si="18"/>
        <v>-2</v>
      </c>
      <c r="O1177" s="130" t="s">
        <v>134</v>
      </c>
      <c r="P1177" s="130" t="s">
        <v>134</v>
      </c>
      <c r="Q1177" s="130" t="s">
        <v>417</v>
      </c>
      <c r="R1177" s="128">
        <v>10</v>
      </c>
      <c r="S1177" s="130" t="s">
        <v>2937</v>
      </c>
    </row>
    <row r="1178" spans="1:19" x14ac:dyDescent="0.25">
      <c r="A1178" s="130" t="s">
        <v>2957</v>
      </c>
      <c r="B1178" s="130" t="s">
        <v>2958</v>
      </c>
      <c r="C1178" s="130" t="s">
        <v>159</v>
      </c>
      <c r="D1178" s="130" t="s">
        <v>159</v>
      </c>
      <c r="E1178" s="130" t="s">
        <v>2955</v>
      </c>
      <c r="F1178" s="130" t="s">
        <v>2956</v>
      </c>
      <c r="G1178" s="130" t="s">
        <v>159</v>
      </c>
      <c r="I1178" s="130" t="s">
        <v>1532</v>
      </c>
      <c r="J1178" s="130" t="s">
        <v>159</v>
      </c>
      <c r="K1178" s="130" t="s">
        <v>2955</v>
      </c>
      <c r="L1178" s="130" t="s">
        <v>417</v>
      </c>
      <c r="M1178" s="128">
        <v>10</v>
      </c>
      <c r="N1178" s="128">
        <f t="shared" si="18"/>
        <v>-2</v>
      </c>
      <c r="O1178" s="130" t="s">
        <v>159</v>
      </c>
      <c r="P1178" s="130" t="s">
        <v>159</v>
      </c>
      <c r="Q1178" s="130" t="s">
        <v>160</v>
      </c>
      <c r="R1178" s="128">
        <v>0</v>
      </c>
      <c r="S1178" s="130" t="s">
        <v>2937</v>
      </c>
    </row>
    <row r="1179" spans="1:19" x14ac:dyDescent="0.25">
      <c r="A1179" s="130" t="s">
        <v>2959</v>
      </c>
      <c r="B1179" s="130" t="s">
        <v>2960</v>
      </c>
      <c r="C1179" s="130" t="s">
        <v>159</v>
      </c>
      <c r="D1179" s="130" t="s">
        <v>159</v>
      </c>
      <c r="E1179" s="130" t="s">
        <v>2955</v>
      </c>
      <c r="F1179" s="130" t="s">
        <v>2956</v>
      </c>
      <c r="G1179" s="130" t="s">
        <v>137</v>
      </c>
      <c r="I1179" s="130" t="s">
        <v>1532</v>
      </c>
      <c r="J1179" s="130" t="s">
        <v>159</v>
      </c>
      <c r="K1179" s="130" t="s">
        <v>2955</v>
      </c>
      <c r="L1179" s="130" t="s">
        <v>417</v>
      </c>
      <c r="M1179" s="128">
        <v>10</v>
      </c>
      <c r="N1179" s="128">
        <f t="shared" si="18"/>
        <v>-2</v>
      </c>
      <c r="O1179" s="130" t="s">
        <v>159</v>
      </c>
      <c r="P1179" s="130" t="s">
        <v>159</v>
      </c>
      <c r="Q1179" s="130" t="s">
        <v>160</v>
      </c>
      <c r="R1179" s="128">
        <v>0</v>
      </c>
      <c r="S1179" s="130" t="s">
        <v>2937</v>
      </c>
    </row>
    <row r="1180" spans="1:19" x14ac:dyDescent="0.25">
      <c r="A1180" s="130" t="s">
        <v>2961</v>
      </c>
      <c r="B1180" s="130" t="s">
        <v>2962</v>
      </c>
      <c r="C1180" s="130" t="s">
        <v>159</v>
      </c>
      <c r="D1180" s="130" t="s">
        <v>159</v>
      </c>
      <c r="E1180" s="130" t="s">
        <v>2955</v>
      </c>
      <c r="F1180" s="130" t="s">
        <v>2956</v>
      </c>
      <c r="G1180" s="130" t="s">
        <v>137</v>
      </c>
      <c r="I1180" s="130" t="s">
        <v>1532</v>
      </c>
      <c r="J1180" s="130" t="s">
        <v>159</v>
      </c>
      <c r="K1180" s="130" t="s">
        <v>2955</v>
      </c>
      <c r="L1180" s="130" t="s">
        <v>417</v>
      </c>
      <c r="M1180" s="128">
        <v>10</v>
      </c>
      <c r="N1180" s="128">
        <f t="shared" si="18"/>
        <v>-2</v>
      </c>
      <c r="O1180" s="130" t="s">
        <v>159</v>
      </c>
      <c r="P1180" s="130" t="s">
        <v>159</v>
      </c>
      <c r="Q1180" s="130" t="s">
        <v>160</v>
      </c>
      <c r="R1180" s="128">
        <v>0</v>
      </c>
      <c r="S1180" s="130" t="s">
        <v>2937</v>
      </c>
    </row>
    <row r="1181" spans="1:19" x14ac:dyDescent="0.25">
      <c r="A1181" s="130" t="s">
        <v>2963</v>
      </c>
      <c r="B1181" s="130" t="s">
        <v>2964</v>
      </c>
      <c r="C1181" s="130" t="s">
        <v>159</v>
      </c>
      <c r="D1181" s="130" t="s">
        <v>159</v>
      </c>
      <c r="E1181" s="130" t="s">
        <v>2955</v>
      </c>
      <c r="F1181" s="130" t="s">
        <v>2956</v>
      </c>
      <c r="G1181" s="130" t="s">
        <v>137</v>
      </c>
      <c r="I1181" s="130" t="s">
        <v>1532</v>
      </c>
      <c r="J1181" s="130" t="s">
        <v>159</v>
      </c>
      <c r="K1181" s="130" t="s">
        <v>2955</v>
      </c>
      <c r="L1181" s="130" t="s">
        <v>417</v>
      </c>
      <c r="M1181" s="128">
        <v>10</v>
      </c>
      <c r="N1181" s="128">
        <f t="shared" si="18"/>
        <v>-2</v>
      </c>
      <c r="O1181" s="130" t="s">
        <v>159</v>
      </c>
      <c r="P1181" s="130" t="s">
        <v>159</v>
      </c>
      <c r="Q1181" s="130" t="s">
        <v>160</v>
      </c>
      <c r="R1181" s="128">
        <v>0</v>
      </c>
      <c r="S1181" s="130" t="s">
        <v>2937</v>
      </c>
    </row>
    <row r="1182" spans="1:19" x14ac:dyDescent="0.25">
      <c r="A1182" s="130" t="s">
        <v>2965</v>
      </c>
      <c r="B1182" s="130" t="s">
        <v>2966</v>
      </c>
      <c r="C1182" s="130" t="s">
        <v>159</v>
      </c>
      <c r="D1182" s="130" t="s">
        <v>159</v>
      </c>
      <c r="E1182" s="130" t="s">
        <v>2955</v>
      </c>
      <c r="F1182" s="130" t="s">
        <v>2956</v>
      </c>
      <c r="G1182" s="130" t="s">
        <v>137</v>
      </c>
      <c r="I1182" s="130" t="s">
        <v>1532</v>
      </c>
      <c r="J1182" s="130" t="s">
        <v>159</v>
      </c>
      <c r="K1182" s="130" t="s">
        <v>2955</v>
      </c>
      <c r="L1182" s="130" t="s">
        <v>417</v>
      </c>
      <c r="M1182" s="128">
        <v>10</v>
      </c>
      <c r="N1182" s="128">
        <f t="shared" si="18"/>
        <v>-2</v>
      </c>
      <c r="O1182" s="130" t="s">
        <v>159</v>
      </c>
      <c r="P1182" s="130" t="s">
        <v>159</v>
      </c>
      <c r="Q1182" s="130" t="s">
        <v>160</v>
      </c>
      <c r="R1182" s="128">
        <v>0</v>
      </c>
      <c r="S1182" s="130" t="s">
        <v>2937</v>
      </c>
    </row>
    <row r="1183" spans="1:19" x14ac:dyDescent="0.25">
      <c r="A1183" s="130" t="s">
        <v>2967</v>
      </c>
      <c r="B1183" s="130" t="s">
        <v>2968</v>
      </c>
      <c r="C1183" s="130" t="s">
        <v>159</v>
      </c>
      <c r="D1183" s="130" t="s">
        <v>159</v>
      </c>
      <c r="E1183" s="130" t="s">
        <v>2955</v>
      </c>
      <c r="F1183" s="130" t="s">
        <v>2956</v>
      </c>
      <c r="G1183" s="130" t="s">
        <v>137</v>
      </c>
      <c r="I1183" s="130" t="s">
        <v>1532</v>
      </c>
      <c r="J1183" s="130" t="s">
        <v>159</v>
      </c>
      <c r="K1183" s="130" t="s">
        <v>2955</v>
      </c>
      <c r="L1183" s="130" t="s">
        <v>417</v>
      </c>
      <c r="M1183" s="128">
        <v>10</v>
      </c>
      <c r="N1183" s="128">
        <f t="shared" si="18"/>
        <v>-2</v>
      </c>
      <c r="O1183" s="130" t="s">
        <v>159</v>
      </c>
      <c r="P1183" s="130" t="s">
        <v>159</v>
      </c>
      <c r="Q1183" s="130" t="s">
        <v>160</v>
      </c>
      <c r="R1183" s="128">
        <v>0</v>
      </c>
      <c r="S1183" s="130" t="s">
        <v>2937</v>
      </c>
    </row>
    <row r="1184" spans="1:19" x14ac:dyDescent="0.25">
      <c r="A1184" s="130" t="s">
        <v>2969</v>
      </c>
      <c r="B1184" s="130" t="s">
        <v>2970</v>
      </c>
      <c r="C1184" s="130" t="s">
        <v>159</v>
      </c>
      <c r="D1184" s="130" t="s">
        <v>159</v>
      </c>
      <c r="E1184" s="130" t="s">
        <v>2955</v>
      </c>
      <c r="F1184" s="130" t="s">
        <v>2956</v>
      </c>
      <c r="G1184" s="130" t="s">
        <v>137</v>
      </c>
      <c r="I1184" s="130" t="s">
        <v>1532</v>
      </c>
      <c r="J1184" s="130" t="s">
        <v>159</v>
      </c>
      <c r="K1184" s="130" t="s">
        <v>2955</v>
      </c>
      <c r="L1184" s="130" t="s">
        <v>417</v>
      </c>
      <c r="M1184" s="128">
        <v>10</v>
      </c>
      <c r="N1184" s="128">
        <f t="shared" si="18"/>
        <v>-2</v>
      </c>
      <c r="O1184" s="130" t="s">
        <v>159</v>
      </c>
      <c r="P1184" s="130" t="s">
        <v>159</v>
      </c>
      <c r="Q1184" s="130" t="s">
        <v>160</v>
      </c>
      <c r="R1184" s="128">
        <v>0</v>
      </c>
      <c r="S1184" s="130" t="s">
        <v>2937</v>
      </c>
    </row>
    <row r="1185" spans="1:19" x14ac:dyDescent="0.25">
      <c r="A1185" s="130" t="s">
        <v>2971</v>
      </c>
      <c r="B1185" s="130" t="s">
        <v>2972</v>
      </c>
      <c r="C1185" s="130" t="s">
        <v>159</v>
      </c>
      <c r="D1185" s="130" t="s">
        <v>159</v>
      </c>
      <c r="E1185" s="130" t="s">
        <v>2955</v>
      </c>
      <c r="F1185" s="130" t="s">
        <v>2956</v>
      </c>
      <c r="G1185" s="130" t="s">
        <v>137</v>
      </c>
      <c r="I1185" s="130" t="s">
        <v>1532</v>
      </c>
      <c r="J1185" s="130" t="s">
        <v>159</v>
      </c>
      <c r="K1185" s="130" t="s">
        <v>2955</v>
      </c>
      <c r="L1185" s="130" t="s">
        <v>417</v>
      </c>
      <c r="M1185" s="128">
        <v>10</v>
      </c>
      <c r="N1185" s="128">
        <f t="shared" si="18"/>
        <v>-2</v>
      </c>
      <c r="O1185" s="130" t="s">
        <v>159</v>
      </c>
      <c r="P1185" s="130" t="s">
        <v>159</v>
      </c>
      <c r="Q1185" s="130" t="s">
        <v>160</v>
      </c>
      <c r="R1185" s="128">
        <v>0</v>
      </c>
      <c r="S1185" s="130" t="s">
        <v>2937</v>
      </c>
    </row>
    <row r="1186" spans="1:19" x14ac:dyDescent="0.25">
      <c r="A1186" s="130" t="s">
        <v>2973</v>
      </c>
      <c r="B1186" s="130" t="s">
        <v>2974</v>
      </c>
      <c r="C1186" s="130" t="s">
        <v>159</v>
      </c>
      <c r="D1186" s="130" t="s">
        <v>159</v>
      </c>
      <c r="E1186" s="130" t="s">
        <v>2955</v>
      </c>
      <c r="F1186" s="130" t="s">
        <v>2956</v>
      </c>
      <c r="G1186" s="130" t="s">
        <v>159</v>
      </c>
      <c r="I1186" s="130" t="s">
        <v>1532</v>
      </c>
      <c r="J1186" s="130" t="s">
        <v>159</v>
      </c>
      <c r="K1186" s="130" t="s">
        <v>2955</v>
      </c>
      <c r="L1186" s="130" t="s">
        <v>417</v>
      </c>
      <c r="M1186" s="128">
        <v>10</v>
      </c>
      <c r="N1186" s="128">
        <f t="shared" si="18"/>
        <v>-2</v>
      </c>
      <c r="O1186" s="130" t="s">
        <v>159</v>
      </c>
      <c r="P1186" s="130" t="s">
        <v>159</v>
      </c>
      <c r="Q1186" s="130" t="s">
        <v>160</v>
      </c>
      <c r="R1186" s="128">
        <v>0</v>
      </c>
      <c r="S1186" s="130" t="s">
        <v>2937</v>
      </c>
    </row>
    <row r="1187" spans="1:19" x14ac:dyDescent="0.25">
      <c r="A1187" s="130" t="s">
        <v>2975</v>
      </c>
      <c r="B1187" s="130" t="s">
        <v>2976</v>
      </c>
      <c r="C1187" s="130" t="s">
        <v>1020</v>
      </c>
      <c r="D1187" s="130" t="s">
        <v>1020</v>
      </c>
      <c r="E1187" s="130" t="s">
        <v>2977</v>
      </c>
      <c r="F1187" s="130" t="s">
        <v>2978</v>
      </c>
      <c r="G1187" s="130" t="s">
        <v>159</v>
      </c>
      <c r="I1187" s="130" t="s">
        <v>1532</v>
      </c>
      <c r="J1187" s="130" t="s">
        <v>159</v>
      </c>
      <c r="K1187" s="130" t="s">
        <v>2977</v>
      </c>
      <c r="L1187" s="130" t="s">
        <v>160</v>
      </c>
      <c r="M1187" s="128">
        <v>0</v>
      </c>
      <c r="N1187" s="128">
        <f t="shared" si="18"/>
        <v>0</v>
      </c>
      <c r="O1187" s="130" t="s">
        <v>1020</v>
      </c>
      <c r="P1187" s="130" t="s">
        <v>1020</v>
      </c>
      <c r="Q1187" s="130" t="s">
        <v>160</v>
      </c>
      <c r="R1187" s="128">
        <v>0</v>
      </c>
      <c r="S1187" s="130" t="s">
        <v>2978</v>
      </c>
    </row>
    <row r="1188" spans="1:19" x14ac:dyDescent="0.25">
      <c r="A1188" s="130" t="s">
        <v>2979</v>
      </c>
      <c r="B1188" s="130" t="s">
        <v>2980</v>
      </c>
      <c r="C1188" s="130" t="s">
        <v>1020</v>
      </c>
      <c r="D1188" s="130" t="s">
        <v>1020</v>
      </c>
      <c r="E1188" s="130" t="s">
        <v>2977</v>
      </c>
      <c r="F1188" s="130" t="s">
        <v>2978</v>
      </c>
      <c r="G1188" s="130" t="s">
        <v>137</v>
      </c>
      <c r="I1188" s="130" t="s">
        <v>1532</v>
      </c>
      <c r="J1188" s="130" t="s">
        <v>159</v>
      </c>
      <c r="K1188" s="130" t="s">
        <v>2977</v>
      </c>
      <c r="L1188" s="130" t="s">
        <v>160</v>
      </c>
      <c r="M1188" s="128">
        <v>0</v>
      </c>
      <c r="N1188" s="128">
        <f t="shared" si="18"/>
        <v>0</v>
      </c>
      <c r="O1188" s="130" t="s">
        <v>1020</v>
      </c>
      <c r="P1188" s="130" t="s">
        <v>1020</v>
      </c>
      <c r="Q1188" s="130" t="s">
        <v>160</v>
      </c>
      <c r="R1188" s="128">
        <v>0</v>
      </c>
      <c r="S1188" s="130" t="s">
        <v>2978</v>
      </c>
    </row>
    <row r="1189" spans="1:19" x14ac:dyDescent="0.25">
      <c r="A1189" s="130" t="s">
        <v>2981</v>
      </c>
      <c r="B1189" s="130" t="s">
        <v>2982</v>
      </c>
      <c r="C1189" s="130" t="s">
        <v>1020</v>
      </c>
      <c r="D1189" s="130" t="s">
        <v>1020</v>
      </c>
      <c r="E1189" s="130" t="s">
        <v>2977</v>
      </c>
      <c r="F1189" s="130" t="s">
        <v>2978</v>
      </c>
      <c r="G1189" s="130" t="s">
        <v>137</v>
      </c>
      <c r="I1189" s="130" t="s">
        <v>1532</v>
      </c>
      <c r="J1189" s="130" t="s">
        <v>159</v>
      </c>
      <c r="K1189" s="130" t="s">
        <v>2977</v>
      </c>
      <c r="L1189" s="130" t="s">
        <v>160</v>
      </c>
      <c r="M1189" s="128">
        <v>0</v>
      </c>
      <c r="N1189" s="128">
        <f t="shared" si="18"/>
        <v>0</v>
      </c>
      <c r="O1189" s="130" t="s">
        <v>1020</v>
      </c>
      <c r="P1189" s="130" t="s">
        <v>1020</v>
      </c>
      <c r="Q1189" s="130" t="s">
        <v>160</v>
      </c>
      <c r="R1189" s="128">
        <v>0</v>
      </c>
      <c r="S1189" s="130" t="s">
        <v>2978</v>
      </c>
    </row>
    <row r="1190" spans="1:19" x14ac:dyDescent="0.25">
      <c r="A1190" s="130" t="s">
        <v>2983</v>
      </c>
      <c r="B1190" s="130" t="s">
        <v>2984</v>
      </c>
      <c r="C1190" s="130" t="s">
        <v>1020</v>
      </c>
      <c r="D1190" s="130" t="s">
        <v>1020</v>
      </c>
      <c r="E1190" s="130" t="s">
        <v>2977</v>
      </c>
      <c r="F1190" s="130" t="s">
        <v>2978</v>
      </c>
      <c r="G1190" s="130" t="s">
        <v>137</v>
      </c>
      <c r="I1190" s="130" t="s">
        <v>1532</v>
      </c>
      <c r="J1190" s="130" t="s">
        <v>159</v>
      </c>
      <c r="K1190" s="130" t="s">
        <v>2977</v>
      </c>
      <c r="L1190" s="130" t="s">
        <v>160</v>
      </c>
      <c r="M1190" s="128">
        <v>0</v>
      </c>
      <c r="N1190" s="128">
        <f t="shared" si="18"/>
        <v>0</v>
      </c>
      <c r="O1190" s="130" t="s">
        <v>1020</v>
      </c>
      <c r="P1190" s="130" t="s">
        <v>1020</v>
      </c>
      <c r="Q1190" s="130" t="s">
        <v>160</v>
      </c>
      <c r="R1190" s="128">
        <v>0</v>
      </c>
      <c r="S1190" s="130" t="s">
        <v>2978</v>
      </c>
    </row>
    <row r="1191" spans="1:19" x14ac:dyDescent="0.25">
      <c r="A1191" s="130" t="s">
        <v>2985</v>
      </c>
      <c r="B1191" s="130" t="s">
        <v>2986</v>
      </c>
      <c r="C1191" s="130" t="s">
        <v>1020</v>
      </c>
      <c r="D1191" s="130" t="s">
        <v>1020</v>
      </c>
      <c r="E1191" s="130" t="s">
        <v>2977</v>
      </c>
      <c r="F1191" s="130" t="s">
        <v>2978</v>
      </c>
      <c r="G1191" s="130" t="s">
        <v>137</v>
      </c>
      <c r="I1191" s="130" t="s">
        <v>1532</v>
      </c>
      <c r="J1191" s="130" t="s">
        <v>159</v>
      </c>
      <c r="K1191" s="130" t="s">
        <v>2977</v>
      </c>
      <c r="L1191" s="130" t="s">
        <v>160</v>
      </c>
      <c r="M1191" s="128">
        <v>0</v>
      </c>
      <c r="N1191" s="128">
        <f t="shared" si="18"/>
        <v>0</v>
      </c>
      <c r="O1191" s="130" t="s">
        <v>1020</v>
      </c>
      <c r="P1191" s="130" t="s">
        <v>1020</v>
      </c>
      <c r="Q1191" s="130" t="s">
        <v>160</v>
      </c>
      <c r="R1191" s="128">
        <v>0</v>
      </c>
      <c r="S1191" s="130" t="s">
        <v>2978</v>
      </c>
    </row>
    <row r="1192" spans="1:19" x14ac:dyDescent="0.25">
      <c r="A1192" s="130" t="s">
        <v>2977</v>
      </c>
      <c r="B1192" s="130" t="s">
        <v>2987</v>
      </c>
      <c r="C1192" s="130" t="s">
        <v>1020</v>
      </c>
      <c r="D1192" s="130" t="s">
        <v>1020</v>
      </c>
      <c r="E1192" s="130" t="s">
        <v>2977</v>
      </c>
      <c r="F1192" s="130" t="s">
        <v>2978</v>
      </c>
      <c r="G1192" s="130" t="s">
        <v>137</v>
      </c>
      <c r="I1192" s="130" t="s">
        <v>1532</v>
      </c>
      <c r="J1192" s="130" t="s">
        <v>159</v>
      </c>
      <c r="K1192" s="130" t="s">
        <v>2977</v>
      </c>
      <c r="L1192" s="130" t="s">
        <v>160</v>
      </c>
      <c r="M1192" s="128">
        <v>0</v>
      </c>
      <c r="N1192" s="128">
        <f t="shared" si="18"/>
        <v>0</v>
      </c>
      <c r="O1192" s="130" t="s">
        <v>1020</v>
      </c>
      <c r="P1192" s="130" t="s">
        <v>1020</v>
      </c>
      <c r="Q1192" s="130" t="s">
        <v>160</v>
      </c>
      <c r="R1192" s="128">
        <v>0</v>
      </c>
      <c r="S1192" s="130" t="s">
        <v>2978</v>
      </c>
    </row>
    <row r="1193" spans="1:19" x14ac:dyDescent="0.25">
      <c r="A1193" s="130" t="s">
        <v>2988</v>
      </c>
      <c r="B1193" s="130" t="s">
        <v>2989</v>
      </c>
      <c r="C1193" s="130" t="s">
        <v>1020</v>
      </c>
      <c r="D1193" s="130" t="s">
        <v>1020</v>
      </c>
      <c r="E1193" s="130" t="s">
        <v>2977</v>
      </c>
      <c r="F1193" s="130" t="s">
        <v>2978</v>
      </c>
      <c r="G1193" s="130" t="s">
        <v>137</v>
      </c>
      <c r="I1193" s="130" t="s">
        <v>1532</v>
      </c>
      <c r="J1193" s="130" t="s">
        <v>159</v>
      </c>
      <c r="K1193" s="130" t="s">
        <v>2977</v>
      </c>
      <c r="L1193" s="130" t="s">
        <v>160</v>
      </c>
      <c r="M1193" s="128">
        <v>0</v>
      </c>
      <c r="N1193" s="128">
        <f t="shared" si="18"/>
        <v>0</v>
      </c>
      <c r="O1193" s="130" t="s">
        <v>1020</v>
      </c>
      <c r="P1193" s="130" t="s">
        <v>1020</v>
      </c>
      <c r="Q1193" s="130" t="s">
        <v>160</v>
      </c>
      <c r="R1193" s="128">
        <v>0</v>
      </c>
      <c r="S1193" s="130" t="s">
        <v>2978</v>
      </c>
    </row>
    <row r="1194" spans="1:19" x14ac:dyDescent="0.25">
      <c r="A1194" s="130" t="s">
        <v>2990</v>
      </c>
      <c r="B1194" s="130" t="s">
        <v>2991</v>
      </c>
      <c r="C1194" s="130" t="s">
        <v>134</v>
      </c>
      <c r="D1194" s="127" t="s">
        <v>860</v>
      </c>
      <c r="E1194" s="130" t="s">
        <v>2992</v>
      </c>
      <c r="F1194" s="130" t="s">
        <v>2993</v>
      </c>
      <c r="G1194" s="130" t="s">
        <v>137</v>
      </c>
      <c r="I1194" s="130" t="s">
        <v>1703</v>
      </c>
      <c r="J1194" s="130" t="s">
        <v>159</v>
      </c>
      <c r="K1194" s="130" t="s">
        <v>2992</v>
      </c>
      <c r="L1194" s="130" t="s">
        <v>417</v>
      </c>
      <c r="M1194" s="128">
        <v>7</v>
      </c>
      <c r="N1194" s="128">
        <f t="shared" si="18"/>
        <v>-5</v>
      </c>
      <c r="O1194" s="130" t="s">
        <v>134</v>
      </c>
      <c r="P1194" s="127" t="s">
        <v>860</v>
      </c>
      <c r="Q1194" s="130" t="s">
        <v>417</v>
      </c>
      <c r="R1194" s="128">
        <v>7</v>
      </c>
      <c r="S1194" s="130" t="s">
        <v>2993</v>
      </c>
    </row>
    <row r="1195" spans="1:19" x14ac:dyDescent="0.25">
      <c r="A1195" s="130" t="s">
        <v>2994</v>
      </c>
      <c r="B1195" s="130" t="s">
        <v>2995</v>
      </c>
      <c r="C1195" s="130" t="s">
        <v>134</v>
      </c>
      <c r="D1195" s="127" t="s">
        <v>860</v>
      </c>
      <c r="E1195" s="130" t="s">
        <v>2992</v>
      </c>
      <c r="F1195" s="130" t="s">
        <v>2993</v>
      </c>
      <c r="G1195" s="130" t="s">
        <v>137</v>
      </c>
      <c r="I1195" s="130" t="s">
        <v>1703</v>
      </c>
      <c r="J1195" s="130" t="s">
        <v>159</v>
      </c>
      <c r="K1195" s="130" t="s">
        <v>2992</v>
      </c>
      <c r="L1195" s="130" t="s">
        <v>417</v>
      </c>
      <c r="M1195" s="128">
        <v>7</v>
      </c>
      <c r="N1195" s="128">
        <f t="shared" si="18"/>
        <v>-5</v>
      </c>
      <c r="O1195" s="130" t="s">
        <v>134</v>
      </c>
      <c r="P1195" s="127" t="s">
        <v>860</v>
      </c>
      <c r="Q1195" s="130" t="s">
        <v>417</v>
      </c>
      <c r="R1195" s="128">
        <v>7</v>
      </c>
      <c r="S1195" s="130" t="s">
        <v>2993</v>
      </c>
    </row>
    <row r="1196" spans="1:19" x14ac:dyDescent="0.25">
      <c r="A1196" s="130" t="s">
        <v>2996</v>
      </c>
      <c r="B1196" s="130" t="s">
        <v>2997</v>
      </c>
      <c r="C1196" s="130" t="s">
        <v>134</v>
      </c>
      <c r="D1196" s="127" t="s">
        <v>860</v>
      </c>
      <c r="E1196" s="130" t="s">
        <v>2992</v>
      </c>
      <c r="F1196" s="130" t="s">
        <v>2993</v>
      </c>
      <c r="G1196" s="130" t="s">
        <v>137</v>
      </c>
      <c r="I1196" s="130" t="s">
        <v>1703</v>
      </c>
      <c r="J1196" s="130" t="s">
        <v>159</v>
      </c>
      <c r="K1196" s="130" t="s">
        <v>2992</v>
      </c>
      <c r="L1196" s="130" t="s">
        <v>417</v>
      </c>
      <c r="M1196" s="128">
        <v>7</v>
      </c>
      <c r="N1196" s="128">
        <f t="shared" si="18"/>
        <v>-5</v>
      </c>
      <c r="O1196" s="130" t="s">
        <v>134</v>
      </c>
      <c r="P1196" s="127" t="s">
        <v>860</v>
      </c>
      <c r="Q1196" s="130" t="s">
        <v>417</v>
      </c>
      <c r="R1196" s="128">
        <v>7</v>
      </c>
      <c r="S1196" s="130" t="s">
        <v>2993</v>
      </c>
    </row>
    <row r="1197" spans="1:19" x14ac:dyDescent="0.25">
      <c r="A1197" s="130" t="s">
        <v>2998</v>
      </c>
      <c r="B1197" s="130" t="s">
        <v>2999</v>
      </c>
      <c r="C1197" s="130" t="s">
        <v>134</v>
      </c>
      <c r="D1197" s="127" t="s">
        <v>860</v>
      </c>
      <c r="E1197" s="130" t="s">
        <v>2992</v>
      </c>
      <c r="F1197" s="130" t="s">
        <v>2993</v>
      </c>
      <c r="G1197" s="130" t="s">
        <v>137</v>
      </c>
      <c r="I1197" s="130" t="s">
        <v>1703</v>
      </c>
      <c r="J1197" s="130" t="s">
        <v>159</v>
      </c>
      <c r="K1197" s="130" t="s">
        <v>2992</v>
      </c>
      <c r="L1197" s="130" t="s">
        <v>417</v>
      </c>
      <c r="M1197" s="128">
        <v>7</v>
      </c>
      <c r="N1197" s="128">
        <f t="shared" si="18"/>
        <v>-5</v>
      </c>
      <c r="O1197" s="130" t="s">
        <v>134</v>
      </c>
      <c r="P1197" s="127" t="s">
        <v>860</v>
      </c>
      <c r="Q1197" s="130" t="s">
        <v>417</v>
      </c>
      <c r="R1197" s="128">
        <v>7</v>
      </c>
      <c r="S1197" s="130" t="s">
        <v>2993</v>
      </c>
    </row>
    <row r="1198" spans="1:19" x14ac:dyDescent="0.25">
      <c r="A1198" s="130" t="s">
        <v>3000</v>
      </c>
      <c r="B1198" s="130" t="s">
        <v>3001</v>
      </c>
      <c r="C1198" s="130" t="s">
        <v>134</v>
      </c>
      <c r="D1198" s="130" t="s">
        <v>134</v>
      </c>
      <c r="E1198" s="130" t="s">
        <v>3002</v>
      </c>
      <c r="F1198" s="130" t="s">
        <v>3003</v>
      </c>
      <c r="G1198" s="130" t="s">
        <v>137</v>
      </c>
      <c r="I1198" s="130" t="s">
        <v>1703</v>
      </c>
      <c r="J1198" s="130" t="s">
        <v>159</v>
      </c>
      <c r="K1198" s="130" t="s">
        <v>2992</v>
      </c>
      <c r="L1198" s="130" t="s">
        <v>554</v>
      </c>
      <c r="M1198" s="128">
        <v>7</v>
      </c>
      <c r="N1198" s="128">
        <f t="shared" si="18"/>
        <v>-2</v>
      </c>
      <c r="O1198" s="130" t="s">
        <v>134</v>
      </c>
      <c r="P1198" s="130" t="s">
        <v>134</v>
      </c>
      <c r="Q1198" s="130" t="s">
        <v>554</v>
      </c>
      <c r="R1198" s="128">
        <v>7</v>
      </c>
      <c r="S1198" s="130" t="s">
        <v>2993</v>
      </c>
    </row>
    <row r="1199" spans="1:19" x14ac:dyDescent="0.25">
      <c r="A1199" s="130" t="s">
        <v>3004</v>
      </c>
      <c r="B1199" s="130" t="s">
        <v>3005</v>
      </c>
      <c r="C1199" s="130" t="s">
        <v>134</v>
      </c>
      <c r="D1199" s="127" t="s">
        <v>860</v>
      </c>
      <c r="E1199" s="130" t="s">
        <v>2992</v>
      </c>
      <c r="F1199" s="130" t="s">
        <v>2993</v>
      </c>
      <c r="G1199" s="130" t="s">
        <v>137</v>
      </c>
      <c r="I1199" s="130" t="s">
        <v>1703</v>
      </c>
      <c r="J1199" s="130" t="s">
        <v>159</v>
      </c>
      <c r="K1199" s="130" t="s">
        <v>2992</v>
      </c>
      <c r="L1199" s="130" t="s">
        <v>417</v>
      </c>
      <c r="M1199" s="128">
        <v>7</v>
      </c>
      <c r="N1199" s="128">
        <f t="shared" si="18"/>
        <v>-5</v>
      </c>
      <c r="O1199" s="130" t="s">
        <v>134</v>
      </c>
      <c r="P1199" s="127" t="s">
        <v>860</v>
      </c>
      <c r="Q1199" s="130" t="s">
        <v>417</v>
      </c>
      <c r="R1199" s="128">
        <v>7</v>
      </c>
      <c r="S1199" s="130" t="s">
        <v>2993</v>
      </c>
    </row>
    <row r="1200" spans="1:19" x14ac:dyDescent="0.25">
      <c r="A1200" s="130" t="s">
        <v>3006</v>
      </c>
      <c r="B1200" s="130" t="s">
        <v>3007</v>
      </c>
      <c r="C1200" s="130" t="s">
        <v>134</v>
      </c>
      <c r="D1200" s="127" t="s">
        <v>860</v>
      </c>
      <c r="E1200" s="130" t="s">
        <v>2992</v>
      </c>
      <c r="F1200" s="130" t="s">
        <v>2993</v>
      </c>
      <c r="G1200" s="130" t="s">
        <v>137</v>
      </c>
      <c r="I1200" s="130" t="s">
        <v>1703</v>
      </c>
      <c r="J1200" s="130" t="s">
        <v>159</v>
      </c>
      <c r="K1200" s="130" t="s">
        <v>2992</v>
      </c>
      <c r="L1200" s="130" t="s">
        <v>554</v>
      </c>
      <c r="M1200" s="128">
        <v>7</v>
      </c>
      <c r="N1200" s="128">
        <f t="shared" si="18"/>
        <v>-2</v>
      </c>
      <c r="O1200" s="130" t="s">
        <v>134</v>
      </c>
      <c r="P1200" s="127" t="s">
        <v>860</v>
      </c>
      <c r="Q1200" s="130" t="s">
        <v>554</v>
      </c>
      <c r="R1200" s="128">
        <v>7</v>
      </c>
      <c r="S1200" s="130" t="s">
        <v>2993</v>
      </c>
    </row>
    <row r="1201" spans="1:19" x14ac:dyDescent="0.25">
      <c r="A1201" s="130" t="s">
        <v>3008</v>
      </c>
      <c r="B1201" s="130" t="s">
        <v>3009</v>
      </c>
      <c r="C1201" s="130" t="s">
        <v>134</v>
      </c>
      <c r="D1201" s="127" t="s">
        <v>860</v>
      </c>
      <c r="E1201" s="130" t="s">
        <v>2992</v>
      </c>
      <c r="F1201" s="130" t="s">
        <v>2993</v>
      </c>
      <c r="G1201" s="130" t="s">
        <v>137</v>
      </c>
      <c r="I1201" s="130" t="s">
        <v>1703</v>
      </c>
      <c r="J1201" s="130" t="s">
        <v>159</v>
      </c>
      <c r="K1201" s="130" t="s">
        <v>2992</v>
      </c>
      <c r="L1201" s="130" t="s">
        <v>554</v>
      </c>
      <c r="M1201" s="128">
        <v>7</v>
      </c>
      <c r="N1201" s="128">
        <f t="shared" si="18"/>
        <v>-2</v>
      </c>
      <c r="O1201" s="130" t="s">
        <v>134</v>
      </c>
      <c r="P1201" s="127" t="s">
        <v>860</v>
      </c>
      <c r="Q1201" s="130" t="s">
        <v>554</v>
      </c>
      <c r="R1201" s="128">
        <v>7</v>
      </c>
      <c r="S1201" s="130" t="s">
        <v>2993</v>
      </c>
    </row>
    <row r="1202" spans="1:19" x14ac:dyDescent="0.25">
      <c r="A1202" s="130" t="s">
        <v>3010</v>
      </c>
      <c r="B1202" s="130" t="s">
        <v>3011</v>
      </c>
      <c r="C1202" s="130" t="s">
        <v>134</v>
      </c>
      <c r="D1202" s="127" t="s">
        <v>860</v>
      </c>
      <c r="E1202" s="130" t="s">
        <v>2992</v>
      </c>
      <c r="F1202" s="130" t="s">
        <v>2993</v>
      </c>
      <c r="G1202" s="130" t="s">
        <v>137</v>
      </c>
      <c r="I1202" s="130" t="s">
        <v>1703</v>
      </c>
      <c r="J1202" s="130" t="s">
        <v>159</v>
      </c>
      <c r="K1202" s="130" t="s">
        <v>2992</v>
      </c>
      <c r="L1202" s="130" t="s">
        <v>554</v>
      </c>
      <c r="M1202" s="128">
        <v>7</v>
      </c>
      <c r="N1202" s="128">
        <f t="shared" si="18"/>
        <v>-2</v>
      </c>
      <c r="O1202" s="130" t="s">
        <v>134</v>
      </c>
      <c r="P1202" s="127" t="s">
        <v>860</v>
      </c>
      <c r="Q1202" s="130" t="s">
        <v>554</v>
      </c>
      <c r="R1202" s="128">
        <v>7</v>
      </c>
      <c r="S1202" s="130" t="s">
        <v>2993</v>
      </c>
    </row>
    <row r="1203" spans="1:19" x14ac:dyDescent="0.25">
      <c r="A1203" s="130" t="s">
        <v>3012</v>
      </c>
      <c r="B1203" s="130" t="s">
        <v>3013</v>
      </c>
      <c r="C1203" s="130" t="s">
        <v>134</v>
      </c>
      <c r="D1203" s="127" t="s">
        <v>860</v>
      </c>
      <c r="E1203" s="130" t="s">
        <v>2992</v>
      </c>
      <c r="F1203" s="130" t="s">
        <v>2993</v>
      </c>
      <c r="G1203" s="130" t="s">
        <v>137</v>
      </c>
      <c r="I1203" s="130" t="s">
        <v>1703</v>
      </c>
      <c r="J1203" s="130" t="s">
        <v>159</v>
      </c>
      <c r="K1203" s="130" t="s">
        <v>2992</v>
      </c>
      <c r="L1203" s="130" t="s">
        <v>554</v>
      </c>
      <c r="M1203" s="128">
        <v>7</v>
      </c>
      <c r="N1203" s="128">
        <f t="shared" si="18"/>
        <v>-2</v>
      </c>
      <c r="O1203" s="130" t="s">
        <v>134</v>
      </c>
      <c r="P1203" s="127" t="s">
        <v>860</v>
      </c>
      <c r="Q1203" s="130" t="s">
        <v>554</v>
      </c>
      <c r="R1203" s="128">
        <v>7</v>
      </c>
      <c r="S1203" s="130" t="s">
        <v>2993</v>
      </c>
    </row>
    <row r="1204" spans="1:19" x14ac:dyDescent="0.25">
      <c r="A1204" s="130" t="s">
        <v>3014</v>
      </c>
      <c r="B1204" s="130" t="s">
        <v>3015</v>
      </c>
      <c r="C1204" s="130" t="s">
        <v>134</v>
      </c>
      <c r="D1204" s="130" t="s">
        <v>134</v>
      </c>
      <c r="E1204" s="130" t="s">
        <v>3016</v>
      </c>
      <c r="F1204" s="130" t="s">
        <v>3017</v>
      </c>
      <c r="G1204" s="130" t="s">
        <v>137</v>
      </c>
      <c r="I1204" s="130" t="s">
        <v>1532</v>
      </c>
      <c r="J1204" s="130" t="s">
        <v>159</v>
      </c>
      <c r="K1204" s="130" t="s">
        <v>3016</v>
      </c>
      <c r="L1204" s="130" t="s">
        <v>417</v>
      </c>
      <c r="M1204" s="128">
        <v>12</v>
      </c>
      <c r="N1204" s="128">
        <f t="shared" si="18"/>
        <v>0</v>
      </c>
      <c r="O1204" s="130" t="s">
        <v>134</v>
      </c>
      <c r="P1204" s="130" t="s">
        <v>134</v>
      </c>
      <c r="Q1204" s="130" t="s">
        <v>417</v>
      </c>
      <c r="R1204" s="128">
        <v>12</v>
      </c>
      <c r="S1204" s="130" t="s">
        <v>3017</v>
      </c>
    </row>
    <row r="1205" spans="1:19" x14ac:dyDescent="0.25">
      <c r="A1205" s="130" t="s">
        <v>3018</v>
      </c>
      <c r="B1205" s="130" t="s">
        <v>3019</v>
      </c>
      <c r="C1205" s="130" t="s">
        <v>134</v>
      </c>
      <c r="D1205" s="130" t="s">
        <v>134</v>
      </c>
      <c r="E1205" s="130" t="s">
        <v>3016</v>
      </c>
      <c r="F1205" s="130" t="s">
        <v>3017</v>
      </c>
      <c r="G1205" s="130" t="s">
        <v>137</v>
      </c>
      <c r="I1205" s="130" t="s">
        <v>1532</v>
      </c>
      <c r="J1205" s="130" t="s">
        <v>159</v>
      </c>
      <c r="K1205" s="130" t="s">
        <v>3016</v>
      </c>
      <c r="L1205" s="130" t="s">
        <v>417</v>
      </c>
      <c r="M1205" s="128">
        <v>12</v>
      </c>
      <c r="N1205" s="128">
        <f t="shared" si="18"/>
        <v>0</v>
      </c>
      <c r="O1205" s="130" t="s">
        <v>134</v>
      </c>
      <c r="P1205" s="130" t="s">
        <v>134</v>
      </c>
      <c r="Q1205" s="130" t="s">
        <v>417</v>
      </c>
      <c r="R1205" s="128">
        <v>12</v>
      </c>
      <c r="S1205" s="130" t="s">
        <v>3017</v>
      </c>
    </row>
    <row r="1206" spans="1:19" x14ac:dyDescent="0.25">
      <c r="A1206" s="130" t="s">
        <v>3020</v>
      </c>
      <c r="B1206" s="130" t="s">
        <v>3021</v>
      </c>
      <c r="C1206" s="130" t="s">
        <v>159</v>
      </c>
      <c r="D1206" s="130" t="s">
        <v>159</v>
      </c>
      <c r="E1206" s="130" t="s">
        <v>3016</v>
      </c>
      <c r="F1206" s="130" t="s">
        <v>3017</v>
      </c>
      <c r="G1206" s="130" t="s">
        <v>137</v>
      </c>
      <c r="I1206" s="130" t="s">
        <v>1532</v>
      </c>
      <c r="J1206" s="130" t="s">
        <v>159</v>
      </c>
      <c r="K1206" s="130" t="s">
        <v>3016</v>
      </c>
      <c r="L1206" s="130" t="s">
        <v>417</v>
      </c>
      <c r="M1206" s="128">
        <v>12</v>
      </c>
      <c r="N1206" s="128">
        <f t="shared" si="18"/>
        <v>0</v>
      </c>
      <c r="O1206" s="130" t="s">
        <v>159</v>
      </c>
      <c r="P1206" s="130" t="s">
        <v>159</v>
      </c>
      <c r="Q1206" s="130" t="s">
        <v>160</v>
      </c>
      <c r="R1206" s="128">
        <v>0</v>
      </c>
      <c r="S1206" s="130" t="s">
        <v>3017</v>
      </c>
    </row>
    <row r="1207" spans="1:19" x14ac:dyDescent="0.25">
      <c r="A1207" s="130" t="s">
        <v>3022</v>
      </c>
      <c r="B1207" s="130" t="s">
        <v>3023</v>
      </c>
      <c r="C1207" s="130" t="s">
        <v>159</v>
      </c>
      <c r="D1207" s="130" t="s">
        <v>159</v>
      </c>
      <c r="E1207" s="130" t="s">
        <v>3016</v>
      </c>
      <c r="F1207" s="130" t="s">
        <v>3017</v>
      </c>
      <c r="G1207" s="130" t="s">
        <v>137</v>
      </c>
      <c r="I1207" s="130" t="s">
        <v>1532</v>
      </c>
      <c r="J1207" s="130" t="s">
        <v>159</v>
      </c>
      <c r="K1207" s="130" t="s">
        <v>3016</v>
      </c>
      <c r="L1207" s="130" t="s">
        <v>417</v>
      </c>
      <c r="M1207" s="128">
        <v>12</v>
      </c>
      <c r="N1207" s="128">
        <f t="shared" si="18"/>
        <v>0</v>
      </c>
      <c r="O1207" s="130" t="s">
        <v>159</v>
      </c>
      <c r="P1207" s="130" t="s">
        <v>159</v>
      </c>
      <c r="Q1207" s="130" t="s">
        <v>160</v>
      </c>
      <c r="R1207" s="128">
        <v>0</v>
      </c>
      <c r="S1207" s="130" t="s">
        <v>3017</v>
      </c>
    </row>
    <row r="1208" spans="1:19" x14ac:dyDescent="0.25">
      <c r="A1208" s="130" t="s">
        <v>3024</v>
      </c>
      <c r="B1208" s="130" t="s">
        <v>3025</v>
      </c>
      <c r="C1208" s="130" t="s">
        <v>159</v>
      </c>
      <c r="D1208" s="130" t="s">
        <v>159</v>
      </c>
      <c r="E1208" s="130" t="s">
        <v>3016</v>
      </c>
      <c r="F1208" s="130" t="s">
        <v>3017</v>
      </c>
      <c r="G1208" s="130" t="s">
        <v>159</v>
      </c>
      <c r="I1208" s="130" t="s">
        <v>1532</v>
      </c>
      <c r="J1208" s="130" t="s">
        <v>159</v>
      </c>
      <c r="K1208" s="130" t="s">
        <v>3016</v>
      </c>
      <c r="L1208" s="130" t="s">
        <v>417</v>
      </c>
      <c r="M1208" s="128">
        <v>12</v>
      </c>
      <c r="N1208" s="128">
        <f t="shared" si="18"/>
        <v>0</v>
      </c>
      <c r="O1208" s="130" t="s">
        <v>159</v>
      </c>
      <c r="P1208" s="130" t="s">
        <v>159</v>
      </c>
      <c r="Q1208" s="130" t="s">
        <v>160</v>
      </c>
      <c r="R1208" s="128">
        <v>0</v>
      </c>
      <c r="S1208" s="130" t="s">
        <v>3017</v>
      </c>
    </row>
    <row r="1209" spans="1:19" x14ac:dyDescent="0.25">
      <c r="A1209" s="130" t="s">
        <v>3026</v>
      </c>
      <c r="B1209" s="130" t="s">
        <v>3027</v>
      </c>
      <c r="C1209" s="130" t="s">
        <v>134</v>
      </c>
      <c r="D1209" s="130" t="s">
        <v>134</v>
      </c>
      <c r="E1209" s="130" t="s">
        <v>2705</v>
      </c>
      <c r="F1209" s="130" t="s">
        <v>2631</v>
      </c>
      <c r="G1209" s="130" t="s">
        <v>137</v>
      </c>
      <c r="I1209" s="130" t="s">
        <v>1713</v>
      </c>
      <c r="J1209" s="130" t="s">
        <v>159</v>
      </c>
      <c r="K1209" s="130" t="s">
        <v>2705</v>
      </c>
      <c r="L1209" s="130" t="s">
        <v>417</v>
      </c>
      <c r="M1209" s="128">
        <v>9</v>
      </c>
      <c r="N1209" s="128">
        <f t="shared" si="18"/>
        <v>-3</v>
      </c>
      <c r="O1209" s="130" t="s">
        <v>134</v>
      </c>
      <c r="P1209" s="130" t="s">
        <v>134</v>
      </c>
      <c r="Q1209" s="130" t="s">
        <v>417</v>
      </c>
      <c r="R1209" s="128">
        <v>9</v>
      </c>
      <c r="S1209" s="130" t="s">
        <v>2631</v>
      </c>
    </row>
    <row r="1210" spans="1:19" x14ac:dyDescent="0.25">
      <c r="A1210" s="130" t="s">
        <v>3028</v>
      </c>
      <c r="B1210" s="130" t="s">
        <v>3029</v>
      </c>
      <c r="C1210" s="130" t="s">
        <v>134</v>
      </c>
      <c r="D1210" s="130" t="s">
        <v>134</v>
      </c>
      <c r="E1210" s="130" t="s">
        <v>3016</v>
      </c>
      <c r="F1210" s="130" t="s">
        <v>3017</v>
      </c>
      <c r="G1210" s="130" t="s">
        <v>137</v>
      </c>
      <c r="I1210" s="130" t="s">
        <v>1713</v>
      </c>
      <c r="J1210" s="130" t="s">
        <v>159</v>
      </c>
      <c r="K1210" s="130" t="s">
        <v>3016</v>
      </c>
      <c r="L1210" s="130" t="s">
        <v>417</v>
      </c>
      <c r="M1210" s="128">
        <v>12</v>
      </c>
      <c r="N1210" s="128">
        <f t="shared" si="18"/>
        <v>0</v>
      </c>
      <c r="O1210" s="130" t="s">
        <v>134</v>
      </c>
      <c r="P1210" s="130" t="s">
        <v>134</v>
      </c>
      <c r="Q1210" s="130" t="s">
        <v>417</v>
      </c>
      <c r="R1210" s="128">
        <v>12</v>
      </c>
      <c r="S1210" s="130" t="s">
        <v>3017</v>
      </c>
    </row>
    <row r="1211" spans="1:19" x14ac:dyDescent="0.25">
      <c r="A1211" s="130" t="s">
        <v>3030</v>
      </c>
      <c r="B1211" s="130" t="s">
        <v>3031</v>
      </c>
      <c r="C1211" s="130" t="s">
        <v>159</v>
      </c>
      <c r="D1211" s="130" t="s">
        <v>159</v>
      </c>
      <c r="E1211" s="130" t="s">
        <v>3016</v>
      </c>
      <c r="F1211" s="130" t="s">
        <v>3017</v>
      </c>
      <c r="G1211" s="130" t="s">
        <v>137</v>
      </c>
      <c r="I1211" s="130" t="s">
        <v>1532</v>
      </c>
      <c r="J1211" s="130" t="s">
        <v>159</v>
      </c>
      <c r="K1211" s="130" t="s">
        <v>3016</v>
      </c>
      <c r="L1211" s="130" t="s">
        <v>417</v>
      </c>
      <c r="M1211" s="128">
        <v>12</v>
      </c>
      <c r="N1211" s="128">
        <f t="shared" si="18"/>
        <v>0</v>
      </c>
      <c r="O1211" s="130" t="s">
        <v>159</v>
      </c>
      <c r="P1211" s="130" t="s">
        <v>159</v>
      </c>
      <c r="Q1211" s="130" t="s">
        <v>160</v>
      </c>
      <c r="R1211" s="128">
        <v>0</v>
      </c>
      <c r="S1211" s="130" t="s">
        <v>3017</v>
      </c>
    </row>
    <row r="1212" spans="1:19" x14ac:dyDescent="0.25">
      <c r="A1212" s="130" t="s">
        <v>3032</v>
      </c>
      <c r="B1212" s="130" t="s">
        <v>3033</v>
      </c>
      <c r="C1212" s="130" t="s">
        <v>134</v>
      </c>
      <c r="D1212" s="130" t="s">
        <v>134</v>
      </c>
      <c r="E1212" s="130" t="s">
        <v>2705</v>
      </c>
      <c r="F1212" s="130" t="s">
        <v>2631</v>
      </c>
      <c r="G1212" s="130" t="s">
        <v>137</v>
      </c>
      <c r="I1212" s="130" t="s">
        <v>1713</v>
      </c>
      <c r="J1212" s="130" t="s">
        <v>159</v>
      </c>
      <c r="K1212" s="130" t="s">
        <v>2705</v>
      </c>
      <c r="L1212" s="130" t="s">
        <v>417</v>
      </c>
      <c r="M1212" s="128">
        <v>9</v>
      </c>
      <c r="N1212" s="128">
        <f t="shared" si="18"/>
        <v>-3</v>
      </c>
      <c r="O1212" s="130" t="s">
        <v>134</v>
      </c>
      <c r="P1212" s="130" t="s">
        <v>134</v>
      </c>
      <c r="Q1212" s="130" t="s">
        <v>417</v>
      </c>
      <c r="R1212" s="128">
        <v>9</v>
      </c>
      <c r="S1212" s="130" t="s">
        <v>2631</v>
      </c>
    </row>
    <row r="1213" spans="1:19" x14ac:dyDescent="0.25">
      <c r="A1213" s="130" t="s">
        <v>3034</v>
      </c>
      <c r="B1213" s="130" t="s">
        <v>3035</v>
      </c>
      <c r="C1213" s="130" t="s">
        <v>159</v>
      </c>
      <c r="D1213" s="130" t="s">
        <v>159</v>
      </c>
      <c r="E1213" s="130" t="s">
        <v>3016</v>
      </c>
      <c r="F1213" s="130" t="s">
        <v>3017</v>
      </c>
      <c r="G1213" s="130" t="s">
        <v>137</v>
      </c>
      <c r="I1213" s="130" t="s">
        <v>1532</v>
      </c>
      <c r="J1213" s="130" t="s">
        <v>159</v>
      </c>
      <c r="K1213" s="130" t="s">
        <v>3016</v>
      </c>
      <c r="L1213" s="130" t="s">
        <v>160</v>
      </c>
      <c r="M1213" s="128">
        <v>12</v>
      </c>
      <c r="N1213" s="128">
        <f t="shared" si="18"/>
        <v>12</v>
      </c>
      <c r="O1213" s="130" t="s">
        <v>159</v>
      </c>
      <c r="P1213" s="130" t="s">
        <v>159</v>
      </c>
      <c r="Q1213" s="130" t="s">
        <v>160</v>
      </c>
      <c r="R1213" s="128">
        <v>0</v>
      </c>
      <c r="S1213" s="130" t="s">
        <v>3017</v>
      </c>
    </row>
    <row r="1214" spans="1:19" x14ac:dyDescent="0.25">
      <c r="A1214" s="130" t="s">
        <v>3036</v>
      </c>
      <c r="B1214" s="130" t="s">
        <v>3037</v>
      </c>
      <c r="C1214" s="130" t="s">
        <v>1020</v>
      </c>
      <c r="D1214" s="130" t="s">
        <v>1020</v>
      </c>
      <c r="E1214" s="130" t="s">
        <v>3036</v>
      </c>
      <c r="F1214" s="130" t="s">
        <v>3037</v>
      </c>
      <c r="G1214" s="130" t="s">
        <v>137</v>
      </c>
      <c r="I1214" s="130" t="s">
        <v>1713</v>
      </c>
      <c r="K1214" s="130" t="s">
        <v>3036</v>
      </c>
      <c r="L1214" s="130" t="s">
        <v>160</v>
      </c>
      <c r="M1214" s="128">
        <v>0</v>
      </c>
      <c r="N1214" s="128">
        <f t="shared" si="18"/>
        <v>0</v>
      </c>
      <c r="O1214" s="130" t="s">
        <v>1020</v>
      </c>
      <c r="P1214" s="130" t="s">
        <v>1020</v>
      </c>
      <c r="Q1214" s="130" t="s">
        <v>160</v>
      </c>
      <c r="R1214" s="128">
        <v>0</v>
      </c>
      <c r="S1214" s="130" t="s">
        <v>3037</v>
      </c>
    </row>
    <row r="1215" spans="1:19" x14ac:dyDescent="0.25">
      <c r="A1215" s="130" t="s">
        <v>3038</v>
      </c>
      <c r="B1215" s="130" t="s">
        <v>3039</v>
      </c>
      <c r="C1215" s="130" t="s">
        <v>1020</v>
      </c>
      <c r="D1215" s="130" t="s">
        <v>1020</v>
      </c>
      <c r="E1215" s="130" t="s">
        <v>3038</v>
      </c>
      <c r="F1215" s="130" t="s">
        <v>3039</v>
      </c>
      <c r="G1215" s="130" t="s">
        <v>137</v>
      </c>
      <c r="I1215" s="130" t="s">
        <v>1713</v>
      </c>
      <c r="K1215" s="130" t="s">
        <v>3038</v>
      </c>
      <c r="L1215" s="130" t="s">
        <v>160</v>
      </c>
      <c r="M1215" s="128">
        <v>0</v>
      </c>
      <c r="N1215" s="128">
        <f t="shared" si="18"/>
        <v>0</v>
      </c>
      <c r="O1215" s="130" t="s">
        <v>1020</v>
      </c>
      <c r="P1215" s="130" t="s">
        <v>1020</v>
      </c>
      <c r="Q1215" s="130" t="s">
        <v>160</v>
      </c>
      <c r="R1215" s="128">
        <v>0</v>
      </c>
      <c r="S1215" s="130" t="s">
        <v>3039</v>
      </c>
    </row>
    <row r="1216" spans="1:19" x14ac:dyDescent="0.25">
      <c r="A1216" s="130" t="s">
        <v>3040</v>
      </c>
      <c r="B1216" s="130" t="s">
        <v>3041</v>
      </c>
      <c r="C1216" s="130" t="s">
        <v>1020</v>
      </c>
      <c r="D1216" s="130" t="s">
        <v>1020</v>
      </c>
      <c r="E1216" s="130" t="s">
        <v>3038</v>
      </c>
      <c r="F1216" s="130" t="s">
        <v>3039</v>
      </c>
      <c r="G1216" s="130" t="s">
        <v>137</v>
      </c>
      <c r="I1216" s="130" t="s">
        <v>1532</v>
      </c>
      <c r="J1216" s="130" t="s">
        <v>159</v>
      </c>
      <c r="K1216" s="130" t="s">
        <v>3038</v>
      </c>
      <c r="L1216" s="130" t="s">
        <v>160</v>
      </c>
      <c r="M1216" s="128">
        <v>0</v>
      </c>
      <c r="N1216" s="128">
        <f t="shared" si="18"/>
        <v>0</v>
      </c>
      <c r="O1216" s="130" t="s">
        <v>1020</v>
      </c>
      <c r="P1216" s="130" t="s">
        <v>1020</v>
      </c>
      <c r="Q1216" s="130" t="s">
        <v>160</v>
      </c>
      <c r="R1216" s="128">
        <v>0</v>
      </c>
      <c r="S1216" s="130" t="s">
        <v>3039</v>
      </c>
    </row>
    <row r="1217" spans="1:19" x14ac:dyDescent="0.25">
      <c r="A1217" s="130" t="s">
        <v>3042</v>
      </c>
      <c r="B1217" s="130" t="s">
        <v>3043</v>
      </c>
      <c r="C1217" s="130" t="s">
        <v>134</v>
      </c>
      <c r="D1217" s="130" t="s">
        <v>134</v>
      </c>
      <c r="E1217" s="130" t="s">
        <v>3042</v>
      </c>
      <c r="F1217" s="130" t="s">
        <v>3043</v>
      </c>
      <c r="G1217" s="130" t="s">
        <v>137</v>
      </c>
      <c r="I1217" s="130" t="s">
        <v>416</v>
      </c>
      <c r="J1217" s="130" t="s">
        <v>159</v>
      </c>
      <c r="K1217" s="130" t="s">
        <v>519</v>
      </c>
      <c r="L1217" s="130" t="s">
        <v>417</v>
      </c>
      <c r="M1217" s="128">
        <v>9</v>
      </c>
      <c r="N1217" s="128">
        <f t="shared" si="18"/>
        <v>-3</v>
      </c>
      <c r="O1217" s="130" t="s">
        <v>134</v>
      </c>
      <c r="P1217" s="130" t="s">
        <v>134</v>
      </c>
      <c r="Q1217" s="130" t="s">
        <v>417</v>
      </c>
      <c r="R1217" s="128">
        <v>9</v>
      </c>
      <c r="S1217" s="130" t="s">
        <v>418</v>
      </c>
    </row>
  </sheetData>
  <autoFilter ref="A1:S1217"/>
  <pageMargins left="0.7" right="0.7" top="0.75" bottom="0.75" header="0.3" footer="0.3"/>
  <pageSetup paperSize="8" scale="4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DSR</vt:lpstr>
      <vt:lpstr>Bank Statement</vt:lpstr>
      <vt:lpstr>Repayment</vt:lpstr>
      <vt:lpstr>DIR Computation</vt:lpstr>
      <vt:lpstr>To-be</vt:lpstr>
      <vt:lpstr>'DIR Computation'!Print_Area</vt:lpstr>
      <vt:lpstr>'To-be'!Print_Titles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Faten Amalina binti Azman</dc:creator>
  <cp:lastModifiedBy>Faten Amalina binti Azman</cp:lastModifiedBy>
  <dcterms:created xsi:type="dcterms:W3CDTF">2019-06-17T07:09:47Z</dcterms:created>
  <dcterms:modified xsi:type="dcterms:W3CDTF">2020-06-05T06:55:50Z</dcterms:modified>
</cp:coreProperties>
</file>