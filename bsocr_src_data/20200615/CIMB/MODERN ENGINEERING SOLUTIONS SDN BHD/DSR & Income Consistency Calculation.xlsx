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3539\Desktop\Cases\MODERN ENGINEERING SOLUTIONS SDN BHD\"/>
    </mc:Choice>
  </mc:AlternateContent>
  <bookViews>
    <workbookView xWindow="0" yWindow="0" windowWidth="20490" windowHeight="7455"/>
  </bookViews>
  <sheets>
    <sheet name="Adjusted" sheetId="1" r:id="rId1"/>
    <sheet name="DIR Template" sheetId="2" r:id="rId2"/>
    <sheet name="Convertor Calculator" sheetId="3" r:id="rId3"/>
  </sheets>
  <definedNames>
    <definedName name="_xlnm.Print_Area" localSheetId="1">'DIR Template'!$A$1:$J$85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D17" i="3" l="1"/>
  <c r="D19" i="3" s="1"/>
  <c r="D20" i="3" s="1"/>
  <c r="D21" i="3" s="1"/>
  <c r="P13" i="3"/>
  <c r="O13" i="3"/>
  <c r="N13" i="3"/>
  <c r="M13" i="3"/>
  <c r="L13" i="3"/>
  <c r="P12" i="3"/>
  <c r="O12" i="3"/>
  <c r="N12" i="3"/>
  <c r="M12" i="3"/>
  <c r="L12" i="3"/>
  <c r="P11" i="3"/>
  <c r="O11" i="3"/>
  <c r="N11" i="3"/>
  <c r="M11" i="3"/>
  <c r="L11" i="3"/>
  <c r="P10" i="3"/>
  <c r="O10" i="3"/>
  <c r="N10" i="3"/>
  <c r="M10" i="3"/>
  <c r="L10" i="3"/>
  <c r="P9" i="3"/>
  <c r="O9" i="3"/>
  <c r="N9" i="3"/>
  <c r="M9" i="3"/>
  <c r="L9" i="3"/>
  <c r="P8" i="3"/>
  <c r="O8" i="3"/>
  <c r="N8" i="3"/>
  <c r="M8" i="3"/>
  <c r="L8" i="3"/>
  <c r="P7" i="3"/>
  <c r="O7" i="3"/>
  <c r="N7" i="3"/>
  <c r="M7" i="3"/>
  <c r="L7" i="3"/>
  <c r="P6" i="3"/>
  <c r="O6" i="3"/>
  <c r="N6" i="3"/>
  <c r="M6" i="3"/>
  <c r="L6" i="3"/>
  <c r="P5" i="3"/>
  <c r="O5" i="3"/>
  <c r="N5" i="3"/>
  <c r="M5" i="3"/>
  <c r="L5" i="3"/>
  <c r="E5" i="3"/>
  <c r="G5" i="3" s="1"/>
  <c r="B21" i="1" l="1"/>
  <c r="L71" i="2"/>
  <c r="K71" i="2"/>
  <c r="G71" i="2" s="1"/>
  <c r="L70" i="2"/>
  <c r="K70" i="2"/>
  <c r="G70" i="2" s="1"/>
  <c r="L69" i="2"/>
  <c r="K69" i="2"/>
  <c r="G69" i="2" s="1"/>
  <c r="L68" i="2"/>
  <c r="K68" i="2"/>
  <c r="G68" i="2"/>
  <c r="L67" i="2"/>
  <c r="K67" i="2"/>
  <c r="G67" i="2" s="1"/>
  <c r="L66" i="2"/>
  <c r="K66" i="2"/>
  <c r="G66" i="2" s="1"/>
  <c r="L65" i="2"/>
  <c r="K65" i="2"/>
  <c r="G65" i="2" s="1"/>
  <c r="L64" i="2"/>
  <c r="K64" i="2"/>
  <c r="G64" i="2"/>
  <c r="L63" i="2"/>
  <c r="K63" i="2"/>
  <c r="G63" i="2" s="1"/>
  <c r="L62" i="2"/>
  <c r="K62" i="2"/>
  <c r="G62" i="2" s="1"/>
  <c r="L59" i="2"/>
  <c r="K59" i="2"/>
  <c r="G59" i="2" s="1"/>
  <c r="L58" i="2"/>
  <c r="K58" i="2"/>
  <c r="G58" i="2" s="1"/>
  <c r="L57" i="2"/>
  <c r="K57" i="2"/>
  <c r="G57" i="2"/>
  <c r="L56" i="2"/>
  <c r="K56" i="2"/>
  <c r="G56" i="2" s="1"/>
  <c r="L55" i="2"/>
  <c r="K55" i="2"/>
  <c r="G55" i="2" s="1"/>
  <c r="L54" i="2"/>
  <c r="K54" i="2"/>
  <c r="G54" i="2" s="1"/>
  <c r="L53" i="2"/>
  <c r="K53" i="2"/>
  <c r="G53" i="2"/>
  <c r="L52" i="2"/>
  <c r="K52" i="2"/>
  <c r="G52" i="2" s="1"/>
  <c r="L51" i="2"/>
  <c r="K51" i="2"/>
  <c r="G51" i="2" s="1"/>
  <c r="L50" i="2"/>
  <c r="K50" i="2"/>
  <c r="G50" i="2" s="1"/>
  <c r="H48" i="2"/>
  <c r="I47" i="2"/>
  <c r="G47" i="2"/>
  <c r="I46" i="2"/>
  <c r="G46" i="2"/>
  <c r="I45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8" i="2"/>
  <c r="I48" i="2" s="1"/>
  <c r="G38" i="2"/>
  <c r="G48" i="2" s="1"/>
  <c r="C77" i="2" s="1"/>
  <c r="H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I36" i="2" s="1"/>
  <c r="G26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I24" i="2" s="1"/>
  <c r="G14" i="2"/>
  <c r="G24" i="2" s="1"/>
  <c r="G36" i="2" l="1"/>
  <c r="C76" i="2" s="1"/>
  <c r="G60" i="2"/>
  <c r="C78" i="2" s="1"/>
  <c r="C75" i="2"/>
  <c r="G72" i="2"/>
  <c r="C79" i="2" s="1"/>
  <c r="K24" i="2"/>
  <c r="K36" i="2"/>
  <c r="K48" i="2"/>
  <c r="E10" i="1"/>
  <c r="E9" i="1"/>
  <c r="E8" i="1"/>
  <c r="E7" i="1"/>
  <c r="E6" i="1"/>
  <c r="E5" i="1"/>
  <c r="E11" i="1" l="1"/>
  <c r="E15" i="1" s="1"/>
  <c r="E17" i="1" l="1"/>
  <c r="G15" i="1"/>
  <c r="E12" i="1"/>
  <c r="E13" i="1" s="1"/>
  <c r="B22" i="1"/>
  <c r="B23" i="1" l="1"/>
  <c r="F6" i="1"/>
  <c r="H6" i="1" s="1"/>
  <c r="F10" i="1"/>
  <c r="H10" i="1" s="1"/>
  <c r="F7" i="1"/>
  <c r="H7" i="1" s="1"/>
  <c r="F8" i="1"/>
  <c r="H8" i="1" s="1"/>
  <c r="F9" i="1"/>
  <c r="H9" i="1" s="1"/>
  <c r="F5" i="1"/>
  <c r="H5" i="1" s="1"/>
  <c r="H11" i="1" l="1"/>
  <c r="G5" i="1" s="1"/>
</calcChain>
</file>

<file path=xl/sharedStrings.xml><?xml version="1.0" encoding="utf-8"?>
<sst xmlns="http://schemas.openxmlformats.org/spreadsheetml/2006/main" count="136" uniqueCount="113">
  <si>
    <t>Annualised</t>
  </si>
  <si>
    <t>IIF</t>
  </si>
  <si>
    <t>Total commitments</t>
  </si>
  <si>
    <t>EBITDA</t>
  </si>
  <si>
    <t>DSR with i-PINTAS</t>
  </si>
  <si>
    <t>Month</t>
  </si>
  <si>
    <t>Credit Turnover</t>
  </si>
  <si>
    <t>Total Turnover
(A+B)</t>
  </si>
  <si>
    <t xml:space="preserve">Pass / Fail </t>
  </si>
  <si>
    <t>Final Result</t>
  </si>
  <si>
    <t>Total 6 mths</t>
  </si>
  <si>
    <t xml:space="preserve">Min 4/6 mth </t>
  </si>
  <si>
    <t xml:space="preserve">Avg Monthly </t>
  </si>
  <si>
    <t>Min 70%/ month</t>
  </si>
  <si>
    <t>30% workcap capping</t>
  </si>
  <si>
    <t>DIR Computation Template</t>
  </si>
  <si>
    <t>Borrower Name:</t>
  </si>
  <si>
    <t>AA No.:</t>
  </si>
  <si>
    <t>Submission Type:</t>
  </si>
  <si>
    <t>SME Financing</t>
  </si>
  <si>
    <t xml:space="preserve">Annual Personal Debt Repayment </t>
  </si>
  <si>
    <t>Director Name:</t>
  </si>
  <si>
    <t>Facility Type</t>
  </si>
  <si>
    <t>O/S Amount</t>
  </si>
  <si>
    <t>Approved Limit</t>
  </si>
  <si>
    <t>Interest Rate</t>
  </si>
  <si>
    <t>Tenure (Months)</t>
  </si>
  <si>
    <t>Annual Debt Repayment</t>
  </si>
  <si>
    <t>Actual Monthly Instalment</t>
  </si>
  <si>
    <t>Actual Annual Instalment</t>
  </si>
  <si>
    <t>Mortgage 1</t>
  </si>
  <si>
    <t>Mortgage 2</t>
  </si>
  <si>
    <t>Mortgage 3</t>
  </si>
  <si>
    <t>Mortgage 4</t>
  </si>
  <si>
    <t>Mortgage 5</t>
  </si>
  <si>
    <t>Mortgage 6</t>
  </si>
  <si>
    <t>Mortgage 7</t>
  </si>
  <si>
    <t>Mortgage 8</t>
  </si>
  <si>
    <t>Mortgage 9</t>
  </si>
  <si>
    <t>Mortgage 10</t>
  </si>
  <si>
    <t>Total</t>
  </si>
  <si>
    <t>Other Term Loan 1</t>
  </si>
  <si>
    <t>Other Term Loan 2</t>
  </si>
  <si>
    <t>Other Term Loan 3</t>
  </si>
  <si>
    <t>Other Term Loan 4</t>
  </si>
  <si>
    <t>Other Term Loan 5</t>
  </si>
  <si>
    <t>Other Term Loan 6</t>
  </si>
  <si>
    <t>Other Term Loan 7</t>
  </si>
  <si>
    <t>Other Term Loan 8</t>
  </si>
  <si>
    <t>Other Term Loan 9</t>
  </si>
  <si>
    <t>Other Term Loan 10</t>
  </si>
  <si>
    <t>Hire Purchase Leasing 1</t>
  </si>
  <si>
    <t>Hire Purchase Leasing 2</t>
  </si>
  <si>
    <t>Hire Purchase Leasing 3</t>
  </si>
  <si>
    <t>Hire Purchase Leasing 4</t>
  </si>
  <si>
    <t>Hire Purchase Leasing 5</t>
  </si>
  <si>
    <t>Hire Purchase Leasing 6</t>
  </si>
  <si>
    <t>Hire Purchase Leasing 7</t>
  </si>
  <si>
    <t>Hire Purchase Leasing 8</t>
  </si>
  <si>
    <t>Hire Purchase Leasing 9</t>
  </si>
  <si>
    <t>Hire Purchase Leasing 10</t>
  </si>
  <si>
    <t>Overdraft 1</t>
  </si>
  <si>
    <t>n/a</t>
  </si>
  <si>
    <t>Overdraft 2</t>
  </si>
  <si>
    <t>Overdraft 3</t>
  </si>
  <si>
    <t>Overdraft 4</t>
  </si>
  <si>
    <t>Overdraft 5</t>
  </si>
  <si>
    <t>Overdraft 6</t>
  </si>
  <si>
    <t>Overdraft 7</t>
  </si>
  <si>
    <t>Overdraft 8</t>
  </si>
  <si>
    <t>Overdraft 9</t>
  </si>
  <si>
    <t>Overdraft 10</t>
  </si>
  <si>
    <t>Directors Others 1</t>
  </si>
  <si>
    <t>Directors Others 2</t>
  </si>
  <si>
    <t>Directors Others 3</t>
  </si>
  <si>
    <t>Directors Others 4</t>
  </si>
  <si>
    <t>Directors Others 5</t>
  </si>
  <si>
    <t>Directors Others 6</t>
  </si>
  <si>
    <t>Directors Others 7</t>
  </si>
  <si>
    <t>Directors Others 8</t>
  </si>
  <si>
    <t>Directors Others 9</t>
  </si>
  <si>
    <t>Directors Others 10</t>
  </si>
  <si>
    <t>To be uploaded in LOADS</t>
  </si>
  <si>
    <t>Mortgage Full Inst. Amount</t>
  </si>
  <si>
    <t>Other Term Loan</t>
  </si>
  <si>
    <t>Hire Purchase Leasing</t>
  </si>
  <si>
    <t>OD Limit</t>
  </si>
  <si>
    <t>Director Others</t>
  </si>
  <si>
    <t>ARM Name:</t>
  </si>
  <si>
    <t>Date:</t>
  </si>
  <si>
    <t>Flat Rate Calculator</t>
  </si>
  <si>
    <t>Repayment Table</t>
  </si>
  <si>
    <t>Principal Amt
(RM)</t>
  </si>
  <si>
    <t>All Interest Rate
(BLR + %)</t>
  </si>
  <si>
    <t>Tenor
(Month)</t>
  </si>
  <si>
    <t>Monthly Installment
(Reducing Balance)</t>
  </si>
  <si>
    <t>Monthly Installment
(Flat)</t>
  </si>
  <si>
    <t>Flat Rate Equivalent</t>
  </si>
  <si>
    <t>Tenor/
Loan Amount</t>
  </si>
  <si>
    <t>* Current BLR is at 6.85%</t>
  </si>
  <si>
    <t>Instruction:-</t>
  </si>
  <si>
    <t>Only key-in the shaded blue fields</t>
  </si>
  <si>
    <t>The repayment table will follow the interest rate keyed-in above</t>
  </si>
  <si>
    <t>June</t>
  </si>
  <si>
    <t>July</t>
  </si>
  <si>
    <t>Sept</t>
  </si>
  <si>
    <t>August</t>
  </si>
  <si>
    <t>Oct</t>
  </si>
  <si>
    <t>i-PINTAS Annual Repayment</t>
  </si>
  <si>
    <t>Nov</t>
  </si>
  <si>
    <t>CIMB</t>
  </si>
  <si>
    <t>MODERN ENGINEERING SOLUTIONS SDN BHD</t>
  </si>
  <si>
    <t>Existing 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</si>
</sst>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3" formatCode="_(* #,##0.00_);_(* \(#,##0.00\);_(* &quot;-&quot;??_);_(@_)"/>
    <numFmt numFmtId="164" formatCode="#,##0.000"/>
    <numFmt numFmtId="165" formatCode="[$-409]mmm\-yy;@"/>
    <numFmt numFmtId="166" formatCode="_(* #,##0_);_(* \(#,##0\);_(* &quot;-&quot;??_);_(@_)"/>
    <numFmt numFmtId="167" formatCode="_(* #,##0.000_);_(* \(#,##0.000\);_(* &quot;-&quot;?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Tahoma"/>
      <family val="2"/>
    </font>
    <font>
      <b/>
      <u/>
      <sz val="12"/>
      <name val="Century Gothic"/>
      <family val="2"/>
    </font>
    <font>
      <sz val="10"/>
      <color indexed="9"/>
      <name val="Tahoma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4" fontId="0" fillId="0" borderId="0" xfId="0" applyNumberFormat="1"/>
    <xf numFmtId="9" fontId="0" fillId="0" borderId="0" xfId="0" applyNumberFormat="1"/>
    <xf numFmtId="17" fontId="2" fillId="0" borderId="0" xfId="0" applyNumberFormat="1" applyFont="1"/>
    <xf numFmtId="4" fontId="0" fillId="0" borderId="0" xfId="1" applyNumberFormat="1" applyFont="1"/>
    <xf numFmtId="39" fontId="0" fillId="0" borderId="0" xfId="0" applyNumberFormat="1"/>
    <xf numFmtId="4" fontId="0" fillId="0" borderId="0" xfId="1" applyNumberFormat="1" applyFont="1" applyAlignment="1">
      <alignment wrapText="1"/>
    </xf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0" fillId="0" borderId="12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7" xfId="0" applyBorder="1" applyAlignment="1">
      <alignment horizontal="center"/>
    </xf>
    <xf numFmtId="4" fontId="4" fillId="0" borderId="9" xfId="1" applyNumberFormat="1" applyFont="1" applyBorder="1" applyAlignment="1">
      <alignment horizontal="center" vertical="center"/>
    </xf>
    <xf numFmtId="4" fontId="4" fillId="0" borderId="13" xfId="1" applyNumberFormat="1" applyFont="1" applyBorder="1" applyAlignment="1">
      <alignment horizontal="center" vertical="center"/>
    </xf>
    <xf numFmtId="4" fontId="4" fillId="0" borderId="22" xfId="1" applyNumberFormat="1" applyFont="1" applyBorder="1" applyAlignment="1">
      <alignment horizontal="center" vertical="center"/>
    </xf>
    <xf numFmtId="4" fontId="7" fillId="0" borderId="13" xfId="1" applyNumberFormat="1" applyFont="1" applyBorder="1" applyAlignment="1">
      <alignment horizontal="center" vertical="center" wrapText="1"/>
    </xf>
    <xf numFmtId="4" fontId="7" fillId="0" borderId="16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0" fillId="0" borderId="10" xfId="1" applyNumberFormat="1" applyFont="1" applyBorder="1" applyAlignment="1" applyProtection="1">
      <alignment horizontal="center"/>
      <protection hidden="1"/>
    </xf>
    <xf numFmtId="4" fontId="0" fillId="0" borderId="14" xfId="1" applyNumberFormat="1" applyFont="1" applyBorder="1" applyAlignment="1" applyProtection="1">
      <alignment horizontal="center"/>
      <protection hidden="1"/>
    </xf>
    <xf numFmtId="4" fontId="0" fillId="0" borderId="17" xfId="1" applyNumberFormat="1" applyFont="1" applyBorder="1" applyAlignment="1" applyProtection="1">
      <alignment horizontal="center"/>
      <protection hidden="1"/>
    </xf>
    <xf numFmtId="4" fontId="2" fillId="0" borderId="11" xfId="1" applyNumberFormat="1" applyFont="1" applyFill="1" applyBorder="1" applyAlignment="1" applyProtection="1">
      <alignment horizontal="center"/>
      <protection hidden="1"/>
    </xf>
    <xf numFmtId="4" fontId="2" fillId="0" borderId="14" xfId="1" applyNumberFormat="1" applyFont="1" applyFill="1" applyBorder="1" applyAlignment="1" applyProtection="1">
      <alignment horizontal="center"/>
      <protection hidden="1"/>
    </xf>
    <xf numFmtId="4" fontId="2" fillId="0" borderId="17" xfId="1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>
      <alignment horizontal="center"/>
    </xf>
    <xf numFmtId="0" fontId="0" fillId="0" borderId="10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4" fontId="6" fillId="0" borderId="19" xfId="0" applyNumberFormat="1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center" vertical="center" wrapText="1"/>
    </xf>
    <xf numFmtId="4" fontId="6" fillId="0" borderId="21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66" fontId="0" fillId="0" borderId="0" xfId="1" applyNumberFormat="1" applyFont="1"/>
    <xf numFmtId="0" fontId="9" fillId="3" borderId="4" xfId="3" applyFont="1" applyFill="1" applyBorder="1" applyProtection="1"/>
    <xf numFmtId="0" fontId="9" fillId="3" borderId="23" xfId="3" applyFont="1" applyFill="1" applyBorder="1" applyProtection="1"/>
    <xf numFmtId="0" fontId="10" fillId="3" borderId="23" xfId="3" applyFont="1" applyFill="1" applyBorder="1" applyProtection="1"/>
    <xf numFmtId="0" fontId="9" fillId="3" borderId="12" xfId="3" applyFont="1" applyFill="1" applyBorder="1" applyProtection="1"/>
    <xf numFmtId="0" fontId="11" fillId="3" borderId="0" xfId="3" applyFont="1" applyFill="1" applyBorder="1" applyProtection="1">
      <protection hidden="1"/>
    </xf>
    <xf numFmtId="0" fontId="11" fillId="3" borderId="0" xfId="3" applyFont="1" applyFill="1" applyProtection="1">
      <protection hidden="1"/>
    </xf>
    <xf numFmtId="0" fontId="9" fillId="3" borderId="0" xfId="3" applyFont="1" applyFill="1"/>
    <xf numFmtId="0" fontId="9" fillId="3" borderId="24" xfId="3" applyFont="1" applyFill="1" applyBorder="1" applyProtection="1"/>
    <xf numFmtId="0" fontId="9" fillId="3" borderId="0" xfId="3" applyFont="1" applyFill="1" applyBorder="1" applyProtection="1"/>
    <xf numFmtId="0" fontId="9" fillId="3" borderId="15" xfId="3" applyFont="1" applyFill="1" applyBorder="1" applyProtection="1"/>
    <xf numFmtId="0" fontId="9" fillId="3" borderId="0" xfId="3" applyFont="1" applyFill="1" applyBorder="1" applyProtection="1">
      <protection locked="0"/>
    </xf>
    <xf numFmtId="0" fontId="12" fillId="3" borderId="0" xfId="3" applyFont="1" applyFill="1" applyBorder="1" applyProtection="1"/>
    <xf numFmtId="0" fontId="12" fillId="5" borderId="0" xfId="3" applyFont="1" applyFill="1" applyBorder="1" applyAlignment="1" applyProtection="1">
      <alignment horizontal="center" vertical="center" wrapText="1"/>
    </xf>
    <xf numFmtId="43" fontId="9" fillId="4" borderId="0" xfId="4" applyFont="1" applyFill="1" applyBorder="1" applyProtection="1">
      <protection locked="0"/>
    </xf>
    <xf numFmtId="10" fontId="9" fillId="4" borderId="0" xfId="5" applyNumberFormat="1" applyFont="1" applyFill="1" applyBorder="1" applyAlignment="1" applyProtection="1">
      <alignment horizontal="center"/>
      <protection locked="0"/>
    </xf>
    <xf numFmtId="0" fontId="9" fillId="4" borderId="0" xfId="5" applyNumberFormat="1" applyFont="1" applyFill="1" applyBorder="1" applyAlignment="1" applyProtection="1">
      <alignment horizontal="center"/>
      <protection locked="0"/>
    </xf>
    <xf numFmtId="8" fontId="9" fillId="3" borderId="0" xfId="4" applyNumberFormat="1" applyFont="1" applyFill="1" applyBorder="1" applyProtection="1"/>
    <xf numFmtId="43" fontId="9" fillId="6" borderId="0" xfId="4" applyFont="1" applyFill="1" applyBorder="1" applyProtection="1">
      <protection locked="0"/>
    </xf>
    <xf numFmtId="43" fontId="9" fillId="3" borderId="0" xfId="3" applyNumberFormat="1" applyFont="1" applyFill="1" applyBorder="1" applyProtection="1"/>
    <xf numFmtId="43" fontId="11" fillId="3" borderId="0" xfId="4" applyFont="1" applyFill="1" applyBorder="1" applyProtection="1">
      <protection hidden="1"/>
    </xf>
    <xf numFmtId="43" fontId="11" fillId="3" borderId="0" xfId="4" applyFont="1" applyFill="1" applyProtection="1">
      <protection hidden="1"/>
    </xf>
    <xf numFmtId="43" fontId="9" fillId="3" borderId="15" xfId="3" applyNumberFormat="1" applyFont="1" applyFill="1" applyBorder="1" applyProtection="1">
      <protection hidden="1"/>
    </xf>
    <xf numFmtId="0" fontId="13" fillId="3" borderId="0" xfId="3" applyFont="1" applyFill="1" applyBorder="1" applyProtection="1"/>
    <xf numFmtId="43" fontId="9" fillId="3" borderId="0" xfId="4" applyFont="1" applyFill="1" applyBorder="1" applyProtection="1"/>
    <xf numFmtId="10" fontId="9" fillId="3" borderId="0" xfId="5" applyNumberFormat="1" applyFont="1" applyFill="1" applyBorder="1" applyAlignment="1" applyProtection="1">
      <alignment horizontal="center"/>
    </xf>
    <xf numFmtId="0" fontId="9" fillId="3" borderId="0" xfId="5" applyNumberFormat="1" applyFont="1" applyFill="1" applyBorder="1" applyAlignment="1" applyProtection="1">
      <alignment horizontal="center"/>
    </xf>
    <xf numFmtId="43" fontId="13" fillId="3" borderId="27" xfId="4" applyFont="1" applyFill="1" applyBorder="1" applyProtection="1"/>
    <xf numFmtId="167" fontId="9" fillId="3" borderId="0" xfId="4" applyNumberFormat="1" applyFont="1" applyFill="1" applyBorder="1" applyProtection="1"/>
    <xf numFmtId="43" fontId="13" fillId="3" borderId="0" xfId="4" applyFont="1" applyFill="1" applyBorder="1" applyAlignment="1" applyProtection="1"/>
    <xf numFmtId="43" fontId="13" fillId="0" borderId="27" xfId="4" applyFont="1" applyFill="1" applyBorder="1" applyProtection="1"/>
    <xf numFmtId="0" fontId="11" fillId="3" borderId="0" xfId="3" applyFont="1" applyFill="1" applyBorder="1" applyProtection="1"/>
    <xf numFmtId="0" fontId="11" fillId="3" borderId="0" xfId="3" applyFont="1" applyFill="1" applyProtection="1"/>
    <xf numFmtId="0" fontId="9" fillId="3" borderId="0" xfId="3" applyFont="1" applyFill="1" applyProtection="1"/>
    <xf numFmtId="0" fontId="9" fillId="3" borderId="8" xfId="3" applyFont="1" applyFill="1" applyBorder="1" applyProtection="1"/>
    <xf numFmtId="0" fontId="9" fillId="3" borderId="28" xfId="3" applyFont="1" applyFill="1" applyBorder="1" applyProtection="1"/>
    <xf numFmtId="0" fontId="9" fillId="3" borderId="18" xfId="3" applyFont="1" applyFill="1" applyBorder="1" applyProtection="1"/>
    <xf numFmtId="0" fontId="14" fillId="8" borderId="0" xfId="0" applyFont="1" applyFill="1" applyAlignment="1" applyProtection="1">
      <alignment horizontal="left"/>
      <protection hidden="1"/>
    </xf>
    <xf numFmtId="0" fontId="15" fillId="8" borderId="0" xfId="0" applyFont="1" applyFill="1" applyAlignment="1" applyProtection="1">
      <alignment horizontal="center"/>
      <protection hidden="1"/>
    </xf>
    <xf numFmtId="0" fontId="15" fillId="8" borderId="0" xfId="0" applyFont="1" applyFill="1" applyProtection="1">
      <protection hidden="1"/>
    </xf>
    <xf numFmtId="43" fontId="14" fillId="8" borderId="0" xfId="1" applyFont="1" applyFill="1" applyAlignment="1" applyProtection="1">
      <protection hidden="1"/>
    </xf>
    <xf numFmtId="9" fontId="15" fillId="8" borderId="0" xfId="0" applyNumberFormat="1" applyFont="1" applyFill="1" applyAlignment="1" applyProtection="1">
      <alignment wrapText="1"/>
      <protection hidden="1"/>
    </xf>
    <xf numFmtId="9" fontId="15" fillId="8" borderId="0" xfId="0" applyNumberFormat="1" applyFont="1" applyFill="1" applyAlignment="1" applyProtection="1">
      <alignment horizontal="center" wrapText="1"/>
      <protection hidden="1"/>
    </xf>
    <xf numFmtId="0" fontId="15" fillId="8" borderId="0" xfId="0" applyFont="1" applyFill="1" applyAlignment="1" applyProtection="1">
      <alignment wrapText="1"/>
      <protection hidden="1"/>
    </xf>
    <xf numFmtId="0" fontId="0" fillId="0" borderId="0" xfId="0" applyProtection="1">
      <protection hidden="1"/>
    </xf>
    <xf numFmtId="43" fontId="16" fillId="8" borderId="0" xfId="1" applyFont="1" applyFill="1" applyProtection="1">
      <protection hidden="1"/>
    </xf>
    <xf numFmtId="10" fontId="16" fillId="8" borderId="0" xfId="0" applyNumberFormat="1" applyFont="1" applyFill="1" applyProtection="1">
      <protection hidden="1"/>
    </xf>
    <xf numFmtId="0" fontId="17" fillId="9" borderId="29" xfId="0" applyFont="1" applyFill="1" applyBorder="1" applyAlignment="1" applyProtection="1">
      <alignment horizontal="center" vertical="center" wrapText="1"/>
      <protection hidden="1"/>
    </xf>
    <xf numFmtId="43" fontId="17" fillId="9" borderId="29" xfId="1" applyFont="1" applyFill="1" applyBorder="1" applyAlignment="1" applyProtection="1">
      <alignment vertical="center" wrapText="1"/>
      <protection hidden="1"/>
    </xf>
    <xf numFmtId="0" fontId="17" fillId="9" borderId="29" xfId="0" applyFont="1" applyFill="1" applyBorder="1" applyAlignment="1" applyProtection="1">
      <alignment horizontal="center" vertical="center"/>
      <protection hidden="1"/>
    </xf>
    <xf numFmtId="43" fontId="14" fillId="10" borderId="29" xfId="1" applyFont="1" applyFill="1" applyBorder="1" applyAlignment="1" applyProtection="1">
      <alignment horizontal="center"/>
      <protection locked="0"/>
    </xf>
    <xf numFmtId="10" fontId="14" fillId="10" borderId="29" xfId="0" applyNumberFormat="1" applyFont="1" applyFill="1" applyBorder="1" applyAlignment="1" applyProtection="1">
      <alignment horizontal="center"/>
      <protection locked="0"/>
    </xf>
    <xf numFmtId="0" fontId="14" fillId="10" borderId="29" xfId="0" applyFont="1" applyFill="1" applyBorder="1" applyAlignment="1" applyProtection="1">
      <alignment horizontal="center"/>
      <protection locked="0"/>
    </xf>
    <xf numFmtId="40" fontId="14" fillId="8" borderId="29" xfId="1" applyNumberFormat="1" applyFont="1" applyFill="1" applyBorder="1" applyAlignment="1" applyProtection="1">
      <alignment horizontal="center"/>
      <protection hidden="1"/>
    </xf>
    <xf numFmtId="43" fontId="14" fillId="8" borderId="29" xfId="0" applyNumberFormat="1" applyFont="1" applyFill="1" applyBorder="1" applyAlignment="1" applyProtection="1">
      <alignment horizontal="center"/>
      <protection hidden="1"/>
    </xf>
    <xf numFmtId="10" fontId="14" fillId="8" borderId="29" xfId="2" applyNumberFormat="1" applyFont="1" applyFill="1" applyBorder="1" applyAlignment="1" applyProtection="1">
      <alignment horizontal="center"/>
      <protection hidden="1"/>
    </xf>
    <xf numFmtId="43" fontId="14" fillId="8" borderId="29" xfId="1" applyFont="1" applyFill="1" applyBorder="1" applyProtection="1">
      <protection hidden="1"/>
    </xf>
    <xf numFmtId="8" fontId="14" fillId="8" borderId="29" xfId="0" applyNumberFormat="1" applyFont="1" applyFill="1" applyBorder="1" applyProtection="1">
      <protection hidden="1"/>
    </xf>
    <xf numFmtId="0" fontId="18" fillId="8" borderId="0" xfId="0" applyFont="1" applyFill="1" applyAlignment="1" applyProtection="1">
      <alignment horizontal="left"/>
      <protection hidden="1"/>
    </xf>
    <xf numFmtId="0" fontId="15" fillId="8" borderId="0" xfId="0" applyFont="1" applyFill="1" applyAlignment="1" applyProtection="1">
      <alignment horizontal="left"/>
      <protection hidden="1"/>
    </xf>
    <xf numFmtId="0" fontId="19" fillId="8" borderId="0" xfId="0" applyFont="1" applyFill="1" applyAlignment="1" applyProtection="1">
      <alignment horizontal="left"/>
      <protection hidden="1"/>
    </xf>
    <xf numFmtId="0" fontId="16" fillId="8" borderId="0" xfId="0" applyFont="1" applyFill="1" applyAlignment="1" applyProtection="1">
      <alignment horizontal="center"/>
      <protection hidden="1"/>
    </xf>
    <xf numFmtId="0" fontId="16" fillId="8" borderId="0" xfId="0" applyFont="1" applyFill="1" applyProtection="1">
      <protection hidden="1"/>
    </xf>
    <xf numFmtId="0" fontId="19" fillId="8" borderId="0" xfId="0" applyFont="1" applyFill="1" applyAlignment="1" applyProtection="1">
      <alignment horizontal="center"/>
      <protection hidden="1"/>
    </xf>
    <xf numFmtId="10" fontId="0" fillId="0" borderId="0" xfId="2" applyNumberFormat="1" applyFont="1" applyProtection="1"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3" fontId="9" fillId="7" borderId="0" xfId="3" applyNumberFormat="1" applyFont="1" applyFill="1" applyBorder="1" applyAlignment="1" applyProtection="1">
      <alignment horizontal="center"/>
    </xf>
    <xf numFmtId="0" fontId="9" fillId="4" borderId="25" xfId="3" applyFont="1" applyFill="1" applyBorder="1" applyAlignment="1" applyProtection="1">
      <alignment horizontal="center"/>
      <protection locked="0"/>
    </xf>
    <xf numFmtId="14" fontId="9" fillId="4" borderId="26" xfId="3" applyNumberFormat="1" applyFont="1" applyFill="1" applyBorder="1" applyAlignment="1" applyProtection="1">
      <alignment horizontal="center"/>
      <protection locked="0"/>
    </xf>
    <xf numFmtId="0" fontId="9" fillId="4" borderId="26" xfId="3" applyFont="1" applyFill="1" applyBorder="1" applyAlignment="1" applyProtection="1">
      <alignment horizontal="center"/>
      <protection locked="0"/>
    </xf>
    <xf numFmtId="0" fontId="12" fillId="5" borderId="0" xfId="3" applyFont="1" applyFill="1" applyBorder="1" applyAlignment="1" applyProtection="1">
      <alignment horizontal="center" vertical="center" wrapText="1"/>
    </xf>
  </cellXfs>
  <cellStyles count="6">
    <cellStyle name="Comma" xfId="1" builtinId="3"/>
    <cellStyle name="Comma 2" xfId="4"/>
    <cellStyle name="Normal" xfId="0" builtinId="0"/>
    <cellStyle name="Normal 2" xfId="3"/>
    <cellStyle name="Percent" xfId="2" builtinId="5"/>
    <cellStyle name="Percent 2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C16" sqref="C16"/>
    </sheetView>
  </sheetViews>
  <sheetFormatPr defaultRowHeight="15" x14ac:dyDescent="0.25"/>
  <cols>
    <col min="2" max="2" width="15.28515625" customWidth="1"/>
    <col min="3" max="3" width="15" customWidth="1"/>
    <col min="4" max="4" width="16.140625" customWidth="1"/>
    <col min="5" max="5" width="14.42578125" customWidth="1"/>
    <col min="6" max="6" width="14.85546875" customWidth="1"/>
    <col min="7" max="7" width="13.7109375" customWidth="1"/>
    <col min="10" max="10" width="10.140625" bestFit="1" customWidth="1"/>
  </cols>
  <sheetData>
    <row r="1" spans="1:15" x14ac:dyDescent="0.25">
      <c r="A1" s="1" t="s">
        <v>111</v>
      </c>
    </row>
    <row r="2" spans="1:15" ht="15.75" thickBot="1" x14ac:dyDescent="0.3"/>
    <row r="3" spans="1:15" ht="15.75" thickBot="1" x14ac:dyDescent="0.3">
      <c r="B3" s="106" t="s">
        <v>5</v>
      </c>
      <c r="C3" s="108" t="s">
        <v>6</v>
      </c>
      <c r="D3" s="109"/>
      <c r="E3" s="106" t="s">
        <v>7</v>
      </c>
      <c r="F3" s="110" t="s">
        <v>8</v>
      </c>
      <c r="G3" s="106" t="s">
        <v>9</v>
      </c>
      <c r="H3" s="10"/>
    </row>
    <row r="4" spans="1:15" ht="15.75" thickBot="1" x14ac:dyDescent="0.3">
      <c r="A4" s="4"/>
      <c r="B4" s="107"/>
      <c r="C4" s="11" t="s">
        <v>110</v>
      </c>
      <c r="D4" s="11"/>
      <c r="E4" s="107"/>
      <c r="F4" s="111"/>
      <c r="G4" s="107"/>
      <c r="H4" s="10"/>
    </row>
    <row r="5" spans="1:15" x14ac:dyDescent="0.25">
      <c r="A5" s="4"/>
      <c r="B5" s="35" t="s">
        <v>103</v>
      </c>
      <c r="C5" s="16">
        <v>61454.5</v>
      </c>
      <c r="D5" s="32"/>
      <c r="E5" s="22">
        <f t="shared" ref="E5:E10" si="0">C5+D5</f>
        <v>61454.5</v>
      </c>
      <c r="F5" s="29" t="str">
        <f>IF(E5&gt;=$E$13,"PASS","FAIL")</f>
        <v>FAIL</v>
      </c>
      <c r="G5" s="103" t="str">
        <f>IF(H11&gt;=4,"PASS Income Consistency Requirement","FAIL Income Consistency Requirement")</f>
        <v>FAIL Income Consistency Requirement</v>
      </c>
      <c r="H5" s="12">
        <f t="shared" ref="H5:H10" si="1">IF(F5="PASS",1,0)</f>
        <v>0</v>
      </c>
    </row>
    <row r="6" spans="1:15" x14ac:dyDescent="0.25">
      <c r="A6" s="4"/>
      <c r="B6" s="36" t="s">
        <v>104</v>
      </c>
      <c r="C6" s="17">
        <v>277473.65999999997</v>
      </c>
      <c r="D6" s="33"/>
      <c r="E6" s="23">
        <f t="shared" si="0"/>
        <v>277473.65999999997</v>
      </c>
      <c r="F6" s="30" t="str">
        <f t="shared" ref="F6:F10" si="2">IF(E6&gt;=$E$13,"PASS","FAIL")</f>
        <v>PASS</v>
      </c>
      <c r="G6" s="104"/>
      <c r="H6" s="13">
        <f t="shared" si="1"/>
        <v>1</v>
      </c>
    </row>
    <row r="7" spans="1:15" x14ac:dyDescent="0.25">
      <c r="A7" s="4"/>
      <c r="B7" s="36" t="s">
        <v>106</v>
      </c>
      <c r="C7" s="18">
        <f>235978.39</f>
        <v>235978.39</v>
      </c>
      <c r="D7" s="33"/>
      <c r="E7" s="23">
        <f t="shared" si="0"/>
        <v>235978.39</v>
      </c>
      <c r="F7" s="30" t="str">
        <f t="shared" si="2"/>
        <v>PASS</v>
      </c>
      <c r="G7" s="104"/>
      <c r="H7" s="13">
        <f t="shared" si="1"/>
        <v>1</v>
      </c>
    </row>
    <row r="8" spans="1:15" x14ac:dyDescent="0.25">
      <c r="A8" s="4"/>
      <c r="B8" s="36" t="s">
        <v>105</v>
      </c>
      <c r="C8" s="19">
        <v>89412.24</v>
      </c>
      <c r="D8" s="33"/>
      <c r="E8" s="23">
        <f t="shared" si="0"/>
        <v>89412.24</v>
      </c>
      <c r="F8" s="30" t="str">
        <f t="shared" si="2"/>
        <v>FAIL</v>
      </c>
      <c r="G8" s="104"/>
      <c r="H8" s="13">
        <f t="shared" si="1"/>
        <v>0</v>
      </c>
    </row>
    <row r="9" spans="1:15" x14ac:dyDescent="0.25">
      <c r="A9" s="4"/>
      <c r="B9" s="36" t="s">
        <v>107</v>
      </c>
      <c r="C9" s="19">
        <v>66576.800000000003</v>
      </c>
      <c r="D9" s="33"/>
      <c r="E9" s="23">
        <f t="shared" si="0"/>
        <v>66576.800000000003</v>
      </c>
      <c r="F9" s="30" t="str">
        <f t="shared" si="2"/>
        <v>FAIL</v>
      </c>
      <c r="G9" s="104"/>
      <c r="H9" s="13">
        <f t="shared" si="1"/>
        <v>0</v>
      </c>
    </row>
    <row r="10" spans="1:15" ht="15.75" thickBot="1" x14ac:dyDescent="0.3">
      <c r="B10" s="37" t="s">
        <v>109</v>
      </c>
      <c r="C10" s="20">
        <v>146628.4</v>
      </c>
      <c r="D10" s="34"/>
      <c r="E10" s="24">
        <f t="shared" si="0"/>
        <v>146628.4</v>
      </c>
      <c r="F10" s="31" t="str">
        <f t="shared" si="2"/>
        <v>PASS</v>
      </c>
      <c r="G10" s="105"/>
      <c r="H10" s="14">
        <f t="shared" si="1"/>
        <v>1</v>
      </c>
    </row>
    <row r="11" spans="1:15" ht="15.75" thickBot="1" x14ac:dyDescent="0.3">
      <c r="D11" s="21" t="s">
        <v>10</v>
      </c>
      <c r="E11" s="25">
        <f>SUM(E5:E10)</f>
        <v>877523.99000000011</v>
      </c>
      <c r="G11" s="28" t="s">
        <v>11</v>
      </c>
      <c r="H11" s="15">
        <f>SUM(H5:H10)</f>
        <v>3</v>
      </c>
    </row>
    <row r="12" spans="1:15" x14ac:dyDescent="0.25">
      <c r="D12" s="21" t="s">
        <v>12</v>
      </c>
      <c r="E12" s="26">
        <f>E11/6</f>
        <v>146253.99833333335</v>
      </c>
      <c r="H12" s="10"/>
    </row>
    <row r="13" spans="1:15" ht="15.75" thickBot="1" x14ac:dyDescent="0.3">
      <c r="D13" s="21" t="s">
        <v>13</v>
      </c>
      <c r="E13" s="27">
        <f>E12*0.7</f>
        <v>102377.79883333333</v>
      </c>
      <c r="H13" s="10"/>
    </row>
    <row r="15" spans="1:15" x14ac:dyDescent="0.25">
      <c r="B15" s="5"/>
      <c r="D15" s="1" t="s">
        <v>0</v>
      </c>
      <c r="E15" s="5">
        <f>E11*2</f>
        <v>1755047.9800000002</v>
      </c>
      <c r="G15" s="38">
        <f>E15*0.3</f>
        <v>526514.39400000009</v>
      </c>
      <c r="H15" s="1" t="s">
        <v>14</v>
      </c>
      <c r="O15" s="10"/>
    </row>
    <row r="16" spans="1:15" x14ac:dyDescent="0.25">
      <c r="B16" s="3"/>
      <c r="D16" s="1" t="s">
        <v>1</v>
      </c>
      <c r="E16" s="3">
        <v>0.12</v>
      </c>
      <c r="F16" s="8"/>
    </row>
    <row r="17" spans="2:5" x14ac:dyDescent="0.25">
      <c r="B17" s="6"/>
      <c r="D17" s="1" t="s">
        <v>3</v>
      </c>
      <c r="E17" s="5">
        <f>E16*E15</f>
        <v>210605.75760000001</v>
      </c>
    </row>
    <row r="20" spans="2:5" x14ac:dyDescent="0.25">
      <c r="B20" s="5">
        <v>0</v>
      </c>
      <c r="C20" s="1" t="s">
        <v>112</v>
      </c>
    </row>
    <row r="21" spans="2:5" x14ac:dyDescent="0.25">
      <c r="B21" s="7">
        <f>'Convertor Calculator'!E5*12</f>
        <v>70889.686682439482</v>
      </c>
      <c r="C21" s="1" t="s">
        <v>108</v>
      </c>
    </row>
    <row r="22" spans="2:5" x14ac:dyDescent="0.25">
      <c r="B22" s="2">
        <f>B20+B21</f>
        <v>70889.686682439482</v>
      </c>
      <c r="C22" s="1" t="s">
        <v>2</v>
      </c>
    </row>
    <row r="23" spans="2:5" x14ac:dyDescent="0.25">
      <c r="B23" s="9">
        <f>E17/B22</f>
        <v>2.9708941801850348</v>
      </c>
      <c r="C23" s="1" t="s">
        <v>4</v>
      </c>
    </row>
    <row r="24" spans="2:5" x14ac:dyDescent="0.25">
      <c r="B24" s="9"/>
      <c r="C24" s="1"/>
    </row>
  </sheetData>
  <mergeCells count="6">
    <mergeCell ref="G5:G10"/>
    <mergeCell ref="B3:B4"/>
    <mergeCell ref="C3:D3"/>
    <mergeCell ref="E3:E4"/>
    <mergeCell ref="F3:F4"/>
    <mergeCell ref="G3:G4"/>
  </mergeCells>
  <conditionalFormatting sqref="G5:G10">
    <cfRule type="containsText" dxfId="1" priority="1" operator="containsText" text="PASS">
      <formula>NOT(ISERROR(SEARCH("PASS",G5)))</formula>
    </cfRule>
    <cfRule type="containsText" dxfId="0" priority="2" operator="containsText" text="FAIL">
      <formula>NOT(ISERROR(SEARCH("FAIL",G5)))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zoomScaleNormal="100" workbookViewId="0">
      <selection activeCell="D27" sqref="D27"/>
    </sheetView>
  </sheetViews>
  <sheetFormatPr defaultRowHeight="12.75" x14ac:dyDescent="0.2"/>
  <cols>
    <col min="1" max="1" width="8.7109375" style="45" customWidth="1"/>
    <col min="2" max="2" width="23" style="45" customWidth="1"/>
    <col min="3" max="4" width="15.7109375" style="45" customWidth="1"/>
    <col min="5" max="6" width="9.28515625" style="45" bestFit="1" customWidth="1"/>
    <col min="7" max="9" width="20.7109375" style="45" customWidth="1"/>
    <col min="10" max="10" width="8.7109375" style="45" customWidth="1"/>
    <col min="11" max="11" width="11.5703125" style="43" customWidth="1"/>
    <col min="12" max="12" width="12.28515625" style="44" customWidth="1"/>
    <col min="13" max="256" width="9.140625" style="45"/>
    <col min="257" max="257" width="8.7109375" style="45" customWidth="1"/>
    <col min="258" max="258" width="23" style="45" customWidth="1"/>
    <col min="259" max="260" width="15.7109375" style="45" customWidth="1"/>
    <col min="261" max="262" width="9.28515625" style="45" bestFit="1" customWidth="1"/>
    <col min="263" max="265" width="20.7109375" style="45" customWidth="1"/>
    <col min="266" max="266" width="8.7109375" style="45" customWidth="1"/>
    <col min="267" max="267" width="11.5703125" style="45" customWidth="1"/>
    <col min="268" max="268" width="12.28515625" style="45" customWidth="1"/>
    <col min="269" max="512" width="9.140625" style="45"/>
    <col min="513" max="513" width="8.7109375" style="45" customWidth="1"/>
    <col min="514" max="514" width="23" style="45" customWidth="1"/>
    <col min="515" max="516" width="15.7109375" style="45" customWidth="1"/>
    <col min="517" max="518" width="9.28515625" style="45" bestFit="1" customWidth="1"/>
    <col min="519" max="521" width="20.7109375" style="45" customWidth="1"/>
    <col min="522" max="522" width="8.7109375" style="45" customWidth="1"/>
    <col min="523" max="523" width="11.5703125" style="45" customWidth="1"/>
    <col min="524" max="524" width="12.28515625" style="45" customWidth="1"/>
    <col min="525" max="768" width="9.140625" style="45"/>
    <col min="769" max="769" width="8.7109375" style="45" customWidth="1"/>
    <col min="770" max="770" width="23" style="45" customWidth="1"/>
    <col min="771" max="772" width="15.7109375" style="45" customWidth="1"/>
    <col min="773" max="774" width="9.28515625" style="45" bestFit="1" customWidth="1"/>
    <col min="775" max="777" width="20.7109375" style="45" customWidth="1"/>
    <col min="778" max="778" width="8.7109375" style="45" customWidth="1"/>
    <col min="779" max="779" width="11.5703125" style="45" customWidth="1"/>
    <col min="780" max="780" width="12.28515625" style="45" customWidth="1"/>
    <col min="781" max="1024" width="9.140625" style="45"/>
    <col min="1025" max="1025" width="8.7109375" style="45" customWidth="1"/>
    <col min="1026" max="1026" width="23" style="45" customWidth="1"/>
    <col min="1027" max="1028" width="15.7109375" style="45" customWidth="1"/>
    <col min="1029" max="1030" width="9.28515625" style="45" bestFit="1" customWidth="1"/>
    <col min="1031" max="1033" width="20.7109375" style="45" customWidth="1"/>
    <col min="1034" max="1034" width="8.7109375" style="45" customWidth="1"/>
    <col min="1035" max="1035" width="11.5703125" style="45" customWidth="1"/>
    <col min="1036" max="1036" width="12.28515625" style="45" customWidth="1"/>
    <col min="1037" max="1280" width="9.140625" style="45"/>
    <col min="1281" max="1281" width="8.7109375" style="45" customWidth="1"/>
    <col min="1282" max="1282" width="23" style="45" customWidth="1"/>
    <col min="1283" max="1284" width="15.7109375" style="45" customWidth="1"/>
    <col min="1285" max="1286" width="9.28515625" style="45" bestFit="1" customWidth="1"/>
    <col min="1287" max="1289" width="20.7109375" style="45" customWidth="1"/>
    <col min="1290" max="1290" width="8.7109375" style="45" customWidth="1"/>
    <col min="1291" max="1291" width="11.5703125" style="45" customWidth="1"/>
    <col min="1292" max="1292" width="12.28515625" style="45" customWidth="1"/>
    <col min="1293" max="1536" width="9.140625" style="45"/>
    <col min="1537" max="1537" width="8.7109375" style="45" customWidth="1"/>
    <col min="1538" max="1538" width="23" style="45" customWidth="1"/>
    <col min="1539" max="1540" width="15.7109375" style="45" customWidth="1"/>
    <col min="1541" max="1542" width="9.28515625" style="45" bestFit="1" customWidth="1"/>
    <col min="1543" max="1545" width="20.7109375" style="45" customWidth="1"/>
    <col min="1546" max="1546" width="8.7109375" style="45" customWidth="1"/>
    <col min="1547" max="1547" width="11.5703125" style="45" customWidth="1"/>
    <col min="1548" max="1548" width="12.28515625" style="45" customWidth="1"/>
    <col min="1549" max="1792" width="9.140625" style="45"/>
    <col min="1793" max="1793" width="8.7109375" style="45" customWidth="1"/>
    <col min="1794" max="1794" width="23" style="45" customWidth="1"/>
    <col min="1795" max="1796" width="15.7109375" style="45" customWidth="1"/>
    <col min="1797" max="1798" width="9.28515625" style="45" bestFit="1" customWidth="1"/>
    <col min="1799" max="1801" width="20.7109375" style="45" customWidth="1"/>
    <col min="1802" max="1802" width="8.7109375" style="45" customWidth="1"/>
    <col min="1803" max="1803" width="11.5703125" style="45" customWidth="1"/>
    <col min="1804" max="1804" width="12.28515625" style="45" customWidth="1"/>
    <col min="1805" max="2048" width="9.140625" style="45"/>
    <col min="2049" max="2049" width="8.7109375" style="45" customWidth="1"/>
    <col min="2050" max="2050" width="23" style="45" customWidth="1"/>
    <col min="2051" max="2052" width="15.7109375" style="45" customWidth="1"/>
    <col min="2053" max="2054" width="9.28515625" style="45" bestFit="1" customWidth="1"/>
    <col min="2055" max="2057" width="20.7109375" style="45" customWidth="1"/>
    <col min="2058" max="2058" width="8.7109375" style="45" customWidth="1"/>
    <col min="2059" max="2059" width="11.5703125" style="45" customWidth="1"/>
    <col min="2060" max="2060" width="12.28515625" style="45" customWidth="1"/>
    <col min="2061" max="2304" width="9.140625" style="45"/>
    <col min="2305" max="2305" width="8.7109375" style="45" customWidth="1"/>
    <col min="2306" max="2306" width="23" style="45" customWidth="1"/>
    <col min="2307" max="2308" width="15.7109375" style="45" customWidth="1"/>
    <col min="2309" max="2310" width="9.28515625" style="45" bestFit="1" customWidth="1"/>
    <col min="2311" max="2313" width="20.7109375" style="45" customWidth="1"/>
    <col min="2314" max="2314" width="8.7109375" style="45" customWidth="1"/>
    <col min="2315" max="2315" width="11.5703125" style="45" customWidth="1"/>
    <col min="2316" max="2316" width="12.28515625" style="45" customWidth="1"/>
    <col min="2317" max="2560" width="9.140625" style="45"/>
    <col min="2561" max="2561" width="8.7109375" style="45" customWidth="1"/>
    <col min="2562" max="2562" width="23" style="45" customWidth="1"/>
    <col min="2563" max="2564" width="15.7109375" style="45" customWidth="1"/>
    <col min="2565" max="2566" width="9.28515625" style="45" bestFit="1" customWidth="1"/>
    <col min="2567" max="2569" width="20.7109375" style="45" customWidth="1"/>
    <col min="2570" max="2570" width="8.7109375" style="45" customWidth="1"/>
    <col min="2571" max="2571" width="11.5703125" style="45" customWidth="1"/>
    <col min="2572" max="2572" width="12.28515625" style="45" customWidth="1"/>
    <col min="2573" max="2816" width="9.140625" style="45"/>
    <col min="2817" max="2817" width="8.7109375" style="45" customWidth="1"/>
    <col min="2818" max="2818" width="23" style="45" customWidth="1"/>
    <col min="2819" max="2820" width="15.7109375" style="45" customWidth="1"/>
    <col min="2821" max="2822" width="9.28515625" style="45" bestFit="1" customWidth="1"/>
    <col min="2823" max="2825" width="20.7109375" style="45" customWidth="1"/>
    <col min="2826" max="2826" width="8.7109375" style="45" customWidth="1"/>
    <col min="2827" max="2827" width="11.5703125" style="45" customWidth="1"/>
    <col min="2828" max="2828" width="12.28515625" style="45" customWidth="1"/>
    <col min="2829" max="3072" width="9.140625" style="45"/>
    <col min="3073" max="3073" width="8.7109375" style="45" customWidth="1"/>
    <col min="3074" max="3074" width="23" style="45" customWidth="1"/>
    <col min="3075" max="3076" width="15.7109375" style="45" customWidth="1"/>
    <col min="3077" max="3078" width="9.28515625" style="45" bestFit="1" customWidth="1"/>
    <col min="3079" max="3081" width="20.7109375" style="45" customWidth="1"/>
    <col min="3082" max="3082" width="8.7109375" style="45" customWidth="1"/>
    <col min="3083" max="3083" width="11.5703125" style="45" customWidth="1"/>
    <col min="3084" max="3084" width="12.28515625" style="45" customWidth="1"/>
    <col min="3085" max="3328" width="9.140625" style="45"/>
    <col min="3329" max="3329" width="8.7109375" style="45" customWidth="1"/>
    <col min="3330" max="3330" width="23" style="45" customWidth="1"/>
    <col min="3331" max="3332" width="15.7109375" style="45" customWidth="1"/>
    <col min="3333" max="3334" width="9.28515625" style="45" bestFit="1" customWidth="1"/>
    <col min="3335" max="3337" width="20.7109375" style="45" customWidth="1"/>
    <col min="3338" max="3338" width="8.7109375" style="45" customWidth="1"/>
    <col min="3339" max="3339" width="11.5703125" style="45" customWidth="1"/>
    <col min="3340" max="3340" width="12.28515625" style="45" customWidth="1"/>
    <col min="3341" max="3584" width="9.140625" style="45"/>
    <col min="3585" max="3585" width="8.7109375" style="45" customWidth="1"/>
    <col min="3586" max="3586" width="23" style="45" customWidth="1"/>
    <col min="3587" max="3588" width="15.7109375" style="45" customWidth="1"/>
    <col min="3589" max="3590" width="9.28515625" style="45" bestFit="1" customWidth="1"/>
    <col min="3591" max="3593" width="20.7109375" style="45" customWidth="1"/>
    <col min="3594" max="3594" width="8.7109375" style="45" customWidth="1"/>
    <col min="3595" max="3595" width="11.5703125" style="45" customWidth="1"/>
    <col min="3596" max="3596" width="12.28515625" style="45" customWidth="1"/>
    <col min="3597" max="3840" width="9.140625" style="45"/>
    <col min="3841" max="3841" width="8.7109375" style="45" customWidth="1"/>
    <col min="3842" max="3842" width="23" style="45" customWidth="1"/>
    <col min="3843" max="3844" width="15.7109375" style="45" customWidth="1"/>
    <col min="3845" max="3846" width="9.28515625" style="45" bestFit="1" customWidth="1"/>
    <col min="3847" max="3849" width="20.7109375" style="45" customWidth="1"/>
    <col min="3850" max="3850" width="8.7109375" style="45" customWidth="1"/>
    <col min="3851" max="3851" width="11.5703125" style="45" customWidth="1"/>
    <col min="3852" max="3852" width="12.28515625" style="45" customWidth="1"/>
    <col min="3853" max="4096" width="9.140625" style="45"/>
    <col min="4097" max="4097" width="8.7109375" style="45" customWidth="1"/>
    <col min="4098" max="4098" width="23" style="45" customWidth="1"/>
    <col min="4099" max="4100" width="15.7109375" style="45" customWidth="1"/>
    <col min="4101" max="4102" width="9.28515625" style="45" bestFit="1" customWidth="1"/>
    <col min="4103" max="4105" width="20.7109375" style="45" customWidth="1"/>
    <col min="4106" max="4106" width="8.7109375" style="45" customWidth="1"/>
    <col min="4107" max="4107" width="11.5703125" style="45" customWidth="1"/>
    <col min="4108" max="4108" width="12.28515625" style="45" customWidth="1"/>
    <col min="4109" max="4352" width="9.140625" style="45"/>
    <col min="4353" max="4353" width="8.7109375" style="45" customWidth="1"/>
    <col min="4354" max="4354" width="23" style="45" customWidth="1"/>
    <col min="4355" max="4356" width="15.7109375" style="45" customWidth="1"/>
    <col min="4357" max="4358" width="9.28515625" style="45" bestFit="1" customWidth="1"/>
    <col min="4359" max="4361" width="20.7109375" style="45" customWidth="1"/>
    <col min="4362" max="4362" width="8.7109375" style="45" customWidth="1"/>
    <col min="4363" max="4363" width="11.5703125" style="45" customWidth="1"/>
    <col min="4364" max="4364" width="12.28515625" style="45" customWidth="1"/>
    <col min="4365" max="4608" width="9.140625" style="45"/>
    <col min="4609" max="4609" width="8.7109375" style="45" customWidth="1"/>
    <col min="4610" max="4610" width="23" style="45" customWidth="1"/>
    <col min="4611" max="4612" width="15.7109375" style="45" customWidth="1"/>
    <col min="4613" max="4614" width="9.28515625" style="45" bestFit="1" customWidth="1"/>
    <col min="4615" max="4617" width="20.7109375" style="45" customWidth="1"/>
    <col min="4618" max="4618" width="8.7109375" style="45" customWidth="1"/>
    <col min="4619" max="4619" width="11.5703125" style="45" customWidth="1"/>
    <col min="4620" max="4620" width="12.28515625" style="45" customWidth="1"/>
    <col min="4621" max="4864" width="9.140625" style="45"/>
    <col min="4865" max="4865" width="8.7109375" style="45" customWidth="1"/>
    <col min="4866" max="4866" width="23" style="45" customWidth="1"/>
    <col min="4867" max="4868" width="15.7109375" style="45" customWidth="1"/>
    <col min="4869" max="4870" width="9.28515625" style="45" bestFit="1" customWidth="1"/>
    <col min="4871" max="4873" width="20.7109375" style="45" customWidth="1"/>
    <col min="4874" max="4874" width="8.7109375" style="45" customWidth="1"/>
    <col min="4875" max="4875" width="11.5703125" style="45" customWidth="1"/>
    <col min="4876" max="4876" width="12.28515625" style="45" customWidth="1"/>
    <col min="4877" max="5120" width="9.140625" style="45"/>
    <col min="5121" max="5121" width="8.7109375" style="45" customWidth="1"/>
    <col min="5122" max="5122" width="23" style="45" customWidth="1"/>
    <col min="5123" max="5124" width="15.7109375" style="45" customWidth="1"/>
    <col min="5125" max="5126" width="9.28515625" style="45" bestFit="1" customWidth="1"/>
    <col min="5127" max="5129" width="20.7109375" style="45" customWidth="1"/>
    <col min="5130" max="5130" width="8.7109375" style="45" customWidth="1"/>
    <col min="5131" max="5131" width="11.5703125" style="45" customWidth="1"/>
    <col min="5132" max="5132" width="12.28515625" style="45" customWidth="1"/>
    <col min="5133" max="5376" width="9.140625" style="45"/>
    <col min="5377" max="5377" width="8.7109375" style="45" customWidth="1"/>
    <col min="5378" max="5378" width="23" style="45" customWidth="1"/>
    <col min="5379" max="5380" width="15.7109375" style="45" customWidth="1"/>
    <col min="5381" max="5382" width="9.28515625" style="45" bestFit="1" customWidth="1"/>
    <col min="5383" max="5385" width="20.7109375" style="45" customWidth="1"/>
    <col min="5386" max="5386" width="8.7109375" style="45" customWidth="1"/>
    <col min="5387" max="5387" width="11.5703125" style="45" customWidth="1"/>
    <col min="5388" max="5388" width="12.28515625" style="45" customWidth="1"/>
    <col min="5389" max="5632" width="9.140625" style="45"/>
    <col min="5633" max="5633" width="8.7109375" style="45" customWidth="1"/>
    <col min="5634" max="5634" width="23" style="45" customWidth="1"/>
    <col min="5635" max="5636" width="15.7109375" style="45" customWidth="1"/>
    <col min="5637" max="5638" width="9.28515625" style="45" bestFit="1" customWidth="1"/>
    <col min="5639" max="5641" width="20.7109375" style="45" customWidth="1"/>
    <col min="5642" max="5642" width="8.7109375" style="45" customWidth="1"/>
    <col min="5643" max="5643" width="11.5703125" style="45" customWidth="1"/>
    <col min="5644" max="5644" width="12.28515625" style="45" customWidth="1"/>
    <col min="5645" max="5888" width="9.140625" style="45"/>
    <col min="5889" max="5889" width="8.7109375" style="45" customWidth="1"/>
    <col min="5890" max="5890" width="23" style="45" customWidth="1"/>
    <col min="5891" max="5892" width="15.7109375" style="45" customWidth="1"/>
    <col min="5893" max="5894" width="9.28515625" style="45" bestFit="1" customWidth="1"/>
    <col min="5895" max="5897" width="20.7109375" style="45" customWidth="1"/>
    <col min="5898" max="5898" width="8.7109375" style="45" customWidth="1"/>
    <col min="5899" max="5899" width="11.5703125" style="45" customWidth="1"/>
    <col min="5900" max="5900" width="12.28515625" style="45" customWidth="1"/>
    <col min="5901" max="6144" width="9.140625" style="45"/>
    <col min="6145" max="6145" width="8.7109375" style="45" customWidth="1"/>
    <col min="6146" max="6146" width="23" style="45" customWidth="1"/>
    <col min="6147" max="6148" width="15.7109375" style="45" customWidth="1"/>
    <col min="6149" max="6150" width="9.28515625" style="45" bestFit="1" customWidth="1"/>
    <col min="6151" max="6153" width="20.7109375" style="45" customWidth="1"/>
    <col min="6154" max="6154" width="8.7109375" style="45" customWidth="1"/>
    <col min="6155" max="6155" width="11.5703125" style="45" customWidth="1"/>
    <col min="6156" max="6156" width="12.28515625" style="45" customWidth="1"/>
    <col min="6157" max="6400" width="9.140625" style="45"/>
    <col min="6401" max="6401" width="8.7109375" style="45" customWidth="1"/>
    <col min="6402" max="6402" width="23" style="45" customWidth="1"/>
    <col min="6403" max="6404" width="15.7109375" style="45" customWidth="1"/>
    <col min="6405" max="6406" width="9.28515625" style="45" bestFit="1" customWidth="1"/>
    <col min="6407" max="6409" width="20.7109375" style="45" customWidth="1"/>
    <col min="6410" max="6410" width="8.7109375" style="45" customWidth="1"/>
    <col min="6411" max="6411" width="11.5703125" style="45" customWidth="1"/>
    <col min="6412" max="6412" width="12.28515625" style="45" customWidth="1"/>
    <col min="6413" max="6656" width="9.140625" style="45"/>
    <col min="6657" max="6657" width="8.7109375" style="45" customWidth="1"/>
    <col min="6658" max="6658" width="23" style="45" customWidth="1"/>
    <col min="6659" max="6660" width="15.7109375" style="45" customWidth="1"/>
    <col min="6661" max="6662" width="9.28515625" style="45" bestFit="1" customWidth="1"/>
    <col min="6663" max="6665" width="20.7109375" style="45" customWidth="1"/>
    <col min="6666" max="6666" width="8.7109375" style="45" customWidth="1"/>
    <col min="6667" max="6667" width="11.5703125" style="45" customWidth="1"/>
    <col min="6668" max="6668" width="12.28515625" style="45" customWidth="1"/>
    <col min="6669" max="6912" width="9.140625" style="45"/>
    <col min="6913" max="6913" width="8.7109375" style="45" customWidth="1"/>
    <col min="6914" max="6914" width="23" style="45" customWidth="1"/>
    <col min="6915" max="6916" width="15.7109375" style="45" customWidth="1"/>
    <col min="6917" max="6918" width="9.28515625" style="45" bestFit="1" customWidth="1"/>
    <col min="6919" max="6921" width="20.7109375" style="45" customWidth="1"/>
    <col min="6922" max="6922" width="8.7109375" style="45" customWidth="1"/>
    <col min="6923" max="6923" width="11.5703125" style="45" customWidth="1"/>
    <col min="6924" max="6924" width="12.28515625" style="45" customWidth="1"/>
    <col min="6925" max="7168" width="9.140625" style="45"/>
    <col min="7169" max="7169" width="8.7109375" style="45" customWidth="1"/>
    <col min="7170" max="7170" width="23" style="45" customWidth="1"/>
    <col min="7171" max="7172" width="15.7109375" style="45" customWidth="1"/>
    <col min="7173" max="7174" width="9.28515625" style="45" bestFit="1" customWidth="1"/>
    <col min="7175" max="7177" width="20.7109375" style="45" customWidth="1"/>
    <col min="7178" max="7178" width="8.7109375" style="45" customWidth="1"/>
    <col min="7179" max="7179" width="11.5703125" style="45" customWidth="1"/>
    <col min="7180" max="7180" width="12.28515625" style="45" customWidth="1"/>
    <col min="7181" max="7424" width="9.140625" style="45"/>
    <col min="7425" max="7425" width="8.7109375" style="45" customWidth="1"/>
    <col min="7426" max="7426" width="23" style="45" customWidth="1"/>
    <col min="7427" max="7428" width="15.7109375" style="45" customWidth="1"/>
    <col min="7429" max="7430" width="9.28515625" style="45" bestFit="1" customWidth="1"/>
    <col min="7431" max="7433" width="20.7109375" style="45" customWidth="1"/>
    <col min="7434" max="7434" width="8.7109375" style="45" customWidth="1"/>
    <col min="7435" max="7435" width="11.5703125" style="45" customWidth="1"/>
    <col min="7436" max="7436" width="12.28515625" style="45" customWidth="1"/>
    <col min="7437" max="7680" width="9.140625" style="45"/>
    <col min="7681" max="7681" width="8.7109375" style="45" customWidth="1"/>
    <col min="7682" max="7682" width="23" style="45" customWidth="1"/>
    <col min="7683" max="7684" width="15.7109375" style="45" customWidth="1"/>
    <col min="7685" max="7686" width="9.28515625" style="45" bestFit="1" customWidth="1"/>
    <col min="7687" max="7689" width="20.7109375" style="45" customWidth="1"/>
    <col min="7690" max="7690" width="8.7109375" style="45" customWidth="1"/>
    <col min="7691" max="7691" width="11.5703125" style="45" customWidth="1"/>
    <col min="7692" max="7692" width="12.28515625" style="45" customWidth="1"/>
    <col min="7693" max="7936" width="9.140625" style="45"/>
    <col min="7937" max="7937" width="8.7109375" style="45" customWidth="1"/>
    <col min="7938" max="7938" width="23" style="45" customWidth="1"/>
    <col min="7939" max="7940" width="15.7109375" style="45" customWidth="1"/>
    <col min="7941" max="7942" width="9.28515625" style="45" bestFit="1" customWidth="1"/>
    <col min="7943" max="7945" width="20.7109375" style="45" customWidth="1"/>
    <col min="7946" max="7946" width="8.7109375" style="45" customWidth="1"/>
    <col min="7947" max="7947" width="11.5703125" style="45" customWidth="1"/>
    <col min="7948" max="7948" width="12.28515625" style="45" customWidth="1"/>
    <col min="7949" max="8192" width="9.140625" style="45"/>
    <col min="8193" max="8193" width="8.7109375" style="45" customWidth="1"/>
    <col min="8194" max="8194" width="23" style="45" customWidth="1"/>
    <col min="8195" max="8196" width="15.7109375" style="45" customWidth="1"/>
    <col min="8197" max="8198" width="9.28515625" style="45" bestFit="1" customWidth="1"/>
    <col min="8199" max="8201" width="20.7109375" style="45" customWidth="1"/>
    <col min="8202" max="8202" width="8.7109375" style="45" customWidth="1"/>
    <col min="8203" max="8203" width="11.5703125" style="45" customWidth="1"/>
    <col min="8204" max="8204" width="12.28515625" style="45" customWidth="1"/>
    <col min="8205" max="8448" width="9.140625" style="45"/>
    <col min="8449" max="8449" width="8.7109375" style="45" customWidth="1"/>
    <col min="8450" max="8450" width="23" style="45" customWidth="1"/>
    <col min="8451" max="8452" width="15.7109375" style="45" customWidth="1"/>
    <col min="8453" max="8454" width="9.28515625" style="45" bestFit="1" customWidth="1"/>
    <col min="8455" max="8457" width="20.7109375" style="45" customWidth="1"/>
    <col min="8458" max="8458" width="8.7109375" style="45" customWidth="1"/>
    <col min="8459" max="8459" width="11.5703125" style="45" customWidth="1"/>
    <col min="8460" max="8460" width="12.28515625" style="45" customWidth="1"/>
    <col min="8461" max="8704" width="9.140625" style="45"/>
    <col min="8705" max="8705" width="8.7109375" style="45" customWidth="1"/>
    <col min="8706" max="8706" width="23" style="45" customWidth="1"/>
    <col min="8707" max="8708" width="15.7109375" style="45" customWidth="1"/>
    <col min="8709" max="8710" width="9.28515625" style="45" bestFit="1" customWidth="1"/>
    <col min="8711" max="8713" width="20.7109375" style="45" customWidth="1"/>
    <col min="8714" max="8714" width="8.7109375" style="45" customWidth="1"/>
    <col min="8715" max="8715" width="11.5703125" style="45" customWidth="1"/>
    <col min="8716" max="8716" width="12.28515625" style="45" customWidth="1"/>
    <col min="8717" max="8960" width="9.140625" style="45"/>
    <col min="8961" max="8961" width="8.7109375" style="45" customWidth="1"/>
    <col min="8962" max="8962" width="23" style="45" customWidth="1"/>
    <col min="8963" max="8964" width="15.7109375" style="45" customWidth="1"/>
    <col min="8965" max="8966" width="9.28515625" style="45" bestFit="1" customWidth="1"/>
    <col min="8967" max="8969" width="20.7109375" style="45" customWidth="1"/>
    <col min="8970" max="8970" width="8.7109375" style="45" customWidth="1"/>
    <col min="8971" max="8971" width="11.5703125" style="45" customWidth="1"/>
    <col min="8972" max="8972" width="12.28515625" style="45" customWidth="1"/>
    <col min="8973" max="9216" width="9.140625" style="45"/>
    <col min="9217" max="9217" width="8.7109375" style="45" customWidth="1"/>
    <col min="9218" max="9218" width="23" style="45" customWidth="1"/>
    <col min="9219" max="9220" width="15.7109375" style="45" customWidth="1"/>
    <col min="9221" max="9222" width="9.28515625" style="45" bestFit="1" customWidth="1"/>
    <col min="9223" max="9225" width="20.7109375" style="45" customWidth="1"/>
    <col min="9226" max="9226" width="8.7109375" style="45" customWidth="1"/>
    <col min="9227" max="9227" width="11.5703125" style="45" customWidth="1"/>
    <col min="9228" max="9228" width="12.28515625" style="45" customWidth="1"/>
    <col min="9229" max="9472" width="9.140625" style="45"/>
    <col min="9473" max="9473" width="8.7109375" style="45" customWidth="1"/>
    <col min="9474" max="9474" width="23" style="45" customWidth="1"/>
    <col min="9475" max="9476" width="15.7109375" style="45" customWidth="1"/>
    <col min="9477" max="9478" width="9.28515625" style="45" bestFit="1" customWidth="1"/>
    <col min="9479" max="9481" width="20.7109375" style="45" customWidth="1"/>
    <col min="9482" max="9482" width="8.7109375" style="45" customWidth="1"/>
    <col min="9483" max="9483" width="11.5703125" style="45" customWidth="1"/>
    <col min="9484" max="9484" width="12.28515625" style="45" customWidth="1"/>
    <col min="9485" max="9728" width="9.140625" style="45"/>
    <col min="9729" max="9729" width="8.7109375" style="45" customWidth="1"/>
    <col min="9730" max="9730" width="23" style="45" customWidth="1"/>
    <col min="9731" max="9732" width="15.7109375" style="45" customWidth="1"/>
    <col min="9733" max="9734" width="9.28515625" style="45" bestFit="1" customWidth="1"/>
    <col min="9735" max="9737" width="20.7109375" style="45" customWidth="1"/>
    <col min="9738" max="9738" width="8.7109375" style="45" customWidth="1"/>
    <col min="9739" max="9739" width="11.5703125" style="45" customWidth="1"/>
    <col min="9740" max="9740" width="12.28515625" style="45" customWidth="1"/>
    <col min="9741" max="9984" width="9.140625" style="45"/>
    <col min="9985" max="9985" width="8.7109375" style="45" customWidth="1"/>
    <col min="9986" max="9986" width="23" style="45" customWidth="1"/>
    <col min="9987" max="9988" width="15.7109375" style="45" customWidth="1"/>
    <col min="9989" max="9990" width="9.28515625" style="45" bestFit="1" customWidth="1"/>
    <col min="9991" max="9993" width="20.7109375" style="45" customWidth="1"/>
    <col min="9994" max="9994" width="8.7109375" style="45" customWidth="1"/>
    <col min="9995" max="9995" width="11.5703125" style="45" customWidth="1"/>
    <col min="9996" max="9996" width="12.28515625" style="45" customWidth="1"/>
    <col min="9997" max="10240" width="9.140625" style="45"/>
    <col min="10241" max="10241" width="8.7109375" style="45" customWidth="1"/>
    <col min="10242" max="10242" width="23" style="45" customWidth="1"/>
    <col min="10243" max="10244" width="15.7109375" style="45" customWidth="1"/>
    <col min="10245" max="10246" width="9.28515625" style="45" bestFit="1" customWidth="1"/>
    <col min="10247" max="10249" width="20.7109375" style="45" customWidth="1"/>
    <col min="10250" max="10250" width="8.7109375" style="45" customWidth="1"/>
    <col min="10251" max="10251" width="11.5703125" style="45" customWidth="1"/>
    <col min="10252" max="10252" width="12.28515625" style="45" customWidth="1"/>
    <col min="10253" max="10496" width="9.140625" style="45"/>
    <col min="10497" max="10497" width="8.7109375" style="45" customWidth="1"/>
    <col min="10498" max="10498" width="23" style="45" customWidth="1"/>
    <col min="10499" max="10500" width="15.7109375" style="45" customWidth="1"/>
    <col min="10501" max="10502" width="9.28515625" style="45" bestFit="1" customWidth="1"/>
    <col min="10503" max="10505" width="20.7109375" style="45" customWidth="1"/>
    <col min="10506" max="10506" width="8.7109375" style="45" customWidth="1"/>
    <col min="10507" max="10507" width="11.5703125" style="45" customWidth="1"/>
    <col min="10508" max="10508" width="12.28515625" style="45" customWidth="1"/>
    <col min="10509" max="10752" width="9.140625" style="45"/>
    <col min="10753" max="10753" width="8.7109375" style="45" customWidth="1"/>
    <col min="10754" max="10754" width="23" style="45" customWidth="1"/>
    <col min="10755" max="10756" width="15.7109375" style="45" customWidth="1"/>
    <col min="10757" max="10758" width="9.28515625" style="45" bestFit="1" customWidth="1"/>
    <col min="10759" max="10761" width="20.7109375" style="45" customWidth="1"/>
    <col min="10762" max="10762" width="8.7109375" style="45" customWidth="1"/>
    <col min="10763" max="10763" width="11.5703125" style="45" customWidth="1"/>
    <col min="10764" max="10764" width="12.28515625" style="45" customWidth="1"/>
    <col min="10765" max="11008" width="9.140625" style="45"/>
    <col min="11009" max="11009" width="8.7109375" style="45" customWidth="1"/>
    <col min="11010" max="11010" width="23" style="45" customWidth="1"/>
    <col min="11011" max="11012" width="15.7109375" style="45" customWidth="1"/>
    <col min="11013" max="11014" width="9.28515625" style="45" bestFit="1" customWidth="1"/>
    <col min="11015" max="11017" width="20.7109375" style="45" customWidth="1"/>
    <col min="11018" max="11018" width="8.7109375" style="45" customWidth="1"/>
    <col min="11019" max="11019" width="11.5703125" style="45" customWidth="1"/>
    <col min="11020" max="11020" width="12.28515625" style="45" customWidth="1"/>
    <col min="11021" max="11264" width="9.140625" style="45"/>
    <col min="11265" max="11265" width="8.7109375" style="45" customWidth="1"/>
    <col min="11266" max="11266" width="23" style="45" customWidth="1"/>
    <col min="11267" max="11268" width="15.7109375" style="45" customWidth="1"/>
    <col min="11269" max="11270" width="9.28515625" style="45" bestFit="1" customWidth="1"/>
    <col min="11271" max="11273" width="20.7109375" style="45" customWidth="1"/>
    <col min="11274" max="11274" width="8.7109375" style="45" customWidth="1"/>
    <col min="11275" max="11275" width="11.5703125" style="45" customWidth="1"/>
    <col min="11276" max="11276" width="12.28515625" style="45" customWidth="1"/>
    <col min="11277" max="11520" width="9.140625" style="45"/>
    <col min="11521" max="11521" width="8.7109375" style="45" customWidth="1"/>
    <col min="11522" max="11522" width="23" style="45" customWidth="1"/>
    <col min="11523" max="11524" width="15.7109375" style="45" customWidth="1"/>
    <col min="11525" max="11526" width="9.28515625" style="45" bestFit="1" customWidth="1"/>
    <col min="11527" max="11529" width="20.7109375" style="45" customWidth="1"/>
    <col min="11530" max="11530" width="8.7109375" style="45" customWidth="1"/>
    <col min="11531" max="11531" width="11.5703125" style="45" customWidth="1"/>
    <col min="11532" max="11532" width="12.28515625" style="45" customWidth="1"/>
    <col min="11533" max="11776" width="9.140625" style="45"/>
    <col min="11777" max="11777" width="8.7109375" style="45" customWidth="1"/>
    <col min="11778" max="11778" width="23" style="45" customWidth="1"/>
    <col min="11779" max="11780" width="15.7109375" style="45" customWidth="1"/>
    <col min="11781" max="11782" width="9.28515625" style="45" bestFit="1" customWidth="1"/>
    <col min="11783" max="11785" width="20.7109375" style="45" customWidth="1"/>
    <col min="11786" max="11786" width="8.7109375" style="45" customWidth="1"/>
    <col min="11787" max="11787" width="11.5703125" style="45" customWidth="1"/>
    <col min="11788" max="11788" width="12.28515625" style="45" customWidth="1"/>
    <col min="11789" max="12032" width="9.140625" style="45"/>
    <col min="12033" max="12033" width="8.7109375" style="45" customWidth="1"/>
    <col min="12034" max="12034" width="23" style="45" customWidth="1"/>
    <col min="12035" max="12036" width="15.7109375" style="45" customWidth="1"/>
    <col min="12037" max="12038" width="9.28515625" style="45" bestFit="1" customWidth="1"/>
    <col min="12039" max="12041" width="20.7109375" style="45" customWidth="1"/>
    <col min="12042" max="12042" width="8.7109375" style="45" customWidth="1"/>
    <col min="12043" max="12043" width="11.5703125" style="45" customWidth="1"/>
    <col min="12044" max="12044" width="12.28515625" style="45" customWidth="1"/>
    <col min="12045" max="12288" width="9.140625" style="45"/>
    <col min="12289" max="12289" width="8.7109375" style="45" customWidth="1"/>
    <col min="12290" max="12290" width="23" style="45" customWidth="1"/>
    <col min="12291" max="12292" width="15.7109375" style="45" customWidth="1"/>
    <col min="12293" max="12294" width="9.28515625" style="45" bestFit="1" customWidth="1"/>
    <col min="12295" max="12297" width="20.7109375" style="45" customWidth="1"/>
    <col min="12298" max="12298" width="8.7109375" style="45" customWidth="1"/>
    <col min="12299" max="12299" width="11.5703125" style="45" customWidth="1"/>
    <col min="12300" max="12300" width="12.28515625" style="45" customWidth="1"/>
    <col min="12301" max="12544" width="9.140625" style="45"/>
    <col min="12545" max="12545" width="8.7109375" style="45" customWidth="1"/>
    <col min="12546" max="12546" width="23" style="45" customWidth="1"/>
    <col min="12547" max="12548" width="15.7109375" style="45" customWidth="1"/>
    <col min="12549" max="12550" width="9.28515625" style="45" bestFit="1" customWidth="1"/>
    <col min="12551" max="12553" width="20.7109375" style="45" customWidth="1"/>
    <col min="12554" max="12554" width="8.7109375" style="45" customWidth="1"/>
    <col min="12555" max="12555" width="11.5703125" style="45" customWidth="1"/>
    <col min="12556" max="12556" width="12.28515625" style="45" customWidth="1"/>
    <col min="12557" max="12800" width="9.140625" style="45"/>
    <col min="12801" max="12801" width="8.7109375" style="45" customWidth="1"/>
    <col min="12802" max="12802" width="23" style="45" customWidth="1"/>
    <col min="12803" max="12804" width="15.7109375" style="45" customWidth="1"/>
    <col min="12805" max="12806" width="9.28515625" style="45" bestFit="1" customWidth="1"/>
    <col min="12807" max="12809" width="20.7109375" style="45" customWidth="1"/>
    <col min="12810" max="12810" width="8.7109375" style="45" customWidth="1"/>
    <col min="12811" max="12811" width="11.5703125" style="45" customWidth="1"/>
    <col min="12812" max="12812" width="12.28515625" style="45" customWidth="1"/>
    <col min="12813" max="13056" width="9.140625" style="45"/>
    <col min="13057" max="13057" width="8.7109375" style="45" customWidth="1"/>
    <col min="13058" max="13058" width="23" style="45" customWidth="1"/>
    <col min="13059" max="13060" width="15.7109375" style="45" customWidth="1"/>
    <col min="13061" max="13062" width="9.28515625" style="45" bestFit="1" customWidth="1"/>
    <col min="13063" max="13065" width="20.7109375" style="45" customWidth="1"/>
    <col min="13066" max="13066" width="8.7109375" style="45" customWidth="1"/>
    <col min="13067" max="13067" width="11.5703125" style="45" customWidth="1"/>
    <col min="13068" max="13068" width="12.28515625" style="45" customWidth="1"/>
    <col min="13069" max="13312" width="9.140625" style="45"/>
    <col min="13313" max="13313" width="8.7109375" style="45" customWidth="1"/>
    <col min="13314" max="13314" width="23" style="45" customWidth="1"/>
    <col min="13315" max="13316" width="15.7109375" style="45" customWidth="1"/>
    <col min="13317" max="13318" width="9.28515625" style="45" bestFit="1" customWidth="1"/>
    <col min="13319" max="13321" width="20.7109375" style="45" customWidth="1"/>
    <col min="13322" max="13322" width="8.7109375" style="45" customWidth="1"/>
    <col min="13323" max="13323" width="11.5703125" style="45" customWidth="1"/>
    <col min="13324" max="13324" width="12.28515625" style="45" customWidth="1"/>
    <col min="13325" max="13568" width="9.140625" style="45"/>
    <col min="13569" max="13569" width="8.7109375" style="45" customWidth="1"/>
    <col min="13570" max="13570" width="23" style="45" customWidth="1"/>
    <col min="13571" max="13572" width="15.7109375" style="45" customWidth="1"/>
    <col min="13573" max="13574" width="9.28515625" style="45" bestFit="1" customWidth="1"/>
    <col min="13575" max="13577" width="20.7109375" style="45" customWidth="1"/>
    <col min="13578" max="13578" width="8.7109375" style="45" customWidth="1"/>
    <col min="13579" max="13579" width="11.5703125" style="45" customWidth="1"/>
    <col min="13580" max="13580" width="12.28515625" style="45" customWidth="1"/>
    <col min="13581" max="13824" width="9.140625" style="45"/>
    <col min="13825" max="13825" width="8.7109375" style="45" customWidth="1"/>
    <col min="13826" max="13826" width="23" style="45" customWidth="1"/>
    <col min="13827" max="13828" width="15.7109375" style="45" customWidth="1"/>
    <col min="13829" max="13830" width="9.28515625" style="45" bestFit="1" customWidth="1"/>
    <col min="13831" max="13833" width="20.7109375" style="45" customWidth="1"/>
    <col min="13834" max="13834" width="8.7109375" style="45" customWidth="1"/>
    <col min="13835" max="13835" width="11.5703125" style="45" customWidth="1"/>
    <col min="13836" max="13836" width="12.28515625" style="45" customWidth="1"/>
    <col min="13837" max="14080" width="9.140625" style="45"/>
    <col min="14081" max="14081" width="8.7109375" style="45" customWidth="1"/>
    <col min="14082" max="14082" width="23" style="45" customWidth="1"/>
    <col min="14083" max="14084" width="15.7109375" style="45" customWidth="1"/>
    <col min="14085" max="14086" width="9.28515625" style="45" bestFit="1" customWidth="1"/>
    <col min="14087" max="14089" width="20.7109375" style="45" customWidth="1"/>
    <col min="14090" max="14090" width="8.7109375" style="45" customWidth="1"/>
    <col min="14091" max="14091" width="11.5703125" style="45" customWidth="1"/>
    <col min="14092" max="14092" width="12.28515625" style="45" customWidth="1"/>
    <col min="14093" max="14336" width="9.140625" style="45"/>
    <col min="14337" max="14337" width="8.7109375" style="45" customWidth="1"/>
    <col min="14338" max="14338" width="23" style="45" customWidth="1"/>
    <col min="14339" max="14340" width="15.7109375" style="45" customWidth="1"/>
    <col min="14341" max="14342" width="9.28515625" style="45" bestFit="1" customWidth="1"/>
    <col min="14343" max="14345" width="20.7109375" style="45" customWidth="1"/>
    <col min="14346" max="14346" width="8.7109375" style="45" customWidth="1"/>
    <col min="14347" max="14347" width="11.5703125" style="45" customWidth="1"/>
    <col min="14348" max="14348" width="12.28515625" style="45" customWidth="1"/>
    <col min="14349" max="14592" width="9.140625" style="45"/>
    <col min="14593" max="14593" width="8.7109375" style="45" customWidth="1"/>
    <col min="14594" max="14594" width="23" style="45" customWidth="1"/>
    <col min="14595" max="14596" width="15.7109375" style="45" customWidth="1"/>
    <col min="14597" max="14598" width="9.28515625" style="45" bestFit="1" customWidth="1"/>
    <col min="14599" max="14601" width="20.7109375" style="45" customWidth="1"/>
    <col min="14602" max="14602" width="8.7109375" style="45" customWidth="1"/>
    <col min="14603" max="14603" width="11.5703125" style="45" customWidth="1"/>
    <col min="14604" max="14604" width="12.28515625" style="45" customWidth="1"/>
    <col min="14605" max="14848" width="9.140625" style="45"/>
    <col min="14849" max="14849" width="8.7109375" style="45" customWidth="1"/>
    <col min="14850" max="14850" width="23" style="45" customWidth="1"/>
    <col min="14851" max="14852" width="15.7109375" style="45" customWidth="1"/>
    <col min="14853" max="14854" width="9.28515625" style="45" bestFit="1" customWidth="1"/>
    <col min="14855" max="14857" width="20.7109375" style="45" customWidth="1"/>
    <col min="14858" max="14858" width="8.7109375" style="45" customWidth="1"/>
    <col min="14859" max="14859" width="11.5703125" style="45" customWidth="1"/>
    <col min="14860" max="14860" width="12.28515625" style="45" customWidth="1"/>
    <col min="14861" max="15104" width="9.140625" style="45"/>
    <col min="15105" max="15105" width="8.7109375" style="45" customWidth="1"/>
    <col min="15106" max="15106" width="23" style="45" customWidth="1"/>
    <col min="15107" max="15108" width="15.7109375" style="45" customWidth="1"/>
    <col min="15109" max="15110" width="9.28515625" style="45" bestFit="1" customWidth="1"/>
    <col min="15111" max="15113" width="20.7109375" style="45" customWidth="1"/>
    <col min="15114" max="15114" width="8.7109375" style="45" customWidth="1"/>
    <col min="15115" max="15115" width="11.5703125" style="45" customWidth="1"/>
    <col min="15116" max="15116" width="12.28515625" style="45" customWidth="1"/>
    <col min="15117" max="15360" width="9.140625" style="45"/>
    <col min="15361" max="15361" width="8.7109375" style="45" customWidth="1"/>
    <col min="15362" max="15362" width="23" style="45" customWidth="1"/>
    <col min="15363" max="15364" width="15.7109375" style="45" customWidth="1"/>
    <col min="15365" max="15366" width="9.28515625" style="45" bestFit="1" customWidth="1"/>
    <col min="15367" max="15369" width="20.7109375" style="45" customWidth="1"/>
    <col min="15370" max="15370" width="8.7109375" style="45" customWidth="1"/>
    <col min="15371" max="15371" width="11.5703125" style="45" customWidth="1"/>
    <col min="15372" max="15372" width="12.28515625" style="45" customWidth="1"/>
    <col min="15373" max="15616" width="9.140625" style="45"/>
    <col min="15617" max="15617" width="8.7109375" style="45" customWidth="1"/>
    <col min="15618" max="15618" width="23" style="45" customWidth="1"/>
    <col min="15619" max="15620" width="15.7109375" style="45" customWidth="1"/>
    <col min="15621" max="15622" width="9.28515625" style="45" bestFit="1" customWidth="1"/>
    <col min="15623" max="15625" width="20.7109375" style="45" customWidth="1"/>
    <col min="15626" max="15626" width="8.7109375" style="45" customWidth="1"/>
    <col min="15627" max="15627" width="11.5703125" style="45" customWidth="1"/>
    <col min="15628" max="15628" width="12.28515625" style="45" customWidth="1"/>
    <col min="15629" max="15872" width="9.140625" style="45"/>
    <col min="15873" max="15873" width="8.7109375" style="45" customWidth="1"/>
    <col min="15874" max="15874" width="23" style="45" customWidth="1"/>
    <col min="15875" max="15876" width="15.7109375" style="45" customWidth="1"/>
    <col min="15877" max="15878" width="9.28515625" style="45" bestFit="1" customWidth="1"/>
    <col min="15879" max="15881" width="20.7109375" style="45" customWidth="1"/>
    <col min="15882" max="15882" width="8.7109375" style="45" customWidth="1"/>
    <col min="15883" max="15883" width="11.5703125" style="45" customWidth="1"/>
    <col min="15884" max="15884" width="12.28515625" style="45" customWidth="1"/>
    <col min="15885" max="16128" width="9.140625" style="45"/>
    <col min="16129" max="16129" width="8.7109375" style="45" customWidth="1"/>
    <col min="16130" max="16130" width="23" style="45" customWidth="1"/>
    <col min="16131" max="16132" width="15.7109375" style="45" customWidth="1"/>
    <col min="16133" max="16134" width="9.28515625" style="45" bestFit="1" customWidth="1"/>
    <col min="16135" max="16137" width="20.7109375" style="45" customWidth="1"/>
    <col min="16138" max="16138" width="8.7109375" style="45" customWidth="1"/>
    <col min="16139" max="16139" width="11.5703125" style="45" customWidth="1"/>
    <col min="16140" max="16140" width="12.28515625" style="45" customWidth="1"/>
    <col min="16141" max="16384" width="9.140625" style="45"/>
  </cols>
  <sheetData>
    <row r="1" spans="1:12" ht="15" x14ac:dyDescent="0.2">
      <c r="A1" s="39"/>
      <c r="B1" s="40"/>
      <c r="C1" s="41" t="s">
        <v>15</v>
      </c>
      <c r="D1" s="40"/>
      <c r="E1" s="40"/>
      <c r="F1" s="40"/>
      <c r="G1" s="40"/>
      <c r="H1" s="40"/>
      <c r="I1" s="40"/>
      <c r="J1" s="42"/>
    </row>
    <row r="2" spans="1:12" x14ac:dyDescent="0.2">
      <c r="A2" s="46"/>
      <c r="B2" s="47"/>
      <c r="C2" s="47"/>
      <c r="D2" s="47"/>
      <c r="E2" s="47"/>
      <c r="F2" s="47"/>
      <c r="G2" s="47"/>
      <c r="H2" s="47"/>
      <c r="I2" s="47"/>
      <c r="J2" s="48"/>
    </row>
    <row r="3" spans="1:12" x14ac:dyDescent="0.2">
      <c r="A3" s="46"/>
      <c r="B3" s="47" t="s">
        <v>16</v>
      </c>
      <c r="C3" s="113"/>
      <c r="D3" s="113"/>
      <c r="E3" s="113"/>
      <c r="F3" s="113"/>
      <c r="G3" s="47"/>
      <c r="H3" s="47"/>
      <c r="I3" s="47"/>
      <c r="J3" s="48"/>
    </row>
    <row r="4" spans="1:12" x14ac:dyDescent="0.2">
      <c r="A4" s="46"/>
      <c r="B4" s="47" t="s">
        <v>17</v>
      </c>
      <c r="C4" s="115"/>
      <c r="D4" s="115"/>
      <c r="E4" s="115"/>
      <c r="F4" s="115"/>
      <c r="G4" s="47"/>
      <c r="H4" s="47"/>
      <c r="I4" s="47"/>
      <c r="J4" s="48"/>
    </row>
    <row r="5" spans="1:12" x14ac:dyDescent="0.2">
      <c r="A5" s="46"/>
      <c r="B5" s="47" t="s">
        <v>18</v>
      </c>
      <c r="C5" s="49"/>
      <c r="D5" s="49" t="s">
        <v>19</v>
      </c>
      <c r="E5" s="49"/>
      <c r="F5" s="49"/>
      <c r="G5" s="47"/>
      <c r="H5" s="47"/>
      <c r="I5" s="47"/>
      <c r="J5" s="48"/>
    </row>
    <row r="6" spans="1:12" x14ac:dyDescent="0.2">
      <c r="A6" s="46"/>
      <c r="B6" s="47"/>
      <c r="C6" s="47"/>
      <c r="D6" s="47"/>
      <c r="E6" s="47"/>
      <c r="F6" s="47"/>
      <c r="G6" s="47"/>
      <c r="H6" s="47"/>
      <c r="I6" s="47"/>
      <c r="J6" s="48"/>
    </row>
    <row r="7" spans="1:12" x14ac:dyDescent="0.2">
      <c r="A7" s="46"/>
      <c r="B7" s="47"/>
      <c r="C7" s="47"/>
      <c r="D7" s="47"/>
      <c r="E7" s="47"/>
      <c r="F7" s="47"/>
      <c r="G7" s="47"/>
      <c r="H7" s="47"/>
      <c r="I7" s="47"/>
      <c r="J7" s="48"/>
    </row>
    <row r="8" spans="1:12" x14ac:dyDescent="0.2">
      <c r="A8" s="46"/>
      <c r="B8" s="50" t="s">
        <v>20</v>
      </c>
      <c r="C8" s="47"/>
      <c r="D8" s="47"/>
      <c r="E8" s="47"/>
      <c r="F8" s="47"/>
      <c r="G8" s="47"/>
      <c r="H8" s="47"/>
      <c r="I8" s="47"/>
      <c r="J8" s="48"/>
    </row>
    <row r="9" spans="1:12" x14ac:dyDescent="0.2">
      <c r="A9" s="46"/>
      <c r="B9" s="47"/>
      <c r="C9" s="47"/>
      <c r="D9" s="47"/>
      <c r="E9" s="47"/>
      <c r="F9" s="47"/>
      <c r="G9" s="47"/>
      <c r="H9" s="47"/>
      <c r="I9" s="47"/>
      <c r="J9" s="48"/>
    </row>
    <row r="10" spans="1:12" x14ac:dyDescent="0.2">
      <c r="A10" s="46"/>
      <c r="B10" s="47" t="s">
        <v>21</v>
      </c>
      <c r="C10" s="113"/>
      <c r="D10" s="113"/>
      <c r="E10" s="113"/>
      <c r="F10" s="113"/>
      <c r="G10" s="47"/>
      <c r="H10" s="47"/>
      <c r="I10" s="47"/>
      <c r="J10" s="48"/>
    </row>
    <row r="11" spans="1:12" x14ac:dyDescent="0.2">
      <c r="A11" s="46"/>
      <c r="B11" s="47"/>
      <c r="C11" s="47"/>
      <c r="D11" s="47"/>
      <c r="E11" s="47"/>
      <c r="F11" s="47"/>
      <c r="G11" s="47"/>
      <c r="H11" s="47"/>
      <c r="I11" s="47"/>
      <c r="J11" s="48"/>
    </row>
    <row r="12" spans="1:12" x14ac:dyDescent="0.2">
      <c r="A12" s="46"/>
      <c r="B12" s="47"/>
      <c r="C12" s="47"/>
      <c r="D12" s="47"/>
      <c r="E12" s="47"/>
      <c r="F12" s="47"/>
      <c r="G12" s="47"/>
      <c r="H12" s="47"/>
      <c r="I12" s="47"/>
      <c r="J12" s="48"/>
    </row>
    <row r="13" spans="1:12" ht="38.25" x14ac:dyDescent="0.2">
      <c r="A13" s="46"/>
      <c r="B13" s="51" t="s">
        <v>22</v>
      </c>
      <c r="C13" s="51" t="s">
        <v>23</v>
      </c>
      <c r="D13" s="51" t="s">
        <v>24</v>
      </c>
      <c r="E13" s="51" t="s">
        <v>25</v>
      </c>
      <c r="F13" s="51" t="s">
        <v>26</v>
      </c>
      <c r="G13" s="51" t="s">
        <v>27</v>
      </c>
      <c r="H13" s="51" t="s">
        <v>28</v>
      </c>
      <c r="I13" s="51" t="s">
        <v>29</v>
      </c>
      <c r="J13" s="48"/>
    </row>
    <row r="14" spans="1:12" x14ac:dyDescent="0.2">
      <c r="A14" s="46"/>
      <c r="B14" s="47" t="s">
        <v>30</v>
      </c>
      <c r="C14" s="52"/>
      <c r="D14" s="52"/>
      <c r="E14" s="53">
        <v>4.5999999999999999E-2</v>
      </c>
      <c r="F14" s="54">
        <v>360</v>
      </c>
      <c r="G14" s="55">
        <f>IF(D14=0,0,(ROUND(PMT(E14/12,F14,-D14),2)*12))</f>
        <v>0</v>
      </c>
      <c r="H14" s="56"/>
      <c r="I14" s="57">
        <f>12*H14</f>
        <v>0</v>
      </c>
      <c r="J14" s="48"/>
      <c r="K14" s="58"/>
      <c r="L14" s="59"/>
    </row>
    <row r="15" spans="1:12" x14ac:dyDescent="0.2">
      <c r="A15" s="46"/>
      <c r="B15" s="47" t="s">
        <v>31</v>
      </c>
      <c r="C15" s="52"/>
      <c r="D15" s="52"/>
      <c r="E15" s="53">
        <v>0</v>
      </c>
      <c r="F15" s="54">
        <v>0</v>
      </c>
      <c r="G15" s="55">
        <f t="shared" ref="G15:G23" si="0">IF(D15=0,0,(ROUND(PMT(E15/12,F15,-D15),2)*12))</f>
        <v>0</v>
      </c>
      <c r="H15" s="56"/>
      <c r="I15" s="57">
        <f t="shared" ref="I15:I23" si="1">12*H15</f>
        <v>0</v>
      </c>
      <c r="J15" s="48"/>
      <c r="K15" s="58"/>
      <c r="L15" s="59"/>
    </row>
    <row r="16" spans="1:12" x14ac:dyDescent="0.2">
      <c r="A16" s="46"/>
      <c r="B16" s="47" t="s">
        <v>32</v>
      </c>
      <c r="C16" s="52"/>
      <c r="D16" s="52"/>
      <c r="E16" s="53">
        <v>4.5999999999999999E-2</v>
      </c>
      <c r="F16" s="54">
        <v>300</v>
      </c>
      <c r="G16" s="55">
        <f t="shared" si="0"/>
        <v>0</v>
      </c>
      <c r="H16" s="56"/>
      <c r="I16" s="57">
        <f t="shared" si="1"/>
        <v>0</v>
      </c>
      <c r="J16" s="48"/>
      <c r="K16" s="58"/>
      <c r="L16" s="59"/>
    </row>
    <row r="17" spans="1:12" x14ac:dyDescent="0.2">
      <c r="A17" s="46"/>
      <c r="B17" s="47" t="s">
        <v>33</v>
      </c>
      <c r="C17" s="52"/>
      <c r="D17" s="52"/>
      <c r="E17" s="53">
        <v>4.5999999999999999E-2</v>
      </c>
      <c r="F17" s="54">
        <v>300</v>
      </c>
      <c r="G17" s="55">
        <f t="shared" si="0"/>
        <v>0</v>
      </c>
      <c r="H17" s="56"/>
      <c r="I17" s="57">
        <f t="shared" si="1"/>
        <v>0</v>
      </c>
      <c r="J17" s="48"/>
      <c r="K17" s="58"/>
      <c r="L17" s="59"/>
    </row>
    <row r="18" spans="1:12" x14ac:dyDescent="0.2">
      <c r="A18" s="46"/>
      <c r="B18" s="47" t="s">
        <v>34</v>
      </c>
      <c r="C18" s="52"/>
      <c r="D18" s="52"/>
      <c r="E18" s="53">
        <v>4.5999999999999999E-2</v>
      </c>
      <c r="F18" s="54">
        <v>300</v>
      </c>
      <c r="G18" s="55">
        <f t="shared" si="0"/>
        <v>0</v>
      </c>
      <c r="H18" s="56"/>
      <c r="I18" s="57">
        <f t="shared" si="1"/>
        <v>0</v>
      </c>
      <c r="J18" s="48"/>
      <c r="K18" s="58"/>
      <c r="L18" s="59"/>
    </row>
    <row r="19" spans="1:12" x14ac:dyDescent="0.2">
      <c r="A19" s="46"/>
      <c r="B19" s="47" t="s">
        <v>35</v>
      </c>
      <c r="C19" s="52"/>
      <c r="D19" s="52"/>
      <c r="E19" s="53">
        <v>4.5999999999999999E-2</v>
      </c>
      <c r="F19" s="54">
        <v>300</v>
      </c>
      <c r="G19" s="55">
        <f t="shared" si="0"/>
        <v>0</v>
      </c>
      <c r="H19" s="56"/>
      <c r="I19" s="57">
        <f t="shared" si="1"/>
        <v>0</v>
      </c>
      <c r="J19" s="48"/>
      <c r="K19" s="58"/>
      <c r="L19" s="59"/>
    </row>
    <row r="20" spans="1:12" x14ac:dyDescent="0.2">
      <c r="A20" s="46"/>
      <c r="B20" s="47" t="s">
        <v>36</v>
      </c>
      <c r="C20" s="52">
        <v>0</v>
      </c>
      <c r="D20" s="52">
        <v>0</v>
      </c>
      <c r="E20" s="53">
        <v>0</v>
      </c>
      <c r="F20" s="54">
        <v>0</v>
      </c>
      <c r="G20" s="55">
        <f t="shared" si="0"/>
        <v>0</v>
      </c>
      <c r="H20" s="56">
        <v>0</v>
      </c>
      <c r="I20" s="57">
        <f t="shared" si="1"/>
        <v>0</v>
      </c>
      <c r="J20" s="48"/>
      <c r="K20" s="58"/>
      <c r="L20" s="59"/>
    </row>
    <row r="21" spans="1:12" x14ac:dyDescent="0.2">
      <c r="A21" s="46"/>
      <c r="B21" s="47" t="s">
        <v>37</v>
      </c>
      <c r="C21" s="52">
        <v>0</v>
      </c>
      <c r="D21" s="52">
        <v>0</v>
      </c>
      <c r="E21" s="53">
        <v>0</v>
      </c>
      <c r="F21" s="54">
        <v>0</v>
      </c>
      <c r="G21" s="55">
        <f t="shared" si="0"/>
        <v>0</v>
      </c>
      <c r="H21" s="56">
        <v>0</v>
      </c>
      <c r="I21" s="57">
        <f t="shared" si="1"/>
        <v>0</v>
      </c>
      <c r="J21" s="48"/>
      <c r="K21" s="58"/>
      <c r="L21" s="59"/>
    </row>
    <row r="22" spans="1:12" x14ac:dyDescent="0.2">
      <c r="A22" s="46"/>
      <c r="B22" s="47" t="s">
        <v>38</v>
      </c>
      <c r="C22" s="52">
        <v>0</v>
      </c>
      <c r="D22" s="52">
        <v>0</v>
      </c>
      <c r="E22" s="53">
        <v>0</v>
      </c>
      <c r="F22" s="54">
        <v>0</v>
      </c>
      <c r="G22" s="55">
        <f t="shared" si="0"/>
        <v>0</v>
      </c>
      <c r="H22" s="56">
        <v>0</v>
      </c>
      <c r="I22" s="57">
        <f t="shared" si="1"/>
        <v>0</v>
      </c>
      <c r="J22" s="48"/>
      <c r="K22" s="58"/>
      <c r="L22" s="59"/>
    </row>
    <row r="23" spans="1:12" x14ac:dyDescent="0.2">
      <c r="A23" s="46"/>
      <c r="B23" s="47" t="s">
        <v>39</v>
      </c>
      <c r="C23" s="52">
        <v>0</v>
      </c>
      <c r="D23" s="52">
        <v>0</v>
      </c>
      <c r="E23" s="53">
        <v>0</v>
      </c>
      <c r="F23" s="54">
        <v>0</v>
      </c>
      <c r="G23" s="55">
        <f t="shared" si="0"/>
        <v>0</v>
      </c>
      <c r="H23" s="56">
        <v>0</v>
      </c>
      <c r="I23" s="57">
        <f t="shared" si="1"/>
        <v>0</v>
      </c>
      <c r="J23" s="60"/>
      <c r="K23" s="58"/>
      <c r="L23" s="59"/>
    </row>
    <row r="24" spans="1:12" ht="13.5" thickBot="1" x14ac:dyDescent="0.25">
      <c r="A24" s="46"/>
      <c r="B24" s="61" t="s">
        <v>40</v>
      </c>
      <c r="C24" s="62"/>
      <c r="D24" s="62"/>
      <c r="E24" s="63"/>
      <c r="F24" s="64"/>
      <c r="G24" s="65">
        <f>SUM(G14:G23)</f>
        <v>0</v>
      </c>
      <c r="H24" s="65"/>
      <c r="I24" s="65">
        <f>SUM(I14:I23)</f>
        <v>0</v>
      </c>
      <c r="J24" s="48"/>
      <c r="K24" s="58">
        <f>SUM(I14:I23)</f>
        <v>0</v>
      </c>
      <c r="L24" s="59"/>
    </row>
    <row r="25" spans="1:12" ht="13.5" thickTop="1" x14ac:dyDescent="0.2">
      <c r="A25" s="46"/>
      <c r="B25" s="47"/>
      <c r="C25" s="62"/>
      <c r="D25" s="62"/>
      <c r="E25" s="63"/>
      <c r="F25" s="64"/>
      <c r="G25" s="62"/>
      <c r="H25" s="62"/>
      <c r="I25" s="47"/>
      <c r="J25" s="48"/>
      <c r="K25" s="58"/>
      <c r="L25" s="59"/>
    </row>
    <row r="26" spans="1:12" x14ac:dyDescent="0.2">
      <c r="A26" s="46"/>
      <c r="B26" s="47" t="s">
        <v>41</v>
      </c>
      <c r="C26" s="52"/>
      <c r="D26" s="52">
        <v>3000</v>
      </c>
      <c r="E26" s="53">
        <v>0.15</v>
      </c>
      <c r="F26" s="54">
        <v>84</v>
      </c>
      <c r="G26" s="55">
        <f>IF(D26=0,0,(ROUND(PMT(E26/12,F26,-D26),2)*12))</f>
        <v>694.68000000000006</v>
      </c>
      <c r="H26" s="56">
        <v>0</v>
      </c>
      <c r="I26" s="57">
        <f>12*H26</f>
        <v>0</v>
      </c>
      <c r="J26" s="48"/>
      <c r="K26" s="58"/>
      <c r="L26" s="59"/>
    </row>
    <row r="27" spans="1:12" x14ac:dyDescent="0.2">
      <c r="A27" s="46"/>
      <c r="B27" s="47" t="s">
        <v>42</v>
      </c>
      <c r="C27" s="52"/>
      <c r="D27" s="52"/>
      <c r="E27" s="53">
        <v>0.15</v>
      </c>
      <c r="F27" s="54">
        <v>84</v>
      </c>
      <c r="G27" s="55">
        <f t="shared" ref="G27:G35" si="2">IF(D27=0,0,(ROUND(PMT(E27/12,F27,-D27),2)*12))</f>
        <v>0</v>
      </c>
      <c r="H27" s="56">
        <v>0</v>
      </c>
      <c r="I27" s="57">
        <f t="shared" ref="I27:I35" si="3">12*H27</f>
        <v>0</v>
      </c>
      <c r="J27" s="48"/>
      <c r="K27" s="58"/>
      <c r="L27" s="59"/>
    </row>
    <row r="28" spans="1:12" x14ac:dyDescent="0.2">
      <c r="A28" s="46"/>
      <c r="B28" s="47" t="s">
        <v>43</v>
      </c>
      <c r="C28" s="52"/>
      <c r="D28" s="52"/>
      <c r="E28" s="53">
        <v>0.15</v>
      </c>
      <c r="F28" s="54">
        <v>84</v>
      </c>
      <c r="G28" s="55">
        <f t="shared" si="2"/>
        <v>0</v>
      </c>
      <c r="H28" s="56">
        <v>0</v>
      </c>
      <c r="I28" s="57">
        <f t="shared" si="3"/>
        <v>0</v>
      </c>
      <c r="J28" s="48"/>
      <c r="K28" s="58"/>
      <c r="L28" s="59"/>
    </row>
    <row r="29" spans="1:12" x14ac:dyDescent="0.2">
      <c r="A29" s="46"/>
      <c r="B29" s="47" t="s">
        <v>44</v>
      </c>
      <c r="C29" s="52"/>
      <c r="D29" s="52"/>
      <c r="E29" s="53">
        <v>0</v>
      </c>
      <c r="F29" s="54">
        <v>60</v>
      </c>
      <c r="G29" s="55">
        <f t="shared" si="2"/>
        <v>0</v>
      </c>
      <c r="H29" s="56">
        <v>0</v>
      </c>
      <c r="I29" s="57">
        <f t="shared" si="3"/>
        <v>0</v>
      </c>
      <c r="J29" s="48"/>
      <c r="K29" s="58"/>
      <c r="L29" s="59"/>
    </row>
    <row r="30" spans="1:12" x14ac:dyDescent="0.2">
      <c r="A30" s="46"/>
      <c r="B30" s="47" t="s">
        <v>45</v>
      </c>
      <c r="C30" s="52"/>
      <c r="D30" s="52"/>
      <c r="E30" s="53">
        <v>0</v>
      </c>
      <c r="F30" s="54">
        <v>60</v>
      </c>
      <c r="G30" s="55">
        <f t="shared" si="2"/>
        <v>0</v>
      </c>
      <c r="H30" s="56">
        <v>0</v>
      </c>
      <c r="I30" s="57">
        <f t="shared" si="3"/>
        <v>0</v>
      </c>
      <c r="J30" s="48"/>
      <c r="K30" s="58"/>
      <c r="L30" s="59"/>
    </row>
    <row r="31" spans="1:12" x14ac:dyDescent="0.2">
      <c r="A31" s="46"/>
      <c r="B31" s="47" t="s">
        <v>46</v>
      </c>
      <c r="C31" s="52">
        <v>0</v>
      </c>
      <c r="D31" s="52">
        <v>0</v>
      </c>
      <c r="E31" s="53">
        <v>0</v>
      </c>
      <c r="F31" s="54">
        <v>0</v>
      </c>
      <c r="G31" s="55">
        <f t="shared" si="2"/>
        <v>0</v>
      </c>
      <c r="H31" s="56">
        <v>0</v>
      </c>
      <c r="I31" s="57">
        <f t="shared" si="3"/>
        <v>0</v>
      </c>
      <c r="J31" s="48"/>
      <c r="K31" s="58"/>
      <c r="L31" s="59"/>
    </row>
    <row r="32" spans="1:12" x14ac:dyDescent="0.2">
      <c r="A32" s="46"/>
      <c r="B32" s="47" t="s">
        <v>47</v>
      </c>
      <c r="C32" s="52">
        <v>0</v>
      </c>
      <c r="D32" s="52">
        <v>0</v>
      </c>
      <c r="E32" s="53">
        <v>0</v>
      </c>
      <c r="F32" s="54">
        <v>0</v>
      </c>
      <c r="G32" s="55">
        <f t="shared" si="2"/>
        <v>0</v>
      </c>
      <c r="H32" s="56">
        <v>0</v>
      </c>
      <c r="I32" s="57">
        <f t="shared" si="3"/>
        <v>0</v>
      </c>
      <c r="J32" s="48"/>
      <c r="K32" s="58"/>
      <c r="L32" s="59"/>
    </row>
    <row r="33" spans="1:12" x14ac:dyDescent="0.2">
      <c r="A33" s="46"/>
      <c r="B33" s="47" t="s">
        <v>48</v>
      </c>
      <c r="C33" s="52">
        <v>0</v>
      </c>
      <c r="D33" s="52">
        <v>0</v>
      </c>
      <c r="E33" s="53">
        <v>0</v>
      </c>
      <c r="F33" s="54">
        <v>0</v>
      </c>
      <c r="G33" s="55">
        <f t="shared" si="2"/>
        <v>0</v>
      </c>
      <c r="H33" s="56">
        <v>0</v>
      </c>
      <c r="I33" s="57">
        <f t="shared" si="3"/>
        <v>0</v>
      </c>
      <c r="J33" s="48"/>
      <c r="K33" s="58"/>
      <c r="L33" s="59"/>
    </row>
    <row r="34" spans="1:12" x14ac:dyDescent="0.2">
      <c r="A34" s="46"/>
      <c r="B34" s="47" t="s">
        <v>49</v>
      </c>
      <c r="C34" s="52">
        <v>0</v>
      </c>
      <c r="D34" s="52">
        <v>0</v>
      </c>
      <c r="E34" s="53">
        <v>0</v>
      </c>
      <c r="F34" s="54">
        <v>0</v>
      </c>
      <c r="G34" s="55">
        <f t="shared" si="2"/>
        <v>0</v>
      </c>
      <c r="H34" s="56">
        <v>0</v>
      </c>
      <c r="I34" s="57">
        <f t="shared" si="3"/>
        <v>0</v>
      </c>
      <c r="J34" s="48"/>
      <c r="K34" s="58"/>
      <c r="L34" s="59"/>
    </row>
    <row r="35" spans="1:12" x14ac:dyDescent="0.2">
      <c r="A35" s="46"/>
      <c r="B35" s="47" t="s">
        <v>50</v>
      </c>
      <c r="C35" s="52">
        <v>0</v>
      </c>
      <c r="D35" s="52">
        <v>0</v>
      </c>
      <c r="E35" s="53">
        <v>0</v>
      </c>
      <c r="F35" s="54">
        <v>0</v>
      </c>
      <c r="G35" s="55">
        <f t="shared" si="2"/>
        <v>0</v>
      </c>
      <c r="H35" s="56">
        <v>0</v>
      </c>
      <c r="I35" s="57">
        <f t="shared" si="3"/>
        <v>0</v>
      </c>
      <c r="J35" s="48"/>
      <c r="K35" s="58"/>
      <c r="L35" s="59"/>
    </row>
    <row r="36" spans="1:12" ht="13.5" thickBot="1" x14ac:dyDescent="0.25">
      <c r="A36" s="46"/>
      <c r="B36" s="61" t="s">
        <v>40</v>
      </c>
      <c r="C36" s="62"/>
      <c r="D36" s="62"/>
      <c r="E36" s="63"/>
      <c r="F36" s="64"/>
      <c r="G36" s="65">
        <f>SUM(G26:G35)</f>
        <v>694.68000000000006</v>
      </c>
      <c r="H36" s="65">
        <f>SUM(H26:H35)</f>
        <v>0</v>
      </c>
      <c r="I36" s="65">
        <f>SUM(I26:I35)</f>
        <v>0</v>
      </c>
      <c r="J36" s="48"/>
      <c r="K36" s="58">
        <f>SUM(I26:I35)</f>
        <v>0</v>
      </c>
      <c r="L36" s="59"/>
    </row>
    <row r="37" spans="1:12" ht="13.5" thickTop="1" x14ac:dyDescent="0.2">
      <c r="A37" s="46"/>
      <c r="B37" s="47"/>
      <c r="C37" s="62"/>
      <c r="D37" s="62"/>
      <c r="E37" s="63"/>
      <c r="F37" s="64"/>
      <c r="G37" s="62"/>
      <c r="H37" s="62"/>
      <c r="I37" s="47"/>
      <c r="J37" s="48"/>
      <c r="K37" s="58"/>
      <c r="L37" s="59"/>
    </row>
    <row r="38" spans="1:12" x14ac:dyDescent="0.2">
      <c r="A38" s="46"/>
      <c r="B38" s="47" t="s">
        <v>51</v>
      </c>
      <c r="C38" s="52"/>
      <c r="D38" s="52"/>
      <c r="E38" s="53">
        <v>2.7E-2</v>
      </c>
      <c r="F38" s="54">
        <v>108</v>
      </c>
      <c r="G38" s="66">
        <f>IF(D38=0,0,(((E38*(F38/12))*D38)+D38)/F38*12)</f>
        <v>0</v>
      </c>
      <c r="H38" s="56"/>
      <c r="I38" s="57">
        <f>12*H38</f>
        <v>0</v>
      </c>
      <c r="J38" s="48"/>
      <c r="K38" s="58"/>
      <c r="L38" s="59"/>
    </row>
    <row r="39" spans="1:12" x14ac:dyDescent="0.2">
      <c r="A39" s="46"/>
      <c r="B39" s="47" t="s">
        <v>52</v>
      </c>
      <c r="C39" s="52"/>
      <c r="D39" s="52"/>
      <c r="E39" s="53">
        <v>4.4999999999999998E-2</v>
      </c>
      <c r="F39" s="54">
        <v>84</v>
      </c>
      <c r="G39" s="66">
        <f t="shared" ref="G39:G47" si="4">IF(D39=0,0,(((E39*(F39/12))*D39)+D39)/F39*12)</f>
        <v>0</v>
      </c>
      <c r="H39" s="56">
        <v>0</v>
      </c>
      <c r="I39" s="57">
        <f t="shared" ref="I39:I47" si="5">12*H39</f>
        <v>0</v>
      </c>
      <c r="J39" s="48"/>
      <c r="K39" s="58"/>
      <c r="L39" s="59"/>
    </row>
    <row r="40" spans="1:12" x14ac:dyDescent="0.2">
      <c r="A40" s="46"/>
      <c r="B40" s="47" t="s">
        <v>53</v>
      </c>
      <c r="C40" s="52"/>
      <c r="D40" s="52"/>
      <c r="E40" s="53">
        <v>4.4999999999999998E-2</v>
      </c>
      <c r="F40" s="54">
        <v>84</v>
      </c>
      <c r="G40" s="66">
        <f t="shared" si="4"/>
        <v>0</v>
      </c>
      <c r="H40" s="56">
        <v>0</v>
      </c>
      <c r="I40" s="57">
        <f t="shared" si="5"/>
        <v>0</v>
      </c>
      <c r="J40" s="48"/>
      <c r="K40" s="58"/>
      <c r="L40" s="59"/>
    </row>
    <row r="41" spans="1:12" x14ac:dyDescent="0.2">
      <c r="A41" s="46"/>
      <c r="B41" s="47" t="s">
        <v>54</v>
      </c>
      <c r="C41" s="52"/>
      <c r="D41" s="52"/>
      <c r="E41" s="53">
        <v>4.4999999999999998E-2</v>
      </c>
      <c r="F41" s="54">
        <v>84</v>
      </c>
      <c r="G41" s="66">
        <f t="shared" si="4"/>
        <v>0</v>
      </c>
      <c r="H41" s="56">
        <v>0</v>
      </c>
      <c r="I41" s="57">
        <f t="shared" si="5"/>
        <v>0</v>
      </c>
      <c r="J41" s="48"/>
      <c r="K41" s="58"/>
      <c r="L41" s="59"/>
    </row>
    <row r="42" spans="1:12" x14ac:dyDescent="0.2">
      <c r="A42" s="46"/>
      <c r="B42" s="47" t="s">
        <v>55</v>
      </c>
      <c r="C42" s="52"/>
      <c r="D42" s="52"/>
      <c r="E42" s="53">
        <v>4.4999999999999998E-2</v>
      </c>
      <c r="F42" s="54">
        <v>84</v>
      </c>
      <c r="G42" s="66">
        <f t="shared" si="4"/>
        <v>0</v>
      </c>
      <c r="H42" s="56">
        <v>0</v>
      </c>
      <c r="I42" s="57">
        <f t="shared" si="5"/>
        <v>0</v>
      </c>
      <c r="J42" s="48"/>
      <c r="K42" s="58"/>
      <c r="L42" s="59"/>
    </row>
    <row r="43" spans="1:12" x14ac:dyDescent="0.2">
      <c r="A43" s="46"/>
      <c r="B43" s="47" t="s">
        <v>56</v>
      </c>
      <c r="C43" s="52"/>
      <c r="D43" s="52"/>
      <c r="E43" s="53">
        <v>4.4999999999999998E-2</v>
      </c>
      <c r="F43" s="54">
        <v>84</v>
      </c>
      <c r="G43" s="66">
        <f t="shared" si="4"/>
        <v>0</v>
      </c>
      <c r="H43" s="56">
        <v>0</v>
      </c>
      <c r="I43" s="57">
        <f t="shared" si="5"/>
        <v>0</v>
      </c>
      <c r="J43" s="48"/>
      <c r="K43" s="58"/>
      <c r="L43" s="59"/>
    </row>
    <row r="44" spans="1:12" x14ac:dyDescent="0.2">
      <c r="A44" s="46"/>
      <c r="B44" s="47" t="s">
        <v>57</v>
      </c>
      <c r="C44" s="52"/>
      <c r="D44" s="52"/>
      <c r="E44" s="53">
        <v>4.4999999999999998E-2</v>
      </c>
      <c r="F44" s="54">
        <v>84</v>
      </c>
      <c r="G44" s="66">
        <f t="shared" si="4"/>
        <v>0</v>
      </c>
      <c r="H44" s="56">
        <v>0</v>
      </c>
      <c r="I44" s="57">
        <f t="shared" si="5"/>
        <v>0</v>
      </c>
      <c r="J44" s="48"/>
      <c r="K44" s="58"/>
      <c r="L44" s="59"/>
    </row>
    <row r="45" spans="1:12" x14ac:dyDescent="0.2">
      <c r="A45" s="46"/>
      <c r="B45" s="47" t="s">
        <v>58</v>
      </c>
      <c r="C45" s="52"/>
      <c r="D45" s="52"/>
      <c r="E45" s="53">
        <v>4.4999999999999998E-2</v>
      </c>
      <c r="F45" s="54">
        <v>84</v>
      </c>
      <c r="G45" s="66">
        <f t="shared" si="4"/>
        <v>0</v>
      </c>
      <c r="H45" s="56">
        <v>0</v>
      </c>
      <c r="I45" s="57">
        <f t="shared" si="5"/>
        <v>0</v>
      </c>
      <c r="J45" s="48"/>
      <c r="K45" s="58"/>
      <c r="L45" s="59"/>
    </row>
    <row r="46" spans="1:12" x14ac:dyDescent="0.2">
      <c r="A46" s="46"/>
      <c r="B46" s="47" t="s">
        <v>59</v>
      </c>
      <c r="C46" s="52"/>
      <c r="D46" s="52"/>
      <c r="E46" s="53">
        <v>4.4999999999999998E-2</v>
      </c>
      <c r="F46" s="54">
        <v>84</v>
      </c>
      <c r="G46" s="66">
        <f t="shared" si="4"/>
        <v>0</v>
      </c>
      <c r="H46" s="56">
        <v>0</v>
      </c>
      <c r="I46" s="57">
        <f t="shared" si="5"/>
        <v>0</v>
      </c>
      <c r="J46" s="48"/>
      <c r="K46" s="58"/>
      <c r="L46" s="59"/>
    </row>
    <row r="47" spans="1:12" x14ac:dyDescent="0.2">
      <c r="A47" s="46"/>
      <c r="B47" s="47" t="s">
        <v>60</v>
      </c>
      <c r="C47" s="52"/>
      <c r="D47" s="52"/>
      <c r="E47" s="53">
        <v>4.4999999999999998E-2</v>
      </c>
      <c r="F47" s="54">
        <v>84</v>
      </c>
      <c r="G47" s="66">
        <f t="shared" si="4"/>
        <v>0</v>
      </c>
      <c r="H47" s="56">
        <v>0</v>
      </c>
      <c r="I47" s="57">
        <f t="shared" si="5"/>
        <v>0</v>
      </c>
      <c r="J47" s="48"/>
      <c r="K47" s="58"/>
      <c r="L47" s="59"/>
    </row>
    <row r="48" spans="1:12" ht="13.5" thickBot="1" x14ac:dyDescent="0.25">
      <c r="A48" s="46"/>
      <c r="B48" s="61" t="s">
        <v>40</v>
      </c>
      <c r="C48" s="62"/>
      <c r="D48" s="62"/>
      <c r="E48" s="63"/>
      <c r="F48" s="64"/>
      <c r="G48" s="65">
        <f>SUM(G38:G47)</f>
        <v>0</v>
      </c>
      <c r="H48" s="65">
        <f>SUM(H38:H47)</f>
        <v>0</v>
      </c>
      <c r="I48" s="65">
        <f>SUM(I38:I47)</f>
        <v>0</v>
      </c>
      <c r="J48" s="48"/>
      <c r="K48" s="58">
        <f>SUM(I38:I47)</f>
        <v>0</v>
      </c>
      <c r="L48" s="59"/>
    </row>
    <row r="49" spans="1:12" ht="13.5" thickTop="1" x14ac:dyDescent="0.2">
      <c r="A49" s="46"/>
      <c r="B49" s="47"/>
      <c r="C49" s="62"/>
      <c r="D49" s="62"/>
      <c r="E49" s="63"/>
      <c r="F49" s="64"/>
      <c r="G49" s="62"/>
      <c r="H49" s="62"/>
      <c r="I49" s="47"/>
      <c r="J49" s="48"/>
      <c r="K49" s="58"/>
      <c r="L49" s="59"/>
    </row>
    <row r="50" spans="1:12" x14ac:dyDescent="0.2">
      <c r="A50" s="46"/>
      <c r="B50" s="47" t="s">
        <v>61</v>
      </c>
      <c r="C50" s="52"/>
      <c r="D50" s="52"/>
      <c r="E50" s="53">
        <v>6.8500000000000005E-2</v>
      </c>
      <c r="F50" s="64" t="s">
        <v>62</v>
      </c>
      <c r="G50" s="62">
        <f t="shared" ref="G50:G59" si="6">IF(K50&lt;=(50%*L50),K50,IF(K50&gt;=(50%*L50),L50,0))</f>
        <v>0</v>
      </c>
      <c r="H50" s="67"/>
      <c r="I50" s="67"/>
      <c r="J50" s="48"/>
      <c r="K50" s="58">
        <f t="shared" ref="K50:K59" si="7">C50*E50</f>
        <v>0</v>
      </c>
      <c r="L50" s="59">
        <f t="shared" ref="L50:L59" si="8">D50*E50</f>
        <v>0</v>
      </c>
    </row>
    <row r="51" spans="1:12" x14ac:dyDescent="0.2">
      <c r="A51" s="46"/>
      <c r="B51" s="47" t="s">
        <v>63</v>
      </c>
      <c r="C51" s="52"/>
      <c r="D51" s="52"/>
      <c r="E51" s="53">
        <v>8.1000000000000003E-2</v>
      </c>
      <c r="F51" s="64" t="s">
        <v>62</v>
      </c>
      <c r="G51" s="62">
        <f t="shared" si="6"/>
        <v>0</v>
      </c>
      <c r="H51" s="67"/>
      <c r="I51" s="67"/>
      <c r="J51" s="48"/>
      <c r="K51" s="58">
        <f t="shared" si="7"/>
        <v>0</v>
      </c>
      <c r="L51" s="59">
        <f t="shared" si="8"/>
        <v>0</v>
      </c>
    </row>
    <row r="52" spans="1:12" x14ac:dyDescent="0.2">
      <c r="A52" s="46"/>
      <c r="B52" s="47" t="s">
        <v>64</v>
      </c>
      <c r="C52" s="52">
        <v>0</v>
      </c>
      <c r="D52" s="52">
        <v>0</v>
      </c>
      <c r="E52" s="53">
        <v>0</v>
      </c>
      <c r="F52" s="64" t="s">
        <v>62</v>
      </c>
      <c r="G52" s="62">
        <f t="shared" si="6"/>
        <v>0</v>
      </c>
      <c r="H52" s="67"/>
      <c r="I52" s="67"/>
      <c r="J52" s="48"/>
      <c r="K52" s="58">
        <f t="shared" si="7"/>
        <v>0</v>
      </c>
      <c r="L52" s="59">
        <f t="shared" si="8"/>
        <v>0</v>
      </c>
    </row>
    <row r="53" spans="1:12" x14ac:dyDescent="0.2">
      <c r="A53" s="46"/>
      <c r="B53" s="47" t="s">
        <v>65</v>
      </c>
      <c r="C53" s="52">
        <v>0</v>
      </c>
      <c r="D53" s="52">
        <v>0</v>
      </c>
      <c r="E53" s="53">
        <v>0</v>
      </c>
      <c r="F53" s="64" t="s">
        <v>62</v>
      </c>
      <c r="G53" s="62">
        <f t="shared" si="6"/>
        <v>0</v>
      </c>
      <c r="H53" s="67"/>
      <c r="I53" s="67"/>
      <c r="J53" s="48"/>
      <c r="K53" s="58">
        <f t="shared" si="7"/>
        <v>0</v>
      </c>
      <c r="L53" s="59">
        <f t="shared" si="8"/>
        <v>0</v>
      </c>
    </row>
    <row r="54" spans="1:12" x14ac:dyDescent="0.2">
      <c r="A54" s="46"/>
      <c r="B54" s="47" t="s">
        <v>66</v>
      </c>
      <c r="C54" s="52">
        <v>0</v>
      </c>
      <c r="D54" s="52">
        <v>0</v>
      </c>
      <c r="E54" s="53">
        <v>0</v>
      </c>
      <c r="F54" s="64" t="s">
        <v>62</v>
      </c>
      <c r="G54" s="62">
        <f t="shared" si="6"/>
        <v>0</v>
      </c>
      <c r="H54" s="67"/>
      <c r="I54" s="67"/>
      <c r="J54" s="48"/>
      <c r="K54" s="58">
        <f t="shared" si="7"/>
        <v>0</v>
      </c>
      <c r="L54" s="59">
        <f t="shared" si="8"/>
        <v>0</v>
      </c>
    </row>
    <row r="55" spans="1:12" x14ac:dyDescent="0.2">
      <c r="A55" s="46"/>
      <c r="B55" s="47" t="s">
        <v>67</v>
      </c>
      <c r="C55" s="52">
        <v>0</v>
      </c>
      <c r="D55" s="52">
        <v>0</v>
      </c>
      <c r="E55" s="53">
        <v>0</v>
      </c>
      <c r="F55" s="64" t="s">
        <v>62</v>
      </c>
      <c r="G55" s="62">
        <f t="shared" si="6"/>
        <v>0</v>
      </c>
      <c r="H55" s="67"/>
      <c r="I55" s="67"/>
      <c r="J55" s="48"/>
      <c r="K55" s="58">
        <f t="shared" si="7"/>
        <v>0</v>
      </c>
      <c r="L55" s="59">
        <f t="shared" si="8"/>
        <v>0</v>
      </c>
    </row>
    <row r="56" spans="1:12" x14ac:dyDescent="0.2">
      <c r="A56" s="46"/>
      <c r="B56" s="47" t="s">
        <v>68</v>
      </c>
      <c r="C56" s="52">
        <v>0</v>
      </c>
      <c r="D56" s="52">
        <v>0</v>
      </c>
      <c r="E56" s="53">
        <v>0</v>
      </c>
      <c r="F56" s="64" t="s">
        <v>62</v>
      </c>
      <c r="G56" s="62">
        <f t="shared" si="6"/>
        <v>0</v>
      </c>
      <c r="H56" s="67"/>
      <c r="I56" s="67"/>
      <c r="J56" s="48"/>
      <c r="K56" s="58">
        <f t="shared" si="7"/>
        <v>0</v>
      </c>
      <c r="L56" s="59">
        <f t="shared" si="8"/>
        <v>0</v>
      </c>
    </row>
    <row r="57" spans="1:12" x14ac:dyDescent="0.2">
      <c r="A57" s="46"/>
      <c r="B57" s="47" t="s">
        <v>69</v>
      </c>
      <c r="C57" s="52">
        <v>0</v>
      </c>
      <c r="D57" s="52">
        <v>0</v>
      </c>
      <c r="E57" s="53">
        <v>0</v>
      </c>
      <c r="F57" s="64" t="s">
        <v>62</v>
      </c>
      <c r="G57" s="62">
        <f t="shared" si="6"/>
        <v>0</v>
      </c>
      <c r="H57" s="67"/>
      <c r="I57" s="67"/>
      <c r="J57" s="48"/>
      <c r="K57" s="58">
        <f t="shared" si="7"/>
        <v>0</v>
      </c>
      <c r="L57" s="59">
        <f t="shared" si="8"/>
        <v>0</v>
      </c>
    </row>
    <row r="58" spans="1:12" x14ac:dyDescent="0.2">
      <c r="A58" s="46"/>
      <c r="B58" s="47" t="s">
        <v>70</v>
      </c>
      <c r="C58" s="52">
        <v>0</v>
      </c>
      <c r="D58" s="52">
        <v>0</v>
      </c>
      <c r="E58" s="53">
        <v>0</v>
      </c>
      <c r="F58" s="64" t="s">
        <v>62</v>
      </c>
      <c r="G58" s="62">
        <f t="shared" si="6"/>
        <v>0</v>
      </c>
      <c r="H58" s="67"/>
      <c r="I58" s="67"/>
      <c r="J58" s="48"/>
      <c r="K58" s="58">
        <f t="shared" si="7"/>
        <v>0</v>
      </c>
      <c r="L58" s="59">
        <f t="shared" si="8"/>
        <v>0</v>
      </c>
    </row>
    <row r="59" spans="1:12" x14ac:dyDescent="0.2">
      <c r="A59" s="46"/>
      <c r="B59" s="47" t="s">
        <v>71</v>
      </c>
      <c r="C59" s="52">
        <v>0</v>
      </c>
      <c r="D59" s="52">
        <v>0</v>
      </c>
      <c r="E59" s="53">
        <v>0</v>
      </c>
      <c r="F59" s="64" t="s">
        <v>62</v>
      </c>
      <c r="G59" s="62">
        <f t="shared" si="6"/>
        <v>0</v>
      </c>
      <c r="H59" s="67"/>
      <c r="I59" s="67"/>
      <c r="J59" s="48"/>
      <c r="K59" s="58">
        <f t="shared" si="7"/>
        <v>0</v>
      </c>
      <c r="L59" s="59">
        <f t="shared" si="8"/>
        <v>0</v>
      </c>
    </row>
    <row r="60" spans="1:12" ht="13.5" thickBot="1" x14ac:dyDescent="0.25">
      <c r="A60" s="46"/>
      <c r="B60" s="61" t="s">
        <v>40</v>
      </c>
      <c r="C60" s="62"/>
      <c r="D60" s="62"/>
      <c r="E60" s="63"/>
      <c r="F60" s="64"/>
      <c r="G60" s="68">
        <f>SUM(G50:G59)</f>
        <v>0</v>
      </c>
      <c r="H60" s="67"/>
      <c r="I60" s="67"/>
      <c r="J60" s="48"/>
      <c r="K60" s="58"/>
      <c r="L60" s="59"/>
    </row>
    <row r="61" spans="1:12" ht="13.5" thickTop="1" x14ac:dyDescent="0.2">
      <c r="A61" s="46"/>
      <c r="B61" s="47"/>
      <c r="C61" s="62"/>
      <c r="D61" s="62"/>
      <c r="E61" s="63"/>
      <c r="F61" s="64"/>
      <c r="G61" s="62"/>
      <c r="H61" s="67"/>
      <c r="I61" s="67"/>
      <c r="J61" s="48"/>
      <c r="K61" s="58"/>
      <c r="L61" s="59"/>
    </row>
    <row r="62" spans="1:12" x14ac:dyDescent="0.2">
      <c r="A62" s="46"/>
      <c r="B62" s="47" t="s">
        <v>72</v>
      </c>
      <c r="C62" s="52"/>
      <c r="D62" s="52"/>
      <c r="E62" s="53">
        <v>0</v>
      </c>
      <c r="F62" s="64" t="s">
        <v>62</v>
      </c>
      <c r="G62" s="62">
        <f t="shared" ref="G62:G71" si="9">IF(K62&lt;=(50%*L62),K62,IF(K62&gt;=(50%*L62),L62,0))</f>
        <v>0</v>
      </c>
      <c r="H62" s="67"/>
      <c r="I62" s="67"/>
      <c r="J62" s="48"/>
      <c r="K62" s="58">
        <f t="shared" ref="K62:K71" si="10">C62*E62</f>
        <v>0</v>
      </c>
      <c r="L62" s="59">
        <f t="shared" ref="L62:L71" si="11">D62*E62</f>
        <v>0</v>
      </c>
    </row>
    <row r="63" spans="1:12" x14ac:dyDescent="0.2">
      <c r="A63" s="46"/>
      <c r="B63" s="47" t="s">
        <v>73</v>
      </c>
      <c r="C63" s="52"/>
      <c r="D63" s="52"/>
      <c r="E63" s="53">
        <v>0</v>
      </c>
      <c r="F63" s="64" t="s">
        <v>62</v>
      </c>
      <c r="G63" s="62">
        <f t="shared" si="9"/>
        <v>0</v>
      </c>
      <c r="H63" s="67"/>
      <c r="I63" s="67"/>
      <c r="J63" s="48"/>
      <c r="K63" s="58">
        <f t="shared" si="10"/>
        <v>0</v>
      </c>
      <c r="L63" s="59">
        <f t="shared" si="11"/>
        <v>0</v>
      </c>
    </row>
    <row r="64" spans="1:12" x14ac:dyDescent="0.2">
      <c r="A64" s="46"/>
      <c r="B64" s="47" t="s">
        <v>74</v>
      </c>
      <c r="C64" s="52">
        <v>0</v>
      </c>
      <c r="D64" s="52">
        <v>0</v>
      </c>
      <c r="E64" s="53">
        <v>0</v>
      </c>
      <c r="F64" s="64" t="s">
        <v>62</v>
      </c>
      <c r="G64" s="62">
        <f t="shared" si="9"/>
        <v>0</v>
      </c>
      <c r="H64" s="67"/>
      <c r="I64" s="67"/>
      <c r="J64" s="48"/>
      <c r="K64" s="58">
        <f t="shared" si="10"/>
        <v>0</v>
      </c>
      <c r="L64" s="59">
        <f t="shared" si="11"/>
        <v>0</v>
      </c>
    </row>
    <row r="65" spans="1:12" x14ac:dyDescent="0.2">
      <c r="A65" s="46"/>
      <c r="B65" s="47" t="s">
        <v>75</v>
      </c>
      <c r="C65" s="52">
        <v>0</v>
      </c>
      <c r="D65" s="52">
        <v>0</v>
      </c>
      <c r="E65" s="53">
        <v>0</v>
      </c>
      <c r="F65" s="64" t="s">
        <v>62</v>
      </c>
      <c r="G65" s="62">
        <f t="shared" si="9"/>
        <v>0</v>
      </c>
      <c r="H65" s="67"/>
      <c r="I65" s="67"/>
      <c r="J65" s="48"/>
      <c r="K65" s="58">
        <f t="shared" si="10"/>
        <v>0</v>
      </c>
      <c r="L65" s="59">
        <f t="shared" si="11"/>
        <v>0</v>
      </c>
    </row>
    <row r="66" spans="1:12" x14ac:dyDescent="0.2">
      <c r="A66" s="46"/>
      <c r="B66" s="47" t="s">
        <v>76</v>
      </c>
      <c r="C66" s="52">
        <v>0</v>
      </c>
      <c r="D66" s="52">
        <v>0</v>
      </c>
      <c r="E66" s="53">
        <v>0</v>
      </c>
      <c r="F66" s="64" t="s">
        <v>62</v>
      </c>
      <c r="G66" s="62">
        <f t="shared" si="9"/>
        <v>0</v>
      </c>
      <c r="H66" s="67"/>
      <c r="I66" s="67"/>
      <c r="J66" s="48"/>
      <c r="K66" s="58">
        <f t="shared" si="10"/>
        <v>0</v>
      </c>
      <c r="L66" s="59">
        <f t="shared" si="11"/>
        <v>0</v>
      </c>
    </row>
    <row r="67" spans="1:12" x14ac:dyDescent="0.2">
      <c r="A67" s="46"/>
      <c r="B67" s="47" t="s">
        <v>77</v>
      </c>
      <c r="C67" s="52">
        <v>0</v>
      </c>
      <c r="D67" s="52">
        <v>0</v>
      </c>
      <c r="E67" s="53">
        <v>0</v>
      </c>
      <c r="F67" s="64" t="s">
        <v>62</v>
      </c>
      <c r="G67" s="62">
        <f t="shared" si="9"/>
        <v>0</v>
      </c>
      <c r="H67" s="67"/>
      <c r="I67" s="67"/>
      <c r="J67" s="48"/>
      <c r="K67" s="58">
        <f t="shared" si="10"/>
        <v>0</v>
      </c>
      <c r="L67" s="59">
        <f t="shared" si="11"/>
        <v>0</v>
      </c>
    </row>
    <row r="68" spans="1:12" x14ac:dyDescent="0.2">
      <c r="A68" s="46"/>
      <c r="B68" s="47" t="s">
        <v>78</v>
      </c>
      <c r="C68" s="52">
        <v>0</v>
      </c>
      <c r="D68" s="52">
        <v>0</v>
      </c>
      <c r="E68" s="53">
        <v>0</v>
      </c>
      <c r="F68" s="64" t="s">
        <v>62</v>
      </c>
      <c r="G68" s="62">
        <f t="shared" si="9"/>
        <v>0</v>
      </c>
      <c r="H68" s="67"/>
      <c r="I68" s="67"/>
      <c r="J68" s="48"/>
      <c r="K68" s="58">
        <f t="shared" si="10"/>
        <v>0</v>
      </c>
      <c r="L68" s="59">
        <f t="shared" si="11"/>
        <v>0</v>
      </c>
    </row>
    <row r="69" spans="1:12" x14ac:dyDescent="0.2">
      <c r="A69" s="46"/>
      <c r="B69" s="47" t="s">
        <v>79</v>
      </c>
      <c r="C69" s="52">
        <v>0</v>
      </c>
      <c r="D69" s="52">
        <v>0</v>
      </c>
      <c r="E69" s="53">
        <v>0</v>
      </c>
      <c r="F69" s="64" t="s">
        <v>62</v>
      </c>
      <c r="G69" s="62">
        <f t="shared" si="9"/>
        <v>0</v>
      </c>
      <c r="H69" s="67"/>
      <c r="I69" s="67"/>
      <c r="J69" s="48"/>
      <c r="K69" s="58">
        <f t="shared" si="10"/>
        <v>0</v>
      </c>
      <c r="L69" s="59">
        <f t="shared" si="11"/>
        <v>0</v>
      </c>
    </row>
    <row r="70" spans="1:12" x14ac:dyDescent="0.2">
      <c r="A70" s="46"/>
      <c r="B70" s="47" t="s">
        <v>80</v>
      </c>
      <c r="C70" s="52">
        <v>0</v>
      </c>
      <c r="D70" s="52">
        <v>0</v>
      </c>
      <c r="E70" s="53">
        <v>0</v>
      </c>
      <c r="F70" s="64" t="s">
        <v>62</v>
      </c>
      <c r="G70" s="62">
        <f t="shared" si="9"/>
        <v>0</v>
      </c>
      <c r="H70" s="67"/>
      <c r="I70" s="67"/>
      <c r="J70" s="48"/>
      <c r="K70" s="58">
        <f t="shared" si="10"/>
        <v>0</v>
      </c>
      <c r="L70" s="59">
        <f t="shared" si="11"/>
        <v>0</v>
      </c>
    </row>
    <row r="71" spans="1:12" x14ac:dyDescent="0.2">
      <c r="A71" s="46"/>
      <c r="B71" s="47" t="s">
        <v>81</v>
      </c>
      <c r="C71" s="52">
        <v>0</v>
      </c>
      <c r="D71" s="52">
        <v>0</v>
      </c>
      <c r="E71" s="53">
        <v>0</v>
      </c>
      <c r="F71" s="64" t="s">
        <v>62</v>
      </c>
      <c r="G71" s="62">
        <f t="shared" si="9"/>
        <v>0</v>
      </c>
      <c r="H71" s="67"/>
      <c r="I71" s="67"/>
      <c r="J71" s="48"/>
      <c r="K71" s="58">
        <f t="shared" si="10"/>
        <v>0</v>
      </c>
      <c r="L71" s="59">
        <f t="shared" si="11"/>
        <v>0</v>
      </c>
    </row>
    <row r="72" spans="1:12" ht="13.5" thickBot="1" x14ac:dyDescent="0.25">
      <c r="A72" s="46"/>
      <c r="B72" s="61" t="s">
        <v>40</v>
      </c>
      <c r="C72" s="62"/>
      <c r="D72" s="62"/>
      <c r="E72" s="63"/>
      <c r="F72" s="64"/>
      <c r="G72" s="68">
        <f>SUM(G62:G71)</f>
        <v>0</v>
      </c>
      <c r="H72" s="67"/>
      <c r="I72" s="67"/>
      <c r="J72" s="48"/>
      <c r="K72" s="58"/>
    </row>
    <row r="73" spans="1:12" ht="13.5" thickTop="1" x14ac:dyDescent="0.2">
      <c r="A73" s="46"/>
      <c r="B73" s="47"/>
      <c r="C73" s="47"/>
      <c r="D73" s="47"/>
      <c r="E73" s="47"/>
      <c r="F73" s="47"/>
      <c r="G73" s="47"/>
      <c r="H73" s="47"/>
      <c r="I73" s="47"/>
      <c r="J73" s="48"/>
    </row>
    <row r="74" spans="1:12" s="71" customFormat="1" ht="25.5" customHeight="1" x14ac:dyDescent="0.2">
      <c r="A74" s="46"/>
      <c r="B74" s="47"/>
      <c r="C74" s="116" t="s">
        <v>82</v>
      </c>
      <c r="D74" s="116"/>
      <c r="E74" s="47"/>
      <c r="F74" s="47"/>
      <c r="G74" s="47"/>
      <c r="H74" s="47"/>
      <c r="I74" s="47"/>
      <c r="J74" s="48"/>
      <c r="K74" s="69"/>
      <c r="L74" s="70"/>
    </row>
    <row r="75" spans="1:12" s="71" customFormat="1" x14ac:dyDescent="0.2">
      <c r="A75" s="46"/>
      <c r="B75" s="47" t="s">
        <v>83</v>
      </c>
      <c r="C75" s="112">
        <f>G24+I24</f>
        <v>0</v>
      </c>
      <c r="D75" s="112"/>
      <c r="E75" s="47"/>
      <c r="F75" s="47"/>
      <c r="G75" s="47"/>
      <c r="H75" s="47"/>
      <c r="I75" s="47"/>
      <c r="J75" s="48"/>
      <c r="K75" s="69"/>
      <c r="L75" s="70"/>
    </row>
    <row r="76" spans="1:12" s="71" customFormat="1" x14ac:dyDescent="0.2">
      <c r="A76" s="46"/>
      <c r="B76" s="47" t="s">
        <v>84</v>
      </c>
      <c r="C76" s="112">
        <f>G36+I36</f>
        <v>694.68000000000006</v>
      </c>
      <c r="D76" s="112"/>
      <c r="E76" s="47"/>
      <c r="F76" s="47"/>
      <c r="G76" s="47"/>
      <c r="H76" s="47"/>
      <c r="I76" s="47"/>
      <c r="J76" s="48"/>
      <c r="K76" s="69"/>
      <c r="L76" s="70"/>
    </row>
    <row r="77" spans="1:12" s="71" customFormat="1" x14ac:dyDescent="0.2">
      <c r="A77" s="46"/>
      <c r="B77" s="47" t="s">
        <v>85</v>
      </c>
      <c r="C77" s="112">
        <f>G48+I48</f>
        <v>0</v>
      </c>
      <c r="D77" s="112"/>
      <c r="E77" s="47"/>
      <c r="F77" s="47"/>
      <c r="G77" s="47"/>
      <c r="H77" s="47"/>
      <c r="I77" s="47"/>
      <c r="J77" s="48"/>
      <c r="K77" s="69"/>
      <c r="L77" s="70"/>
    </row>
    <row r="78" spans="1:12" s="71" customFormat="1" x14ac:dyDescent="0.2">
      <c r="A78" s="46"/>
      <c r="B78" s="47" t="s">
        <v>86</v>
      </c>
      <c r="C78" s="112">
        <f>G60</f>
        <v>0</v>
      </c>
      <c r="D78" s="112"/>
      <c r="E78" s="47"/>
      <c r="F78" s="47"/>
      <c r="G78" s="47"/>
      <c r="H78" s="47"/>
      <c r="I78" s="47"/>
      <c r="J78" s="48"/>
      <c r="K78" s="69"/>
      <c r="L78" s="70"/>
    </row>
    <row r="79" spans="1:12" s="71" customFormat="1" x14ac:dyDescent="0.2">
      <c r="A79" s="46"/>
      <c r="B79" s="47" t="s">
        <v>87</v>
      </c>
      <c r="C79" s="112">
        <f>G72+H72</f>
        <v>0</v>
      </c>
      <c r="D79" s="112"/>
      <c r="E79" s="47"/>
      <c r="F79" s="47"/>
      <c r="G79" s="47"/>
      <c r="H79" s="47"/>
      <c r="I79" s="47"/>
      <c r="J79" s="48"/>
      <c r="K79" s="69"/>
      <c r="L79" s="70"/>
    </row>
    <row r="80" spans="1:12" x14ac:dyDescent="0.2">
      <c r="A80" s="46"/>
      <c r="B80" s="47"/>
      <c r="C80" s="47"/>
      <c r="D80" s="47"/>
      <c r="E80" s="47"/>
      <c r="F80" s="47"/>
      <c r="G80" s="47"/>
      <c r="H80" s="47"/>
      <c r="I80" s="47"/>
      <c r="J80" s="48"/>
    </row>
    <row r="81" spans="1:10" x14ac:dyDescent="0.2">
      <c r="A81" s="46"/>
      <c r="B81" s="47"/>
      <c r="C81" s="47"/>
      <c r="D81" s="47"/>
      <c r="E81" s="47"/>
      <c r="F81" s="47"/>
      <c r="G81" s="47"/>
      <c r="H81" s="47"/>
      <c r="I81" s="47"/>
      <c r="J81" s="48"/>
    </row>
    <row r="82" spans="1:10" x14ac:dyDescent="0.2">
      <c r="A82" s="46"/>
      <c r="B82" s="47" t="s">
        <v>88</v>
      </c>
      <c r="C82" s="113"/>
      <c r="D82" s="113"/>
      <c r="E82" s="113"/>
      <c r="F82" s="47"/>
      <c r="G82" s="47"/>
      <c r="H82" s="47"/>
      <c r="I82" s="47"/>
      <c r="J82" s="48"/>
    </row>
    <row r="83" spans="1:10" x14ac:dyDescent="0.2">
      <c r="A83" s="46"/>
      <c r="B83" s="47" t="s">
        <v>89</v>
      </c>
      <c r="C83" s="114"/>
      <c r="D83" s="115"/>
      <c r="E83" s="115"/>
      <c r="F83" s="47"/>
      <c r="G83" s="47"/>
      <c r="H83" s="47"/>
      <c r="I83" s="47"/>
      <c r="J83" s="48"/>
    </row>
    <row r="84" spans="1:10" x14ac:dyDescent="0.2">
      <c r="A84" s="46"/>
      <c r="B84" s="47"/>
      <c r="C84" s="47"/>
      <c r="D84" s="47"/>
      <c r="E84" s="47"/>
      <c r="F84" s="47"/>
      <c r="G84" s="47"/>
      <c r="H84" s="47"/>
      <c r="I84" s="47"/>
      <c r="J84" s="48"/>
    </row>
    <row r="85" spans="1:10" ht="13.5" thickBot="1" x14ac:dyDescent="0.25">
      <c r="A85" s="72"/>
      <c r="B85" s="73"/>
      <c r="C85" s="73"/>
      <c r="D85" s="73"/>
      <c r="E85" s="73"/>
      <c r="F85" s="73"/>
      <c r="G85" s="73"/>
      <c r="H85" s="73"/>
      <c r="I85" s="73"/>
      <c r="J85" s="74"/>
    </row>
  </sheetData>
  <sheetProtection password="DD94" sheet="1" objects="1" scenarios="1" selectLockedCells="1"/>
  <mergeCells count="11">
    <mergeCell ref="C76:D76"/>
    <mergeCell ref="C3:F3"/>
    <mergeCell ref="C4:F4"/>
    <mergeCell ref="C10:F10"/>
    <mergeCell ref="C74:D74"/>
    <mergeCell ref="C75:D75"/>
    <mergeCell ref="C77:D77"/>
    <mergeCell ref="C78:D78"/>
    <mergeCell ref="C79:D79"/>
    <mergeCell ref="C82:E82"/>
    <mergeCell ref="C83:E83"/>
  </mergeCells>
  <pageMargins left="0.47" right="0.54" top="0.79" bottom="0.8" header="0.5" footer="0.5"/>
  <pageSetup paperSize="9" scale="61" orientation="portrait" r:id="rId1"/>
  <headerFooter alignWithMargins="0"/>
  <colBreaks count="1" manualBreakCount="1">
    <brk id="10" max="7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1"/>
  <sheetViews>
    <sheetView topLeftCell="B1" workbookViewId="0">
      <selection activeCell="C6" sqref="C6"/>
    </sheetView>
  </sheetViews>
  <sheetFormatPr defaultRowHeight="15" x14ac:dyDescent="0.25"/>
  <cols>
    <col min="1" max="1" width="9.140625" style="82"/>
    <col min="2" max="2" width="21.28515625" style="82" customWidth="1"/>
    <col min="3" max="3" width="9.140625" style="82"/>
    <col min="4" max="4" width="13" style="82" customWidth="1"/>
    <col min="5" max="5" width="13.140625" style="82" customWidth="1"/>
    <col min="6" max="6" width="16.140625" style="82" hidden="1" customWidth="1"/>
    <col min="7" max="7" width="13.42578125" style="82" customWidth="1"/>
    <col min="8" max="10" width="9.140625" style="82"/>
    <col min="11" max="11" width="18.5703125" style="82" customWidth="1"/>
    <col min="12" max="12" width="14" style="82" customWidth="1"/>
    <col min="13" max="13" width="13.42578125" style="82" customWidth="1"/>
    <col min="14" max="14" width="14.28515625" style="82" customWidth="1"/>
    <col min="15" max="15" width="12" style="82" customWidth="1"/>
    <col min="16" max="16" width="11.85546875" style="82" customWidth="1"/>
    <col min="17" max="16384" width="9.140625" style="82"/>
  </cols>
  <sheetData>
    <row r="2" spans="2:16" x14ac:dyDescent="0.25">
      <c r="B2" s="75" t="s">
        <v>90</v>
      </c>
      <c r="C2" s="76"/>
      <c r="D2" s="76"/>
      <c r="E2" s="76"/>
      <c r="F2" s="76"/>
      <c r="G2" s="76"/>
      <c r="H2" s="77"/>
      <c r="I2" s="77"/>
      <c r="J2" s="77"/>
      <c r="K2" s="78" t="s">
        <v>91</v>
      </c>
      <c r="L2" s="79"/>
      <c r="M2" s="80"/>
      <c r="N2" s="81"/>
      <c r="O2" s="81"/>
      <c r="P2" s="81"/>
    </row>
    <row r="3" spans="2:16" x14ac:dyDescent="0.25">
      <c r="B3" s="76"/>
      <c r="C3" s="76"/>
      <c r="D3" s="76"/>
      <c r="E3" s="76"/>
      <c r="F3" s="76"/>
      <c r="G3" s="76"/>
      <c r="H3" s="77"/>
      <c r="I3" s="77"/>
      <c r="J3" s="77"/>
      <c r="K3" s="83"/>
      <c r="L3" s="84">
        <v>0.16850000000000001</v>
      </c>
      <c r="M3" s="84">
        <v>0.16850000000000001</v>
      </c>
      <c r="N3" s="84">
        <v>0.16850000000000001</v>
      </c>
      <c r="O3" s="84">
        <v>0.16850000000000001</v>
      </c>
      <c r="P3" s="84">
        <v>0.16850000000000001</v>
      </c>
    </row>
    <row r="4" spans="2:16" ht="75" x14ac:dyDescent="0.25">
      <c r="B4" s="85" t="s">
        <v>92</v>
      </c>
      <c r="C4" s="85" t="s">
        <v>93</v>
      </c>
      <c r="D4" s="85" t="s">
        <v>94</v>
      </c>
      <c r="E4" s="85" t="s">
        <v>95</v>
      </c>
      <c r="F4" s="85" t="s">
        <v>96</v>
      </c>
      <c r="G4" s="85" t="s">
        <v>97</v>
      </c>
      <c r="H4" s="81"/>
      <c r="I4" s="81"/>
      <c r="J4" s="81"/>
      <c r="K4" s="86" t="s">
        <v>98</v>
      </c>
      <c r="L4" s="87">
        <v>12</v>
      </c>
      <c r="M4" s="87">
        <v>24</v>
      </c>
      <c r="N4" s="87">
        <v>36</v>
      </c>
      <c r="O4" s="87">
        <v>48</v>
      </c>
      <c r="P4" s="87">
        <v>60</v>
      </c>
    </row>
    <row r="5" spans="2:16" x14ac:dyDescent="0.25">
      <c r="B5" s="88">
        <v>300000</v>
      </c>
      <c r="C5" s="89">
        <v>0.157</v>
      </c>
      <c r="D5" s="90">
        <v>84</v>
      </c>
      <c r="E5" s="91">
        <f>-PMT(C5/12,D5,B5)</f>
        <v>5907.4738902032905</v>
      </c>
      <c r="F5" s="92">
        <v>11141.666666666666</v>
      </c>
      <c r="G5" s="93">
        <f>((((E5*D5)-B5)/B5)/(D5/12))</f>
        <v>9.3441812750988756E-2</v>
      </c>
      <c r="H5" s="77"/>
      <c r="I5" s="77"/>
      <c r="J5" s="77"/>
      <c r="K5" s="94">
        <v>100000</v>
      </c>
      <c r="L5" s="95">
        <f>-PMT($C$5/12,$L$4,K5)</f>
        <v>9058.8952496121819</v>
      </c>
      <c r="M5" s="95">
        <f>-PMT($C$5/12,$M$4,K5)</f>
        <v>4881.9888907516752</v>
      </c>
      <c r="N5" s="95">
        <f>-PMT($C$5/12,$N$4,K5)</f>
        <v>3500.9101999001314</v>
      </c>
      <c r="O5" s="95">
        <f>-PMT($C$5/12,$O$4,K5)</f>
        <v>2818.6870528337931</v>
      </c>
      <c r="P5" s="95">
        <f>-PMT($C$5/12,$P$4,K5)</f>
        <v>2415.8945283321468</v>
      </c>
    </row>
    <row r="6" spans="2:16" x14ac:dyDescent="0.25">
      <c r="B6" s="96" t="s">
        <v>99</v>
      </c>
      <c r="C6" s="76"/>
      <c r="D6" s="76"/>
      <c r="E6" s="76"/>
      <c r="F6" s="76"/>
      <c r="G6" s="76"/>
      <c r="H6" s="77"/>
      <c r="I6" s="77"/>
      <c r="J6" s="77"/>
      <c r="K6" s="94">
        <v>150000</v>
      </c>
      <c r="L6" s="95">
        <f t="shared" ref="L6:L13" si="0">-PMT($C$5/12,$L$4,K6)</f>
        <v>13588.342874418273</v>
      </c>
      <c r="M6" s="95">
        <f t="shared" ref="M6:M13" si="1">-PMT($C$5/12,$M$4,K6)</f>
        <v>7322.9833361275123</v>
      </c>
      <c r="N6" s="95">
        <f t="shared" ref="N6:N13" si="2">-PMT($C$5/12,$N$4,K6)</f>
        <v>5251.3652998501975</v>
      </c>
      <c r="O6" s="95">
        <f t="shared" ref="O6:O13" si="3">-PMT($C$5/12,$O$4,K6)</f>
        <v>4228.0305792506897</v>
      </c>
      <c r="P6" s="95">
        <f t="shared" ref="P6:P13" si="4">-PMT($C$5/12,$P$4,K6)</f>
        <v>3623.84179249822</v>
      </c>
    </row>
    <row r="7" spans="2:16" x14ac:dyDescent="0.25">
      <c r="B7" s="76"/>
      <c r="C7" s="76"/>
      <c r="D7" s="76"/>
      <c r="E7" s="76"/>
      <c r="F7" s="76"/>
      <c r="G7" s="76"/>
      <c r="H7" s="77"/>
      <c r="I7" s="77"/>
      <c r="J7" s="77"/>
      <c r="K7" s="94">
        <v>200000</v>
      </c>
      <c r="L7" s="95">
        <f t="shared" si="0"/>
        <v>18117.790499224364</v>
      </c>
      <c r="M7" s="95">
        <f t="shared" si="1"/>
        <v>9763.9777815033503</v>
      </c>
      <c r="N7" s="95">
        <f t="shared" si="2"/>
        <v>7001.8203998002627</v>
      </c>
      <c r="O7" s="95">
        <f t="shared" si="3"/>
        <v>5637.3741056675863</v>
      </c>
      <c r="P7" s="95">
        <f t="shared" si="4"/>
        <v>4831.7890566642936</v>
      </c>
    </row>
    <row r="8" spans="2:16" x14ac:dyDescent="0.25">
      <c r="B8" s="97" t="s">
        <v>100</v>
      </c>
      <c r="C8" s="76"/>
      <c r="D8" s="76"/>
      <c r="E8" s="76"/>
      <c r="F8" s="76"/>
      <c r="G8" s="76"/>
      <c r="H8" s="77"/>
      <c r="I8" s="77"/>
      <c r="J8" s="77"/>
      <c r="K8" s="94">
        <v>250000</v>
      </c>
      <c r="L8" s="95">
        <f t="shared" si="0"/>
        <v>22647.238124030453</v>
      </c>
      <c r="M8" s="95">
        <f t="shared" si="1"/>
        <v>12204.972226879188</v>
      </c>
      <c r="N8" s="95">
        <f t="shared" si="2"/>
        <v>8752.2754997503289</v>
      </c>
      <c r="O8" s="95">
        <f t="shared" si="3"/>
        <v>7046.7176320844819</v>
      </c>
      <c r="P8" s="95">
        <f t="shared" si="4"/>
        <v>6039.7363208303668</v>
      </c>
    </row>
    <row r="9" spans="2:16" x14ac:dyDescent="0.25">
      <c r="B9" s="97" t="s">
        <v>101</v>
      </c>
      <c r="C9" s="76"/>
      <c r="D9" s="76"/>
      <c r="E9" s="76"/>
      <c r="F9" s="76"/>
      <c r="G9" s="76"/>
      <c r="H9" s="77"/>
      <c r="I9" s="77"/>
      <c r="J9" s="77"/>
      <c r="K9" s="94">
        <v>300000</v>
      </c>
      <c r="L9" s="95">
        <f t="shared" si="0"/>
        <v>27176.685748836546</v>
      </c>
      <c r="M9" s="95">
        <f t="shared" si="1"/>
        <v>14645.966672255025</v>
      </c>
      <c r="N9" s="95">
        <f t="shared" si="2"/>
        <v>10502.730599700395</v>
      </c>
      <c r="O9" s="95">
        <f t="shared" si="3"/>
        <v>8456.0611585013794</v>
      </c>
      <c r="P9" s="95">
        <f t="shared" si="4"/>
        <v>7247.68358499644</v>
      </c>
    </row>
    <row r="10" spans="2:16" x14ac:dyDescent="0.25">
      <c r="B10" s="98" t="s">
        <v>102</v>
      </c>
      <c r="C10" s="99"/>
      <c r="D10" s="99"/>
      <c r="E10" s="99"/>
      <c r="F10" s="99"/>
      <c r="G10" s="99"/>
      <c r="H10" s="100"/>
      <c r="I10" s="77"/>
      <c r="J10" s="77"/>
      <c r="K10" s="94">
        <v>350000</v>
      </c>
      <c r="L10" s="95">
        <f t="shared" si="0"/>
        <v>31706.133373642635</v>
      </c>
      <c r="M10" s="95">
        <f t="shared" si="1"/>
        <v>17086.961117630864</v>
      </c>
      <c r="N10" s="95">
        <f t="shared" si="2"/>
        <v>12253.185699650459</v>
      </c>
      <c r="O10" s="95">
        <f t="shared" si="3"/>
        <v>9865.404684918276</v>
      </c>
      <c r="P10" s="95">
        <f t="shared" si="4"/>
        <v>8455.6308491625132</v>
      </c>
    </row>
    <row r="11" spans="2:16" x14ac:dyDescent="0.25">
      <c r="B11" s="99"/>
      <c r="C11" s="99"/>
      <c r="D11" s="99"/>
      <c r="E11" s="99"/>
      <c r="F11" s="99"/>
      <c r="G11" s="101"/>
      <c r="H11" s="100"/>
      <c r="I11" s="77"/>
      <c r="J11" s="77"/>
      <c r="K11" s="94">
        <v>400000</v>
      </c>
      <c r="L11" s="95">
        <f t="shared" si="0"/>
        <v>36235.580998448728</v>
      </c>
      <c r="M11" s="95">
        <f t="shared" si="1"/>
        <v>19527.955563006701</v>
      </c>
      <c r="N11" s="95">
        <f t="shared" si="2"/>
        <v>14003.640799600525</v>
      </c>
      <c r="O11" s="95">
        <f t="shared" si="3"/>
        <v>11274.748211335173</v>
      </c>
      <c r="P11" s="95">
        <f t="shared" si="4"/>
        <v>9663.5781133285873</v>
      </c>
    </row>
    <row r="12" spans="2:16" x14ac:dyDescent="0.25">
      <c r="B12" s="99"/>
      <c r="C12" s="99"/>
      <c r="D12" s="99"/>
      <c r="E12" s="99"/>
      <c r="F12" s="99"/>
      <c r="G12" s="99"/>
      <c r="H12" s="100"/>
      <c r="I12" s="77"/>
      <c r="J12" s="77"/>
      <c r="K12" s="94">
        <v>450000</v>
      </c>
      <c r="L12" s="95">
        <f t="shared" si="0"/>
        <v>40765.028623254817</v>
      </c>
      <c r="M12" s="95">
        <f t="shared" si="1"/>
        <v>21968.950008382537</v>
      </c>
      <c r="N12" s="95">
        <f t="shared" si="2"/>
        <v>15754.095899550592</v>
      </c>
      <c r="O12" s="95">
        <f t="shared" si="3"/>
        <v>12684.091737752069</v>
      </c>
      <c r="P12" s="95">
        <f t="shared" si="4"/>
        <v>10871.52537749466</v>
      </c>
    </row>
    <row r="13" spans="2:16" x14ac:dyDescent="0.25">
      <c r="B13" s="99"/>
      <c r="C13" s="99"/>
      <c r="D13" s="99"/>
      <c r="E13" s="99"/>
      <c r="F13" s="99"/>
      <c r="G13" s="99"/>
      <c r="H13" s="100"/>
      <c r="I13" s="77"/>
      <c r="J13" s="77"/>
      <c r="K13" s="94">
        <v>500000</v>
      </c>
      <c r="L13" s="95">
        <f t="shared" si="0"/>
        <v>45294.476248060906</v>
      </c>
      <c r="M13" s="95">
        <f t="shared" si="1"/>
        <v>24409.944453758377</v>
      </c>
      <c r="N13" s="95">
        <f t="shared" si="2"/>
        <v>17504.550999500658</v>
      </c>
      <c r="O13" s="95">
        <f t="shared" si="3"/>
        <v>14093.435264168964</v>
      </c>
      <c r="P13" s="95">
        <f t="shared" si="4"/>
        <v>12079.472641660734</v>
      </c>
    </row>
    <row r="15" spans="2:16" hidden="1" x14ac:dyDescent="0.25">
      <c r="D15" s="82">
        <v>9874.0400000000009</v>
      </c>
    </row>
    <row r="16" spans="2:16" hidden="1" x14ac:dyDescent="0.25">
      <c r="D16" s="82">
        <v>24</v>
      </c>
    </row>
    <row r="17" spans="4:4" hidden="1" x14ac:dyDescent="0.25">
      <c r="D17" s="82">
        <f>D15*D16</f>
        <v>236976.96000000002</v>
      </c>
    </row>
    <row r="18" spans="4:4" hidden="1" x14ac:dyDescent="0.25">
      <c r="D18" s="82">
        <v>200000</v>
      </c>
    </row>
    <row r="19" spans="4:4" hidden="1" x14ac:dyDescent="0.25">
      <c r="D19" s="82">
        <f>D17-D18</f>
        <v>36976.960000000021</v>
      </c>
    </row>
    <row r="20" spans="4:4" hidden="1" x14ac:dyDescent="0.25">
      <c r="D20" s="102">
        <f>D19/D18</f>
        <v>0.1848848000000001</v>
      </c>
    </row>
    <row r="21" spans="4:4" hidden="1" x14ac:dyDescent="0.25">
      <c r="D21" s="102">
        <f>D20/(24/12)</f>
        <v>9.244240000000005E-2</v>
      </c>
    </row>
  </sheetData>
  <sheetProtection algorithmName="SHA-512" hashValue="fVBs8yLbF1e3a37cotl/l6NfX3S5Px2f6BeFojYkHs8XToLDpgcZ6YKVWgLOURvqI07q/t/25iGBck8i5z8KEQ==" saltValue="b1B5Z+CE5iuQNhKCXYJcY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Adjusted</vt:lpstr>
      <vt:lpstr>DIR Template</vt:lpstr>
      <vt:lpstr>Convertor Calculator</vt:lpstr>
      <vt:lpstr>'DIR Template'!Print_Area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Wai Loon</dc:creator>
  <cp:lastModifiedBy>Lee Wai Loon</cp:lastModifiedBy>
  <dcterms:created xsi:type="dcterms:W3CDTF">2019-06-25T08:58:53Z</dcterms:created>
  <dcterms:modified xsi:type="dcterms:W3CDTF">2019-12-17T13:14:37Z</dcterms:modified>
</cp:coreProperties>
</file>